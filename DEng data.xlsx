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harts/chart7.xml" ContentType="application/vnd.openxmlformats-officedocument.drawingml.chart+xml"/>
  <Override PartName="/xl/drawings/drawing7.xml" ContentType="application/vnd.openxmlformats-officedocument.drawingml.chartshapes+xml"/>
  <Override PartName="/xl/charts/chart8.xml" ContentType="application/vnd.openxmlformats-officedocument.drawingml.chart+xml"/>
  <Override PartName="/xl/drawings/drawing8.xml" ContentType="application/vnd.openxmlformats-officedocument.drawingml.chartshapes+xml"/>
  <Override PartName="/xl/charts/chart9.xml" ContentType="application/vnd.openxmlformats-officedocument.drawingml.chart+xml"/>
  <Override PartName="/xl/drawings/drawing9.xml" ContentType="application/vnd.openxmlformats-officedocument.drawingml.chartshapes+xml"/>
  <Override PartName="/xl/charts/chart10.xml" ContentType="application/vnd.openxmlformats-officedocument.drawingml.chart+xml"/>
  <Override PartName="/xl/drawings/drawing10.xml" ContentType="application/vnd.openxmlformats-officedocument.drawingml.chartshapes+xml"/>
  <Override PartName="/xl/charts/chart11.xml" ContentType="application/vnd.openxmlformats-officedocument.drawingml.chart+xml"/>
  <Override PartName="/xl/drawings/drawing11.xml" ContentType="application/vnd.openxmlformats-officedocument.drawingml.chartshapes+xml"/>
  <Override PartName="/xl/charts/chart12.xml" ContentType="application/vnd.openxmlformats-officedocument.drawingml.chart+xml"/>
  <Override PartName="/xl/drawings/drawing12.xml" ContentType="application/vnd.openxmlformats-officedocument.drawingml.chartshapes+xml"/>
  <Override PartName="/xl/charts/chart13.xml" ContentType="application/vnd.openxmlformats-officedocument.drawingml.chart+xml"/>
  <Override PartName="/xl/drawings/drawing13.xml" ContentType="application/vnd.openxmlformats-officedocument.drawingml.chartshapes+xml"/>
  <Override PartName="/xl/charts/chart14.xml" ContentType="application/vnd.openxmlformats-officedocument.drawingml.chart+xml"/>
  <Override PartName="/xl/drawings/drawing14.xml" ContentType="application/vnd.openxmlformats-officedocument.drawingml.chartshape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15.xml" ContentType="application/vnd.openxmlformats-officedocument.drawingml.chartshapes+xml"/>
  <Override PartName="/xl/charts/chart20.xml" ContentType="application/vnd.openxmlformats-officedocument.drawingml.chart+xml"/>
  <Override PartName="/xl/drawings/drawing16.xml" ContentType="application/vnd.openxmlformats-officedocument.drawingml.chartshapes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7.xml" ContentType="application/vnd.openxmlformats-officedocument.drawingml.chartshapes+xml"/>
  <Override PartName="/xl/charts/chart23.xml" ContentType="application/vnd.openxmlformats-officedocument.drawingml.chart+xml"/>
  <Override PartName="/xl/drawings/drawing18.xml" ContentType="application/vnd.openxmlformats-officedocument.drawingml.chartshapes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19.xml" ContentType="application/vnd.openxmlformats-officedocument.drawing+xml"/>
  <Override PartName="/xl/charts/chart3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3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3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0.xml" ContentType="application/vnd.openxmlformats-officedocument.drawingml.chartshapes+xml"/>
  <Override PartName="/xl/charts/chart3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1.xml" ContentType="application/vnd.openxmlformats-officedocument.drawingml.chartshapes+xml"/>
  <Override PartName="/xl/charts/chart36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2.xml" ContentType="application/vnd.openxmlformats-officedocument.drawingml.chartshapes+xml"/>
  <Override PartName="/xl/charts/chart37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38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39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40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41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42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43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44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45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46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47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48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49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50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51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52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53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54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55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56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57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58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23.xml" ContentType="application/vnd.openxmlformats-officedocument.drawing+xml"/>
  <Override PartName="/xl/charts/chart59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60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61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62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63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64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65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66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67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68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69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70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71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72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73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74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75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76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77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78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79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80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81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24.xml" ContentType="application/vnd.openxmlformats-officedocument.drawing+xml"/>
  <Override PartName="/xl/charts/chart82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drawings/drawing25.xml" ContentType="application/vnd.openxmlformats-officedocument.drawing+xml"/>
  <Override PartName="/xl/charts/chart83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84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85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86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87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drawings/drawing26.xml" ContentType="application/vnd.openxmlformats-officedocument.drawing+xml"/>
  <Override PartName="/xl/charts/chart88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drawings/drawing27.xml" ContentType="application/vnd.openxmlformats-officedocument.drawing+xml"/>
  <Override PartName="/xl/charts/chart89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90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91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92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siams/Documents/Moses/Kinetics_for_COD_removal/knowledge project/Paper Two/"/>
    </mc:Choice>
  </mc:AlternateContent>
  <xr:revisionPtr revIDLastSave="0" documentId="8_{5E7A8587-EFF7-9A49-AF2C-004F20C461EC}" xr6:coauthVersionLast="47" xr6:coauthVersionMax="47" xr10:uidLastSave="{00000000-0000-0000-0000-000000000000}"/>
  <bookViews>
    <workbookView xWindow="0" yWindow="780" windowWidth="25600" windowHeight="14580" activeTab="1" xr2:uid="{A86AD150-AF02-0C4D-A961-19BA38083E44}"/>
  </bookViews>
  <sheets>
    <sheet name="DEGBR" sheetId="3" r:id="rId1"/>
    <sheet name="DEGBR CCT" sheetId="6" r:id="rId2"/>
    <sheet name="Sheet4" sheetId="4" r:id="rId3"/>
    <sheet name="COMPARATIVE STUDY (3 REACTORS)" sheetId="5" r:id="rId4"/>
    <sheet name="Characterization of PSW" sheetId="19" r:id="rId5"/>
    <sheet name="PSW Analysis" sheetId="20" r:id="rId6"/>
    <sheet name="Feathers" sheetId="18" r:id="rId7"/>
    <sheet name="PSW treatment" sheetId="17" r:id="rId8"/>
    <sheet name="Analyses methods" sheetId="8" r:id="rId9"/>
    <sheet name="Summary table" sheetId="7" r:id="rId10"/>
    <sheet name="PSW Characteristics" sheetId="14" r:id="rId11"/>
    <sheet name="Underdrain system" sheetId="9" r:id="rId12"/>
    <sheet name="Packing materials" sheetId="10" r:id="rId13"/>
    <sheet name="Granules" sheetId="11" r:id="rId14"/>
    <sheet name="EGSB granules" sheetId="12" r:id="rId15"/>
    <sheet name="Granules Specs" sheetId="13" r:id="rId16"/>
    <sheet name="Sheet10" sheetId="15" r:id="rId17"/>
  </sheets>
  <externalReferences>
    <externalReference r:id="rId18"/>
    <externalReference r:id="rId19"/>
    <externalReference r:id="rId2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20" l="1"/>
  <c r="C25" i="20"/>
  <c r="C14" i="20"/>
  <c r="E14" i="20" s="1"/>
  <c r="C7" i="20"/>
  <c r="D7" i="20" s="1"/>
  <c r="E41" i="19"/>
  <c r="F41" i="19" s="1"/>
  <c r="Q41" i="19"/>
  <c r="T41" i="19"/>
  <c r="W41" i="19"/>
  <c r="X41" i="19"/>
  <c r="E46" i="19"/>
  <c r="F46" i="19" s="1"/>
  <c r="Q46" i="19"/>
  <c r="T46" i="19"/>
  <c r="W46" i="19"/>
  <c r="X46" i="19"/>
  <c r="E47" i="19"/>
  <c r="F47" i="19" s="1"/>
  <c r="Q47" i="19"/>
  <c r="T47" i="19"/>
  <c r="W47" i="19"/>
  <c r="X47" i="19"/>
  <c r="E49" i="19"/>
  <c r="F49" i="19" s="1"/>
  <c r="Q49" i="19"/>
  <c r="T49" i="19"/>
  <c r="W49" i="19"/>
  <c r="X49" i="19"/>
  <c r="E50" i="19"/>
  <c r="F50" i="19" s="1"/>
  <c r="Q50" i="19"/>
  <c r="T50" i="19"/>
  <c r="W50" i="19"/>
  <c r="E51" i="19"/>
  <c r="F51" i="19" s="1"/>
  <c r="Q51" i="19"/>
  <c r="T51" i="19"/>
  <c r="W51" i="19"/>
  <c r="Y91" i="19"/>
  <c r="X91" i="19"/>
  <c r="Y90" i="19"/>
  <c r="X90" i="19"/>
  <c r="Y89" i="19"/>
  <c r="X89" i="19"/>
  <c r="Y88" i="19"/>
  <c r="X88" i="19"/>
  <c r="Y87" i="19"/>
  <c r="X87" i="19"/>
  <c r="Y86" i="19"/>
  <c r="X86" i="19"/>
  <c r="Y85" i="19"/>
  <c r="X85" i="19"/>
  <c r="Y84" i="19"/>
  <c r="X84" i="19"/>
  <c r="Y83" i="19"/>
  <c r="X83" i="19"/>
  <c r="Y82" i="19"/>
  <c r="X82" i="19"/>
  <c r="Y81" i="19"/>
  <c r="X81" i="19"/>
  <c r="Y80" i="19"/>
  <c r="X80" i="19"/>
  <c r="Y79" i="19"/>
  <c r="X79" i="19"/>
  <c r="Y78" i="19"/>
  <c r="X78" i="19"/>
  <c r="Y77" i="19"/>
  <c r="X77" i="19"/>
  <c r="X72" i="19"/>
  <c r="Q72" i="19"/>
  <c r="N72" i="19"/>
  <c r="K72" i="19"/>
  <c r="E72" i="19"/>
  <c r="F72" i="19" s="1"/>
  <c r="X71" i="19"/>
  <c r="Q71" i="19"/>
  <c r="N71" i="19"/>
  <c r="K71" i="19"/>
  <c r="E71" i="19"/>
  <c r="F71" i="19" s="1"/>
  <c r="X70" i="19"/>
  <c r="Q70" i="19"/>
  <c r="N70" i="19"/>
  <c r="K70" i="19"/>
  <c r="E70" i="19"/>
  <c r="F70" i="19" s="1"/>
  <c r="X69" i="19"/>
  <c r="Q69" i="19"/>
  <c r="N69" i="19"/>
  <c r="K69" i="19"/>
  <c r="E69" i="19"/>
  <c r="F69" i="19" s="1"/>
  <c r="X68" i="19"/>
  <c r="Q68" i="19"/>
  <c r="N68" i="19"/>
  <c r="K68" i="19"/>
  <c r="E68" i="19"/>
  <c r="F68" i="19" s="1"/>
  <c r="X67" i="19"/>
  <c r="Q67" i="19"/>
  <c r="N67" i="19"/>
  <c r="K67" i="19"/>
  <c r="E67" i="19"/>
  <c r="F67" i="19" s="1"/>
  <c r="X66" i="19"/>
  <c r="Q66" i="19"/>
  <c r="N66" i="19"/>
  <c r="K66" i="19"/>
  <c r="E66" i="19"/>
  <c r="F66" i="19" s="1"/>
  <c r="X65" i="19"/>
  <c r="Q65" i="19"/>
  <c r="N65" i="19"/>
  <c r="K65" i="19"/>
  <c r="E65" i="19"/>
  <c r="F65" i="19" s="1"/>
  <c r="X64" i="19"/>
  <c r="Q64" i="19"/>
  <c r="N64" i="19"/>
  <c r="K64" i="19"/>
  <c r="E64" i="19"/>
  <c r="F64" i="19" s="1"/>
  <c r="X63" i="19"/>
  <c r="Q63" i="19"/>
  <c r="N63" i="19"/>
  <c r="K63" i="19"/>
  <c r="E63" i="19"/>
  <c r="F63" i="19" s="1"/>
  <c r="X62" i="19"/>
  <c r="Q62" i="19"/>
  <c r="N62" i="19"/>
  <c r="K62" i="19"/>
  <c r="E62" i="19"/>
  <c r="F62" i="19" s="1"/>
  <c r="X61" i="19"/>
  <c r="Q61" i="19"/>
  <c r="N61" i="19"/>
  <c r="K61" i="19"/>
  <c r="E61" i="19"/>
  <c r="F61" i="19" s="1"/>
  <c r="X60" i="19"/>
  <c r="Q60" i="19"/>
  <c r="N60" i="19"/>
  <c r="K60" i="19"/>
  <c r="E60" i="19"/>
  <c r="F60" i="19" s="1"/>
  <c r="X59" i="19"/>
  <c r="Q59" i="19"/>
  <c r="N59" i="19"/>
  <c r="K59" i="19"/>
  <c r="E59" i="19"/>
  <c r="F59" i="19" s="1"/>
  <c r="X58" i="19"/>
  <c r="Y58" i="19" s="1"/>
  <c r="Q58" i="19"/>
  <c r="N58" i="19"/>
  <c r="K58" i="19"/>
  <c r="E58" i="19"/>
  <c r="F58" i="19" s="1"/>
  <c r="X48" i="19"/>
  <c r="W48" i="19"/>
  <c r="T48" i="19"/>
  <c r="Q48" i="19"/>
  <c r="E48" i="19"/>
  <c r="F48" i="19" s="1"/>
  <c r="X45" i="19"/>
  <c r="W45" i="19"/>
  <c r="T45" i="19"/>
  <c r="Q45" i="19"/>
  <c r="E45" i="19"/>
  <c r="F45" i="19" s="1"/>
  <c r="X44" i="19"/>
  <c r="W44" i="19"/>
  <c r="T44" i="19"/>
  <c r="Q44" i="19"/>
  <c r="E44" i="19"/>
  <c r="F44" i="19" s="1"/>
  <c r="X43" i="19"/>
  <c r="W43" i="19"/>
  <c r="T43" i="19"/>
  <c r="Q43" i="19"/>
  <c r="E43" i="19"/>
  <c r="F43" i="19" s="1"/>
  <c r="X42" i="19"/>
  <c r="W42" i="19"/>
  <c r="T42" i="19"/>
  <c r="Q42" i="19"/>
  <c r="E42" i="19"/>
  <c r="F42" i="19" s="1"/>
  <c r="X40" i="19"/>
  <c r="W40" i="19"/>
  <c r="T40" i="19"/>
  <c r="Q40" i="19"/>
  <c r="E40" i="19"/>
  <c r="F40" i="19" s="1"/>
  <c r="X39" i="19"/>
  <c r="W39" i="19"/>
  <c r="T39" i="19"/>
  <c r="Q39" i="19"/>
  <c r="E39" i="19"/>
  <c r="F39" i="19" s="1"/>
  <c r="X38" i="19"/>
  <c r="W38" i="19"/>
  <c r="T38" i="19"/>
  <c r="Q38" i="19"/>
  <c r="E38" i="19"/>
  <c r="F38" i="19" s="1"/>
  <c r="X37" i="19"/>
  <c r="W37" i="19"/>
  <c r="T37" i="19"/>
  <c r="Q37" i="19"/>
  <c r="E37" i="19"/>
  <c r="F37" i="19" s="1"/>
  <c r="X36" i="19"/>
  <c r="W36" i="19"/>
  <c r="T36" i="19"/>
  <c r="Q36" i="19"/>
  <c r="E36" i="19"/>
  <c r="F36" i="19" s="1"/>
  <c r="X35" i="19"/>
  <c r="W35" i="19"/>
  <c r="T35" i="19"/>
  <c r="Q35" i="19"/>
  <c r="E35" i="19"/>
  <c r="F35" i="19" s="1"/>
  <c r="X34" i="19"/>
  <c r="W34" i="19"/>
  <c r="T34" i="19"/>
  <c r="Q34" i="19"/>
  <c r="E34" i="19"/>
  <c r="F34" i="19" s="1"/>
  <c r="X33" i="19"/>
  <c r="W33" i="19"/>
  <c r="T33" i="19"/>
  <c r="Q33" i="19"/>
  <c r="E33" i="19"/>
  <c r="F33" i="19" s="1"/>
  <c r="X32" i="19"/>
  <c r="W32" i="19"/>
  <c r="T32" i="19"/>
  <c r="Q32" i="19"/>
  <c r="E32" i="19"/>
  <c r="F32" i="19" s="1"/>
  <c r="X31" i="19"/>
  <c r="W31" i="19"/>
  <c r="T31" i="19"/>
  <c r="Q31" i="19"/>
  <c r="E31" i="19"/>
  <c r="F31" i="19" s="1"/>
  <c r="X30" i="19"/>
  <c r="W30" i="19"/>
  <c r="T30" i="19"/>
  <c r="Q30" i="19"/>
  <c r="E30" i="19"/>
  <c r="F30" i="19" s="1"/>
  <c r="X29" i="19"/>
  <c r="W29" i="19"/>
  <c r="T29" i="19"/>
  <c r="Q29" i="19"/>
  <c r="E29" i="19"/>
  <c r="F29" i="19" s="1"/>
  <c r="X28" i="19"/>
  <c r="W28" i="19"/>
  <c r="T28" i="19"/>
  <c r="Q28" i="19"/>
  <c r="E28" i="19"/>
  <c r="F28" i="19" s="1"/>
  <c r="AA23" i="19"/>
  <c r="Z23" i="19"/>
  <c r="W23" i="19"/>
  <c r="T23" i="19"/>
  <c r="Q23" i="19"/>
  <c r="E23" i="19"/>
  <c r="AA22" i="19"/>
  <c r="Z22" i="19"/>
  <c r="W22" i="19"/>
  <c r="T22" i="19"/>
  <c r="Q22" i="19"/>
  <c r="E22" i="19"/>
  <c r="AA21" i="19"/>
  <c r="Z21" i="19"/>
  <c r="W21" i="19"/>
  <c r="T21" i="19"/>
  <c r="Q21" i="19"/>
  <c r="E21" i="19"/>
  <c r="AA20" i="19"/>
  <c r="Z20" i="19"/>
  <c r="W20" i="19"/>
  <c r="T20" i="19"/>
  <c r="Q20" i="19"/>
  <c r="E20" i="19"/>
  <c r="AA19" i="19"/>
  <c r="Z19" i="19"/>
  <c r="W19" i="19"/>
  <c r="T19" i="19"/>
  <c r="Q19" i="19"/>
  <c r="E19" i="19"/>
  <c r="AA18" i="19"/>
  <c r="Z18" i="19"/>
  <c r="W18" i="19"/>
  <c r="T18" i="19"/>
  <c r="Q18" i="19"/>
  <c r="E18" i="19"/>
  <c r="AA17" i="19"/>
  <c r="Z17" i="19"/>
  <c r="W17" i="19"/>
  <c r="T17" i="19"/>
  <c r="Q17" i="19"/>
  <c r="E17" i="19"/>
  <c r="AA16" i="19"/>
  <c r="Z16" i="19"/>
  <c r="W16" i="19"/>
  <c r="T16" i="19"/>
  <c r="Q16" i="19"/>
  <c r="E16" i="19"/>
  <c r="AA15" i="19"/>
  <c r="Z15" i="19"/>
  <c r="W15" i="19"/>
  <c r="T15" i="19"/>
  <c r="Q15" i="19"/>
  <c r="E15" i="19"/>
  <c r="AA14" i="19"/>
  <c r="Z14" i="19"/>
  <c r="W14" i="19"/>
  <c r="T14" i="19"/>
  <c r="Q14" i="19"/>
  <c r="E14" i="19"/>
  <c r="AA13" i="19"/>
  <c r="Z13" i="19"/>
  <c r="W13" i="19"/>
  <c r="T13" i="19"/>
  <c r="Q13" i="19"/>
  <c r="E13" i="19"/>
  <c r="AA12" i="19"/>
  <c r="Z12" i="19"/>
  <c r="W12" i="19"/>
  <c r="T12" i="19"/>
  <c r="Q12" i="19"/>
  <c r="E12" i="19"/>
  <c r="AA11" i="19"/>
  <c r="Z11" i="19"/>
  <c r="W11" i="19"/>
  <c r="T11" i="19"/>
  <c r="Q11" i="19"/>
  <c r="E11" i="19"/>
  <c r="AA10" i="19"/>
  <c r="Z10" i="19"/>
  <c r="W10" i="19"/>
  <c r="T10" i="19"/>
  <c r="Q10" i="19"/>
  <c r="E10" i="19"/>
  <c r="AA9" i="19"/>
  <c r="Z9" i="19"/>
  <c r="W9" i="19"/>
  <c r="T9" i="19"/>
  <c r="Q9" i="19"/>
  <c r="E9" i="19"/>
  <c r="AA8" i="19"/>
  <c r="Z8" i="19"/>
  <c r="W8" i="19"/>
  <c r="T8" i="19"/>
  <c r="Q8" i="19"/>
  <c r="E8" i="19"/>
  <c r="AA7" i="19"/>
  <c r="Z7" i="19"/>
  <c r="W7" i="19"/>
  <c r="T7" i="19"/>
  <c r="Q7" i="19"/>
  <c r="E7" i="19"/>
  <c r="AA6" i="19"/>
  <c r="Z6" i="19"/>
  <c r="W6" i="19"/>
  <c r="T6" i="19"/>
  <c r="Q6" i="19"/>
  <c r="E6" i="19"/>
  <c r="AA5" i="19"/>
  <c r="Z5" i="19"/>
  <c r="W5" i="19"/>
  <c r="T5" i="19"/>
  <c r="Q5" i="19"/>
  <c r="E5" i="19"/>
  <c r="AA4" i="19"/>
  <c r="Z4" i="19"/>
  <c r="W4" i="19"/>
  <c r="T4" i="19"/>
  <c r="Q4" i="19"/>
  <c r="E4" i="19"/>
  <c r="E7" i="20" l="1"/>
  <c r="F7" i="20" s="1"/>
  <c r="G7" i="20" s="1"/>
  <c r="H7" i="20" s="1"/>
  <c r="J14" i="20" s="1"/>
  <c r="D14" i="20"/>
  <c r="F14" i="20" s="1"/>
  <c r="G14" i="20" s="1"/>
  <c r="H14" i="20" s="1"/>
  <c r="Y59" i="19"/>
  <c r="Y60" i="19" s="1"/>
  <c r="Y61" i="19" s="1"/>
  <c r="Y62" i="19" s="1"/>
  <c r="Y63" i="19" s="1"/>
  <c r="Y64" i="19" s="1"/>
  <c r="Y65" i="19" s="1"/>
  <c r="Y66" i="19" s="1"/>
  <c r="Y67" i="19" s="1"/>
  <c r="Y68" i="19" s="1"/>
  <c r="Y69" i="19" s="1"/>
  <c r="Y70" i="19" s="1"/>
  <c r="Y71" i="19" s="1"/>
  <c r="Y72" i="19" s="1"/>
  <c r="E106" i="7"/>
  <c r="E105" i="7"/>
  <c r="E104" i="7"/>
  <c r="E103" i="7"/>
  <c r="D106" i="7"/>
  <c r="D105" i="7"/>
  <c r="D104" i="7"/>
  <c r="D103" i="7"/>
  <c r="L14" i="9"/>
  <c r="L15" i="9"/>
  <c r="E5" i="9"/>
  <c r="F5" i="9"/>
  <c r="G5" i="9"/>
  <c r="H5" i="9"/>
  <c r="D5" i="9"/>
  <c r="F66" i="12"/>
  <c r="E66" i="12"/>
  <c r="D66" i="12"/>
  <c r="C66" i="12"/>
  <c r="F65" i="12"/>
  <c r="E65" i="12"/>
  <c r="D65" i="12"/>
  <c r="C65" i="12"/>
  <c r="F64" i="12"/>
  <c r="E64" i="12"/>
  <c r="D64" i="12"/>
  <c r="C64" i="12"/>
  <c r="F63" i="12"/>
  <c r="E63" i="12"/>
  <c r="D63" i="12"/>
  <c r="C63" i="12"/>
  <c r="F62" i="12"/>
  <c r="E62" i="12"/>
  <c r="D62" i="12"/>
  <c r="C62" i="12"/>
  <c r="F61" i="12"/>
  <c r="E61" i="12"/>
  <c r="D61" i="12"/>
  <c r="C61" i="12"/>
  <c r="F60" i="12"/>
  <c r="E60" i="12"/>
  <c r="D60" i="12"/>
  <c r="C60" i="12"/>
  <c r="F59" i="12"/>
  <c r="E59" i="12"/>
  <c r="D59" i="12"/>
  <c r="C59" i="12"/>
  <c r="F58" i="12"/>
  <c r="E58" i="12"/>
  <c r="D58" i="12"/>
  <c r="C58" i="12"/>
  <c r="F57" i="12"/>
  <c r="E57" i="12"/>
  <c r="D57" i="12"/>
  <c r="C57" i="12"/>
  <c r="F56" i="12"/>
  <c r="E56" i="12"/>
  <c r="D56" i="12"/>
  <c r="C56" i="12"/>
  <c r="F55" i="12"/>
  <c r="E55" i="12"/>
  <c r="D55" i="12"/>
  <c r="C55" i="12"/>
  <c r="F54" i="12"/>
  <c r="E54" i="12"/>
  <c r="D54" i="12"/>
  <c r="C54" i="12"/>
  <c r="F53" i="12"/>
  <c r="E53" i="12"/>
  <c r="D53" i="12"/>
  <c r="C53" i="12"/>
  <c r="F52" i="12"/>
  <c r="E52" i="12"/>
  <c r="D52" i="12"/>
  <c r="C52" i="12"/>
  <c r="F51" i="12"/>
  <c r="E51" i="12"/>
  <c r="D51" i="12"/>
  <c r="C51" i="12"/>
  <c r="F50" i="12"/>
  <c r="E50" i="12"/>
  <c r="D50" i="12"/>
  <c r="C50" i="12"/>
  <c r="F49" i="12"/>
  <c r="E49" i="12"/>
  <c r="D49" i="12"/>
  <c r="C49" i="12"/>
  <c r="F48" i="12"/>
  <c r="E48" i="12"/>
  <c r="D48" i="12"/>
  <c r="C48" i="12"/>
  <c r="F47" i="12"/>
  <c r="E47" i="12"/>
  <c r="D47" i="12"/>
  <c r="C47" i="12"/>
  <c r="F46" i="12"/>
  <c r="E46" i="12"/>
  <c r="D46" i="12"/>
  <c r="C46" i="12"/>
  <c r="F45" i="12"/>
  <c r="E45" i="12"/>
  <c r="D45" i="12"/>
  <c r="C45" i="12"/>
  <c r="F44" i="12"/>
  <c r="E44" i="12"/>
  <c r="D44" i="12"/>
  <c r="C44" i="12"/>
  <c r="F43" i="12"/>
  <c r="E43" i="12"/>
  <c r="D43" i="12"/>
  <c r="C43" i="12"/>
  <c r="F42" i="12"/>
  <c r="E42" i="12"/>
  <c r="D42" i="12"/>
  <c r="C42" i="12"/>
  <c r="F41" i="12"/>
  <c r="E41" i="12"/>
  <c r="D41" i="12"/>
  <c r="C41" i="12"/>
  <c r="F40" i="12"/>
  <c r="E40" i="12"/>
  <c r="D40" i="12"/>
  <c r="C40" i="12"/>
  <c r="G39" i="12"/>
  <c r="H39" i="12" s="1"/>
  <c r="F39" i="12"/>
  <c r="E39" i="12"/>
  <c r="D39" i="12"/>
  <c r="C39" i="12"/>
  <c r="F38" i="12"/>
  <c r="E38" i="12"/>
  <c r="D38" i="12"/>
  <c r="C38" i="12"/>
  <c r="F37" i="12"/>
  <c r="E37" i="12"/>
  <c r="D37" i="12"/>
  <c r="C37" i="12"/>
  <c r="F36" i="12"/>
  <c r="E36" i="12"/>
  <c r="D36" i="12"/>
  <c r="C36" i="12"/>
  <c r="G35" i="12"/>
  <c r="H35" i="12" s="1"/>
  <c r="F35" i="12"/>
  <c r="E35" i="12"/>
  <c r="D35" i="12"/>
  <c r="C35" i="12"/>
  <c r="F34" i="12"/>
  <c r="E34" i="12"/>
  <c r="D34" i="12"/>
  <c r="C34" i="12"/>
  <c r="F33" i="12"/>
  <c r="E33" i="12"/>
  <c r="D33" i="12"/>
  <c r="C33" i="12"/>
  <c r="F32" i="12"/>
  <c r="E32" i="12"/>
  <c r="D32" i="12"/>
  <c r="C32" i="12"/>
  <c r="G31" i="12"/>
  <c r="H31" i="12" s="1"/>
  <c r="F31" i="12"/>
  <c r="E31" i="12"/>
  <c r="D31" i="12"/>
  <c r="C31" i="12"/>
  <c r="F30" i="12"/>
  <c r="E30" i="12"/>
  <c r="D30" i="12"/>
  <c r="C30" i="12"/>
  <c r="F29" i="12"/>
  <c r="E29" i="12"/>
  <c r="D29" i="12"/>
  <c r="C29" i="12"/>
  <c r="F28" i="12"/>
  <c r="E28" i="12"/>
  <c r="D28" i="12"/>
  <c r="C28" i="12"/>
  <c r="F27" i="12"/>
  <c r="E27" i="12"/>
  <c r="D27" i="12"/>
  <c r="C27" i="12"/>
  <c r="F26" i="12"/>
  <c r="E26" i="12"/>
  <c r="D26" i="12"/>
  <c r="C26" i="12"/>
  <c r="F25" i="12"/>
  <c r="E25" i="12"/>
  <c r="D25" i="12"/>
  <c r="C25" i="12"/>
  <c r="F24" i="12"/>
  <c r="E24" i="12"/>
  <c r="D24" i="12"/>
  <c r="C24" i="12"/>
  <c r="F23" i="12"/>
  <c r="E23" i="12"/>
  <c r="D23" i="12"/>
  <c r="C23" i="12"/>
  <c r="F22" i="12"/>
  <c r="E22" i="12"/>
  <c r="D22" i="12"/>
  <c r="C22" i="12"/>
  <c r="F21" i="12"/>
  <c r="E21" i="12"/>
  <c r="D21" i="12"/>
  <c r="C21" i="12"/>
  <c r="F20" i="12"/>
  <c r="E20" i="12"/>
  <c r="D20" i="12"/>
  <c r="C20" i="12"/>
  <c r="F19" i="12"/>
  <c r="E19" i="12"/>
  <c r="D19" i="12"/>
  <c r="C19" i="12"/>
  <c r="E16" i="12"/>
  <c r="D16" i="12"/>
  <c r="C16" i="12"/>
  <c r="E11" i="12"/>
  <c r="D11" i="12"/>
  <c r="C11" i="12"/>
  <c r="G66" i="12" s="1"/>
  <c r="H66" i="12" s="1"/>
  <c r="E6" i="12"/>
  <c r="E15" i="12" s="1"/>
  <c r="D6" i="12"/>
  <c r="D15" i="12" s="1"/>
  <c r="C6" i="12"/>
  <c r="C15" i="12" s="1"/>
  <c r="F66" i="11"/>
  <c r="E66" i="11"/>
  <c r="D66" i="11"/>
  <c r="C66" i="11"/>
  <c r="F65" i="11"/>
  <c r="E65" i="11"/>
  <c r="D65" i="11"/>
  <c r="C65" i="11"/>
  <c r="F64" i="11"/>
  <c r="E64" i="11"/>
  <c r="D64" i="11"/>
  <c r="C64" i="11"/>
  <c r="F63" i="11"/>
  <c r="E63" i="11"/>
  <c r="D63" i="11"/>
  <c r="C63" i="11"/>
  <c r="F62" i="11"/>
  <c r="E62" i="11"/>
  <c r="D62" i="11"/>
  <c r="C62" i="11"/>
  <c r="F61" i="11"/>
  <c r="E61" i="11"/>
  <c r="D61" i="11"/>
  <c r="C61" i="11"/>
  <c r="F60" i="11"/>
  <c r="E60" i="11"/>
  <c r="D60" i="11"/>
  <c r="C60" i="11"/>
  <c r="F59" i="11"/>
  <c r="E59" i="11"/>
  <c r="D59" i="11"/>
  <c r="C59" i="11"/>
  <c r="F58" i="11"/>
  <c r="E58" i="11"/>
  <c r="D58" i="11"/>
  <c r="C58" i="11"/>
  <c r="F57" i="11"/>
  <c r="E57" i="11"/>
  <c r="D57" i="11"/>
  <c r="C57" i="11"/>
  <c r="F56" i="11"/>
  <c r="E56" i="11"/>
  <c r="D56" i="11"/>
  <c r="C56" i="11"/>
  <c r="F55" i="11"/>
  <c r="E55" i="11"/>
  <c r="D55" i="11"/>
  <c r="C55" i="11"/>
  <c r="F54" i="11"/>
  <c r="E54" i="11"/>
  <c r="D54" i="11"/>
  <c r="C54" i="11"/>
  <c r="F53" i="11"/>
  <c r="E53" i="11"/>
  <c r="D53" i="11"/>
  <c r="C53" i="11"/>
  <c r="F52" i="11"/>
  <c r="E52" i="11"/>
  <c r="D52" i="11"/>
  <c r="C52" i="11"/>
  <c r="F51" i="11"/>
  <c r="E51" i="11"/>
  <c r="D51" i="11"/>
  <c r="C51" i="11"/>
  <c r="F50" i="11"/>
  <c r="E50" i="11"/>
  <c r="D50" i="11"/>
  <c r="C50" i="11"/>
  <c r="F49" i="11"/>
  <c r="E49" i="11"/>
  <c r="D49" i="11"/>
  <c r="C49" i="11"/>
  <c r="F48" i="11"/>
  <c r="E48" i="11"/>
  <c r="D48" i="11"/>
  <c r="C48" i="11"/>
  <c r="G47" i="11"/>
  <c r="H47" i="11" s="1"/>
  <c r="F47" i="11"/>
  <c r="E47" i="11"/>
  <c r="D47" i="11"/>
  <c r="C47" i="11"/>
  <c r="F46" i="11"/>
  <c r="E46" i="11"/>
  <c r="D46" i="11"/>
  <c r="C46" i="11"/>
  <c r="F45" i="11"/>
  <c r="E45" i="11"/>
  <c r="D45" i="11"/>
  <c r="C45" i="11"/>
  <c r="F44" i="11"/>
  <c r="E44" i="11"/>
  <c r="D44" i="11"/>
  <c r="C44" i="11"/>
  <c r="F43" i="11"/>
  <c r="E43" i="11"/>
  <c r="D43" i="11"/>
  <c r="C43" i="11"/>
  <c r="F42" i="11"/>
  <c r="E42" i="11"/>
  <c r="D42" i="11"/>
  <c r="C42" i="11"/>
  <c r="F41" i="11"/>
  <c r="E41" i="11"/>
  <c r="D41" i="11"/>
  <c r="C41" i="11"/>
  <c r="F40" i="11"/>
  <c r="E40" i="11"/>
  <c r="D40" i="11"/>
  <c r="C40" i="11"/>
  <c r="G39" i="11"/>
  <c r="H39" i="11" s="1"/>
  <c r="F39" i="11"/>
  <c r="E39" i="11"/>
  <c r="D39" i="11"/>
  <c r="C39" i="11"/>
  <c r="F38" i="11"/>
  <c r="E38" i="11"/>
  <c r="D38" i="11"/>
  <c r="C38" i="11"/>
  <c r="F37" i="11"/>
  <c r="E37" i="11"/>
  <c r="D37" i="11"/>
  <c r="C37" i="11"/>
  <c r="F36" i="11"/>
  <c r="E36" i="11"/>
  <c r="D36" i="11"/>
  <c r="C36" i="11"/>
  <c r="F35" i="11"/>
  <c r="E35" i="11"/>
  <c r="D35" i="11"/>
  <c r="C35" i="11"/>
  <c r="F34" i="11"/>
  <c r="E34" i="11"/>
  <c r="D34" i="11"/>
  <c r="C34" i="11"/>
  <c r="F33" i="11"/>
  <c r="E33" i="11"/>
  <c r="D33" i="11"/>
  <c r="C33" i="11"/>
  <c r="F32" i="11"/>
  <c r="E32" i="11"/>
  <c r="D32" i="11"/>
  <c r="C32" i="11"/>
  <c r="F31" i="11"/>
  <c r="E31" i="11"/>
  <c r="D31" i="11"/>
  <c r="C31" i="11"/>
  <c r="F30" i="11"/>
  <c r="E30" i="11"/>
  <c r="D30" i="11"/>
  <c r="C30" i="11"/>
  <c r="F29" i="11"/>
  <c r="E29" i="11"/>
  <c r="D29" i="11"/>
  <c r="C29" i="11"/>
  <c r="F28" i="11"/>
  <c r="E28" i="11"/>
  <c r="D28" i="11"/>
  <c r="C28" i="11"/>
  <c r="F27" i="11"/>
  <c r="E27" i="11"/>
  <c r="D27" i="11"/>
  <c r="C27" i="11"/>
  <c r="F26" i="11"/>
  <c r="E26" i="11"/>
  <c r="D26" i="11"/>
  <c r="C26" i="11"/>
  <c r="F25" i="11"/>
  <c r="E25" i="11"/>
  <c r="D25" i="11"/>
  <c r="C25" i="11"/>
  <c r="F24" i="11"/>
  <c r="E24" i="11"/>
  <c r="D24" i="11"/>
  <c r="C24" i="11"/>
  <c r="F23" i="11"/>
  <c r="E23" i="11"/>
  <c r="D23" i="11"/>
  <c r="C23" i="11"/>
  <c r="F22" i="11"/>
  <c r="E22" i="11"/>
  <c r="D22" i="11"/>
  <c r="C22" i="11"/>
  <c r="F21" i="11"/>
  <c r="E21" i="11"/>
  <c r="D21" i="11"/>
  <c r="C21" i="11"/>
  <c r="F20" i="11"/>
  <c r="E20" i="11"/>
  <c r="D20" i="11"/>
  <c r="C20" i="11"/>
  <c r="F19" i="11"/>
  <c r="E19" i="11"/>
  <c r="D19" i="11"/>
  <c r="C19" i="11"/>
  <c r="E16" i="11"/>
  <c r="D16" i="11"/>
  <c r="C16" i="11"/>
  <c r="E11" i="11"/>
  <c r="D11" i="11"/>
  <c r="C11" i="11"/>
  <c r="G66" i="11" s="1"/>
  <c r="H66" i="11" s="1"/>
  <c r="E6" i="11"/>
  <c r="E15" i="11" s="1"/>
  <c r="D6" i="11"/>
  <c r="D15" i="11" s="1"/>
  <c r="C6" i="11"/>
  <c r="C15" i="11" s="1"/>
  <c r="G20" i="10"/>
  <c r="F20" i="10"/>
  <c r="E20" i="10"/>
  <c r="D20" i="10"/>
  <c r="C20" i="10"/>
  <c r="G19" i="10"/>
  <c r="F19" i="10"/>
  <c r="E19" i="10"/>
  <c r="D19" i="10"/>
  <c r="C19" i="10"/>
  <c r="G12" i="10"/>
  <c r="F12" i="10"/>
  <c r="F13" i="10" s="1"/>
  <c r="F14" i="10" s="1"/>
  <c r="E12" i="10"/>
  <c r="D12" i="10"/>
  <c r="C12" i="10"/>
  <c r="G11" i="10"/>
  <c r="F11" i="10"/>
  <c r="E11" i="10"/>
  <c r="D11" i="10"/>
  <c r="C11" i="10"/>
  <c r="G8" i="10"/>
  <c r="G9" i="10" s="1"/>
  <c r="F8" i="10"/>
  <c r="E8" i="10"/>
  <c r="E9" i="10" s="1"/>
  <c r="D8" i="10"/>
  <c r="D9" i="10" s="1"/>
  <c r="C8" i="10"/>
  <c r="C9" i="10" s="1"/>
  <c r="F7" i="10"/>
  <c r="H11" i="9"/>
  <c r="H63" i="9" s="1"/>
  <c r="G11" i="9"/>
  <c r="F11" i="9"/>
  <c r="E11" i="9"/>
  <c r="E62" i="9" s="1"/>
  <c r="D11" i="9"/>
  <c r="D63" i="9" s="1"/>
  <c r="H9" i="9"/>
  <c r="H10" i="9" s="1"/>
  <c r="G9" i="9"/>
  <c r="G10" i="9" s="1"/>
  <c r="F9" i="9"/>
  <c r="F10" i="9" s="1"/>
  <c r="E9" i="9"/>
  <c r="E10" i="9" s="1"/>
  <c r="D9" i="9"/>
  <c r="D10" i="9" s="1"/>
  <c r="V8" i="9"/>
  <c r="V7" i="9"/>
  <c r="V6" i="9"/>
  <c r="V5" i="9"/>
  <c r="V4" i="9"/>
  <c r="M3" i="9"/>
  <c r="G63" i="11" l="1"/>
  <c r="H63" i="11" s="1"/>
  <c r="G13" i="10"/>
  <c r="G14" i="10" s="1"/>
  <c r="E21" i="10"/>
  <c r="E22" i="10" s="1"/>
  <c r="G31" i="11"/>
  <c r="H31" i="11" s="1"/>
  <c r="G27" i="12"/>
  <c r="H27" i="12" s="1"/>
  <c r="G65" i="12"/>
  <c r="H65" i="12" s="1"/>
  <c r="G55" i="11"/>
  <c r="H55" i="11" s="1"/>
  <c r="C13" i="10"/>
  <c r="C14" i="10" s="1"/>
  <c r="G43" i="12"/>
  <c r="H43" i="12" s="1"/>
  <c r="D13" i="10"/>
  <c r="D14" i="10" s="1"/>
  <c r="G19" i="11"/>
  <c r="H19" i="11" s="1"/>
  <c r="G47" i="12"/>
  <c r="H47" i="12" s="1"/>
  <c r="E13" i="10"/>
  <c r="E14" i="10" s="1"/>
  <c r="G23" i="11"/>
  <c r="H23" i="11" s="1"/>
  <c r="G19" i="12"/>
  <c r="H19" i="12" s="1"/>
  <c r="G51" i="12"/>
  <c r="H51" i="12" s="1"/>
  <c r="D21" i="10"/>
  <c r="D22" i="10" s="1"/>
  <c r="G27" i="11"/>
  <c r="H27" i="11" s="1"/>
  <c r="G23" i="12"/>
  <c r="H23" i="12" s="1"/>
  <c r="G57" i="12"/>
  <c r="H57" i="12" s="1"/>
  <c r="G20" i="11"/>
  <c r="H20" i="11" s="1"/>
  <c r="G28" i="11"/>
  <c r="H28" i="11" s="1"/>
  <c r="G33" i="11"/>
  <c r="H33" i="11" s="1"/>
  <c r="G49" i="11"/>
  <c r="H49" i="11" s="1"/>
  <c r="G20" i="12"/>
  <c r="H20" i="12" s="1"/>
  <c r="G28" i="12"/>
  <c r="H28" i="12" s="1"/>
  <c r="G36" i="12"/>
  <c r="H36" i="12" s="1"/>
  <c r="G44" i="12"/>
  <c r="H44" i="12" s="1"/>
  <c r="G52" i="12"/>
  <c r="H52" i="12" s="1"/>
  <c r="G59" i="12"/>
  <c r="H59" i="12" s="1"/>
  <c r="F9" i="10"/>
  <c r="G24" i="11"/>
  <c r="H24" i="11" s="1"/>
  <c r="G41" i="11"/>
  <c r="H41" i="11" s="1"/>
  <c r="G57" i="11"/>
  <c r="H57" i="11" s="1"/>
  <c r="G65" i="11"/>
  <c r="H65" i="11" s="1"/>
  <c r="G24" i="12"/>
  <c r="H24" i="12" s="1"/>
  <c r="G32" i="12"/>
  <c r="H32" i="12" s="1"/>
  <c r="G40" i="12"/>
  <c r="H40" i="12" s="1"/>
  <c r="G48" i="12"/>
  <c r="H48" i="12" s="1"/>
  <c r="F61" i="9"/>
  <c r="G21" i="11"/>
  <c r="H21" i="11" s="1"/>
  <c r="G25" i="11"/>
  <c r="H25" i="11" s="1"/>
  <c r="G29" i="11"/>
  <c r="H29" i="11" s="1"/>
  <c r="G35" i="11"/>
  <c r="H35" i="11" s="1"/>
  <c r="G43" i="11"/>
  <c r="H43" i="11" s="1"/>
  <c r="G51" i="11"/>
  <c r="H51" i="11" s="1"/>
  <c r="G59" i="11"/>
  <c r="H59" i="11" s="1"/>
  <c r="G21" i="12"/>
  <c r="H21" i="12" s="1"/>
  <c r="G25" i="12"/>
  <c r="H25" i="12" s="1"/>
  <c r="G29" i="12"/>
  <c r="H29" i="12" s="1"/>
  <c r="G33" i="12"/>
  <c r="H33" i="12" s="1"/>
  <c r="G37" i="12"/>
  <c r="H37" i="12" s="1"/>
  <c r="G41" i="12"/>
  <c r="H41" i="12" s="1"/>
  <c r="G45" i="12"/>
  <c r="H45" i="12" s="1"/>
  <c r="G49" i="12"/>
  <c r="H49" i="12" s="1"/>
  <c r="G53" i="12"/>
  <c r="H53" i="12" s="1"/>
  <c r="G61" i="12"/>
  <c r="H61" i="12" s="1"/>
  <c r="G60" i="9"/>
  <c r="C21" i="10"/>
  <c r="C22" i="10" s="1"/>
  <c r="G21" i="10"/>
  <c r="G22" i="10" s="1"/>
  <c r="F21" i="10"/>
  <c r="F22" i="10" s="1"/>
  <c r="G22" i="11"/>
  <c r="H22" i="11" s="1"/>
  <c r="G26" i="11"/>
  <c r="H26" i="11" s="1"/>
  <c r="G30" i="11"/>
  <c r="H30" i="11" s="1"/>
  <c r="G37" i="11"/>
  <c r="H37" i="11" s="1"/>
  <c r="G45" i="11"/>
  <c r="H45" i="11" s="1"/>
  <c r="G53" i="11"/>
  <c r="H53" i="11" s="1"/>
  <c r="G61" i="11"/>
  <c r="H61" i="11" s="1"/>
  <c r="G22" i="12"/>
  <c r="H22" i="12" s="1"/>
  <c r="G26" i="12"/>
  <c r="H26" i="12" s="1"/>
  <c r="G30" i="12"/>
  <c r="H30" i="12" s="1"/>
  <c r="G34" i="12"/>
  <c r="H34" i="12" s="1"/>
  <c r="G38" i="12"/>
  <c r="H38" i="12" s="1"/>
  <c r="G42" i="12"/>
  <c r="H42" i="12" s="1"/>
  <c r="G46" i="12"/>
  <c r="H46" i="12" s="1"/>
  <c r="G50" i="12"/>
  <c r="H50" i="12" s="1"/>
  <c r="G55" i="12"/>
  <c r="H55" i="12" s="1"/>
  <c r="G63" i="12"/>
  <c r="H63" i="12" s="1"/>
  <c r="G54" i="12"/>
  <c r="H54" i="12" s="1"/>
  <c r="G56" i="12"/>
  <c r="H56" i="12" s="1"/>
  <c r="G58" i="12"/>
  <c r="H58" i="12" s="1"/>
  <c r="G60" i="12"/>
  <c r="H60" i="12" s="1"/>
  <c r="G62" i="12"/>
  <c r="H62" i="12" s="1"/>
  <c r="G64" i="12"/>
  <c r="H64" i="12" s="1"/>
  <c r="G32" i="11"/>
  <c r="H32" i="11" s="1"/>
  <c r="G34" i="11"/>
  <c r="H34" i="11" s="1"/>
  <c r="G36" i="11"/>
  <c r="H36" i="11" s="1"/>
  <c r="G38" i="11"/>
  <c r="H38" i="11" s="1"/>
  <c r="G40" i="11"/>
  <c r="H40" i="11" s="1"/>
  <c r="G42" i="11"/>
  <c r="H42" i="11" s="1"/>
  <c r="G44" i="11"/>
  <c r="H44" i="11" s="1"/>
  <c r="G46" i="11"/>
  <c r="H46" i="11" s="1"/>
  <c r="G48" i="11"/>
  <c r="H48" i="11" s="1"/>
  <c r="G50" i="11"/>
  <c r="H50" i="11" s="1"/>
  <c r="G52" i="11"/>
  <c r="H52" i="11" s="1"/>
  <c r="G54" i="11"/>
  <c r="H54" i="11" s="1"/>
  <c r="G56" i="11"/>
  <c r="H56" i="11" s="1"/>
  <c r="G58" i="11"/>
  <c r="H58" i="11" s="1"/>
  <c r="G60" i="11"/>
  <c r="H60" i="11" s="1"/>
  <c r="G62" i="11"/>
  <c r="H62" i="11" s="1"/>
  <c r="G64" i="11"/>
  <c r="H64" i="11" s="1"/>
  <c r="E12" i="9"/>
  <c r="D16" i="9"/>
  <c r="H16" i="9"/>
  <c r="G17" i="9"/>
  <c r="F18" i="9"/>
  <c r="E19" i="9"/>
  <c r="D20" i="9"/>
  <c r="H20" i="9"/>
  <c r="G21" i="9"/>
  <c r="F22" i="9"/>
  <c r="E23" i="9"/>
  <c r="D24" i="9"/>
  <c r="H24" i="9"/>
  <c r="G25" i="9"/>
  <c r="F26" i="9"/>
  <c r="E27" i="9"/>
  <c r="D28" i="9"/>
  <c r="H28" i="9"/>
  <c r="G29" i="9"/>
  <c r="F30" i="9"/>
  <c r="E31" i="9"/>
  <c r="D32" i="9"/>
  <c r="H32" i="9"/>
  <c r="G33" i="9"/>
  <c r="F34" i="9"/>
  <c r="E35" i="9"/>
  <c r="D36" i="9"/>
  <c r="H36" i="9"/>
  <c r="G37" i="9"/>
  <c r="F38" i="9"/>
  <c r="E39" i="9"/>
  <c r="D40" i="9"/>
  <c r="H40" i="9"/>
  <c r="G41" i="9"/>
  <c r="F42" i="9"/>
  <c r="E43" i="9"/>
  <c r="D44" i="9"/>
  <c r="H44" i="9"/>
  <c r="G45" i="9"/>
  <c r="F46" i="9"/>
  <c r="E47" i="9"/>
  <c r="D48" i="9"/>
  <c r="H48" i="9"/>
  <c r="G49" i="9"/>
  <c r="F50" i="9"/>
  <c r="E51" i="9"/>
  <c r="D52" i="9"/>
  <c r="H52" i="9"/>
  <c r="G53" i="9"/>
  <c r="F54" i="9"/>
  <c r="E55" i="9"/>
  <c r="D56" i="9"/>
  <c r="H56" i="9"/>
  <c r="G57" i="9"/>
  <c r="F58" i="9"/>
  <c r="E59" i="9"/>
  <c r="D60" i="9"/>
  <c r="H60" i="9"/>
  <c r="G61" i="9"/>
  <c r="F62" i="9"/>
  <c r="E63" i="9"/>
  <c r="F12" i="9"/>
  <c r="E16" i="9"/>
  <c r="D17" i="9"/>
  <c r="H17" i="9"/>
  <c r="G18" i="9"/>
  <c r="F19" i="9"/>
  <c r="E20" i="9"/>
  <c r="D21" i="9"/>
  <c r="H21" i="9"/>
  <c r="G22" i="9"/>
  <c r="F23" i="9"/>
  <c r="E24" i="9"/>
  <c r="D25" i="9"/>
  <c r="H25" i="9"/>
  <c r="G26" i="9"/>
  <c r="F27" i="9"/>
  <c r="E28" i="9"/>
  <c r="D29" i="9"/>
  <c r="H29" i="9"/>
  <c r="G30" i="9"/>
  <c r="F31" i="9"/>
  <c r="E32" i="9"/>
  <c r="D33" i="9"/>
  <c r="H33" i="9"/>
  <c r="G34" i="9"/>
  <c r="F35" i="9"/>
  <c r="E36" i="9"/>
  <c r="D37" i="9"/>
  <c r="H37" i="9"/>
  <c r="G38" i="9"/>
  <c r="F39" i="9"/>
  <c r="E40" i="9"/>
  <c r="D41" i="9"/>
  <c r="H41" i="9"/>
  <c r="G42" i="9"/>
  <c r="F43" i="9"/>
  <c r="E44" i="9"/>
  <c r="D45" i="9"/>
  <c r="H45" i="9"/>
  <c r="G46" i="9"/>
  <c r="F47" i="9"/>
  <c r="E48" i="9"/>
  <c r="D49" i="9"/>
  <c r="H49" i="9"/>
  <c r="G50" i="9"/>
  <c r="F51" i="9"/>
  <c r="E52" i="9"/>
  <c r="D53" i="9"/>
  <c r="H53" i="9"/>
  <c r="G54" i="9"/>
  <c r="F55" i="9"/>
  <c r="E56" i="9"/>
  <c r="D57" i="9"/>
  <c r="H57" i="9"/>
  <c r="G58" i="9"/>
  <c r="F59" i="9"/>
  <c r="E60" i="9"/>
  <c r="D61" i="9"/>
  <c r="H61" i="9"/>
  <c r="G62" i="9"/>
  <c r="F63" i="9"/>
  <c r="G12" i="9"/>
  <c r="F16" i="9"/>
  <c r="E17" i="9"/>
  <c r="D18" i="9"/>
  <c r="H18" i="9"/>
  <c r="G19" i="9"/>
  <c r="F20" i="9"/>
  <c r="E21" i="9"/>
  <c r="D22" i="9"/>
  <c r="H22" i="9"/>
  <c r="G23" i="9"/>
  <c r="F24" i="9"/>
  <c r="E25" i="9"/>
  <c r="D26" i="9"/>
  <c r="H26" i="9"/>
  <c r="G27" i="9"/>
  <c r="F28" i="9"/>
  <c r="E29" i="9"/>
  <c r="D30" i="9"/>
  <c r="H30" i="9"/>
  <c r="G31" i="9"/>
  <c r="F32" i="9"/>
  <c r="E33" i="9"/>
  <c r="D34" i="9"/>
  <c r="H34" i="9"/>
  <c r="G35" i="9"/>
  <c r="F36" i="9"/>
  <c r="E37" i="9"/>
  <c r="D38" i="9"/>
  <c r="H38" i="9"/>
  <c r="G39" i="9"/>
  <c r="F40" i="9"/>
  <c r="E41" i="9"/>
  <c r="D42" i="9"/>
  <c r="H42" i="9"/>
  <c r="G43" i="9"/>
  <c r="F44" i="9"/>
  <c r="E45" i="9"/>
  <c r="D46" i="9"/>
  <c r="H46" i="9"/>
  <c r="G47" i="9"/>
  <c r="F48" i="9"/>
  <c r="E49" i="9"/>
  <c r="D50" i="9"/>
  <c r="H50" i="9"/>
  <c r="G51" i="9"/>
  <c r="F52" i="9"/>
  <c r="E53" i="9"/>
  <c r="D54" i="9"/>
  <c r="H54" i="9"/>
  <c r="G55" i="9"/>
  <c r="F56" i="9"/>
  <c r="E57" i="9"/>
  <c r="D58" i="9"/>
  <c r="H58" i="9"/>
  <c r="G59" i="9"/>
  <c r="F60" i="9"/>
  <c r="E61" i="9"/>
  <c r="D62" i="9"/>
  <c r="H62" i="9"/>
  <c r="G63" i="9"/>
  <c r="D12" i="9"/>
  <c r="H12" i="9"/>
  <c r="G16" i="9"/>
  <c r="F17" i="9"/>
  <c r="E18" i="9"/>
  <c r="D19" i="9"/>
  <c r="H19" i="9"/>
  <c r="G20" i="9"/>
  <c r="F21" i="9"/>
  <c r="E22" i="9"/>
  <c r="D23" i="9"/>
  <c r="H23" i="9"/>
  <c r="G24" i="9"/>
  <c r="F25" i="9"/>
  <c r="E26" i="9"/>
  <c r="D27" i="9"/>
  <c r="H27" i="9"/>
  <c r="G28" i="9"/>
  <c r="F29" i="9"/>
  <c r="E30" i="9"/>
  <c r="D31" i="9"/>
  <c r="H31" i="9"/>
  <c r="G32" i="9"/>
  <c r="F33" i="9"/>
  <c r="E34" i="9"/>
  <c r="D35" i="9"/>
  <c r="H35" i="9"/>
  <c r="G36" i="9"/>
  <c r="F37" i="9"/>
  <c r="E38" i="9"/>
  <c r="D39" i="9"/>
  <c r="H39" i="9"/>
  <c r="G40" i="9"/>
  <c r="F41" i="9"/>
  <c r="E42" i="9"/>
  <c r="D43" i="9"/>
  <c r="H43" i="9"/>
  <c r="G44" i="9"/>
  <c r="F45" i="9"/>
  <c r="E46" i="9"/>
  <c r="D47" i="9"/>
  <c r="H47" i="9"/>
  <c r="G48" i="9"/>
  <c r="F49" i="9"/>
  <c r="E50" i="9"/>
  <c r="D51" i="9"/>
  <c r="H51" i="9"/>
  <c r="G52" i="9"/>
  <c r="F53" i="9"/>
  <c r="E54" i="9"/>
  <c r="D55" i="9"/>
  <c r="H55" i="9"/>
  <c r="G56" i="9"/>
  <c r="F57" i="9"/>
  <c r="E58" i="9"/>
  <c r="D59" i="9"/>
  <c r="H59" i="9"/>
  <c r="Y78" i="5" l="1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77" i="5"/>
  <c r="X78" i="5" l="1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77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58" i="5"/>
  <c r="Y58" i="5" s="1"/>
  <c r="Y59" i="5" l="1"/>
  <c r="Y60" i="5" s="1"/>
  <c r="Y61" i="5" s="1"/>
  <c r="Y62" i="5" s="1"/>
  <c r="Y63" i="5" s="1"/>
  <c r="Y64" i="5" s="1"/>
  <c r="Y65" i="5" s="1"/>
  <c r="Y66" i="5" s="1"/>
  <c r="Y67" i="5" s="1"/>
  <c r="Y68" i="5" s="1"/>
  <c r="Y69" i="5" s="1"/>
  <c r="Y70" i="5" s="1"/>
  <c r="Y71" i="5" s="1"/>
  <c r="Y72" i="5" s="1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28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4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2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5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28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4" i="5"/>
  <c r="E72" i="5"/>
  <c r="F72" i="5" s="1"/>
  <c r="E71" i="5"/>
  <c r="F71" i="5" s="1"/>
  <c r="E70" i="5"/>
  <c r="F70" i="5" s="1"/>
  <c r="E69" i="5"/>
  <c r="F69" i="5" s="1"/>
  <c r="E68" i="5"/>
  <c r="F68" i="5" s="1"/>
  <c r="E67" i="5"/>
  <c r="F67" i="5" s="1"/>
  <c r="E66" i="5"/>
  <c r="F66" i="5" s="1"/>
  <c r="E65" i="5"/>
  <c r="F65" i="5" s="1"/>
  <c r="E64" i="5"/>
  <c r="F64" i="5" s="1"/>
  <c r="E63" i="5"/>
  <c r="F63" i="5" s="1"/>
  <c r="E62" i="5"/>
  <c r="F62" i="5" s="1"/>
  <c r="E61" i="5"/>
  <c r="F61" i="5" s="1"/>
  <c r="E60" i="5"/>
  <c r="F60" i="5" s="1"/>
  <c r="E59" i="5"/>
  <c r="F59" i="5" s="1"/>
  <c r="E58" i="5"/>
  <c r="F58" i="5" s="1"/>
  <c r="V32" i="6"/>
  <c r="U32" i="6"/>
  <c r="R32" i="6"/>
  <c r="Q32" i="6"/>
  <c r="N32" i="6"/>
  <c r="M32" i="6"/>
  <c r="J32" i="6"/>
  <c r="I32" i="6"/>
  <c r="F32" i="6"/>
  <c r="E32" i="6"/>
  <c r="Y32" i="6" s="1"/>
  <c r="Z32" i="6" s="1"/>
  <c r="V30" i="6"/>
  <c r="U30" i="6"/>
  <c r="R30" i="6"/>
  <c r="Q30" i="6"/>
  <c r="N30" i="6"/>
  <c r="M30" i="6"/>
  <c r="J30" i="6"/>
  <c r="I30" i="6"/>
  <c r="F30" i="6"/>
  <c r="E30" i="6"/>
  <c r="Y30" i="6" s="1"/>
  <c r="Z30" i="6" s="1"/>
  <c r="V28" i="6"/>
  <c r="U28" i="6"/>
  <c r="R28" i="6"/>
  <c r="Q28" i="6"/>
  <c r="N28" i="6"/>
  <c r="M28" i="6"/>
  <c r="J28" i="6"/>
  <c r="I28" i="6"/>
  <c r="F28" i="6"/>
  <c r="E28" i="6"/>
  <c r="V26" i="6"/>
  <c r="U26" i="6"/>
  <c r="R26" i="6"/>
  <c r="Q26" i="6"/>
  <c r="N26" i="6"/>
  <c r="M26" i="6"/>
  <c r="J26" i="6"/>
  <c r="I26" i="6"/>
  <c r="F26" i="6"/>
  <c r="E26" i="6"/>
  <c r="Y26" i="6" s="1"/>
  <c r="Z26" i="6" s="1"/>
  <c r="V24" i="6"/>
  <c r="U24" i="6"/>
  <c r="R24" i="6"/>
  <c r="Q24" i="6"/>
  <c r="N24" i="6"/>
  <c r="M24" i="6"/>
  <c r="J24" i="6"/>
  <c r="I24" i="6"/>
  <c r="F24" i="6"/>
  <c r="E24" i="6"/>
  <c r="Y24" i="6" s="1"/>
  <c r="Z24" i="6" s="1"/>
  <c r="V22" i="6"/>
  <c r="U22" i="6"/>
  <c r="R22" i="6"/>
  <c r="Q22" i="6"/>
  <c r="N22" i="6"/>
  <c r="M22" i="6"/>
  <c r="J22" i="6"/>
  <c r="I22" i="6"/>
  <c r="F22" i="6"/>
  <c r="E22" i="6"/>
  <c r="Y22" i="6" s="1"/>
  <c r="Z22" i="6" s="1"/>
  <c r="V20" i="6"/>
  <c r="U20" i="6"/>
  <c r="R20" i="6"/>
  <c r="Q20" i="6"/>
  <c r="N20" i="6"/>
  <c r="M20" i="6"/>
  <c r="J20" i="6"/>
  <c r="I20" i="6"/>
  <c r="F20" i="6"/>
  <c r="E20" i="6"/>
  <c r="Y20" i="6" s="1"/>
  <c r="Z20" i="6" s="1"/>
  <c r="V18" i="6"/>
  <c r="U18" i="6"/>
  <c r="R18" i="6"/>
  <c r="Q18" i="6"/>
  <c r="N18" i="6"/>
  <c r="M18" i="6"/>
  <c r="J18" i="6"/>
  <c r="I18" i="6"/>
  <c r="F18" i="6"/>
  <c r="E18" i="6"/>
  <c r="Y18" i="6" s="1"/>
  <c r="Z18" i="6" s="1"/>
  <c r="V16" i="6"/>
  <c r="U16" i="6"/>
  <c r="R16" i="6"/>
  <c r="Q16" i="6"/>
  <c r="N16" i="6"/>
  <c r="M16" i="6"/>
  <c r="J16" i="6"/>
  <c r="I16" i="6"/>
  <c r="F16" i="6"/>
  <c r="E16" i="6"/>
  <c r="V14" i="6"/>
  <c r="U14" i="6"/>
  <c r="R14" i="6"/>
  <c r="Q14" i="6"/>
  <c r="N14" i="6"/>
  <c r="M14" i="6"/>
  <c r="J14" i="6"/>
  <c r="I14" i="6"/>
  <c r="F14" i="6"/>
  <c r="E14" i="6"/>
  <c r="Y14" i="6" s="1"/>
  <c r="Z14" i="6" s="1"/>
  <c r="V12" i="6"/>
  <c r="U12" i="6"/>
  <c r="R12" i="6"/>
  <c r="Q12" i="6"/>
  <c r="N12" i="6"/>
  <c r="M12" i="6"/>
  <c r="J12" i="6"/>
  <c r="I12" i="6"/>
  <c r="F12" i="6"/>
  <c r="E12" i="6"/>
  <c r="Y12" i="6" s="1"/>
  <c r="Z12" i="6" s="1"/>
  <c r="V10" i="6"/>
  <c r="U10" i="6"/>
  <c r="R10" i="6"/>
  <c r="Q10" i="6"/>
  <c r="N10" i="6"/>
  <c r="M10" i="6"/>
  <c r="J10" i="6"/>
  <c r="I10" i="6"/>
  <c r="F10" i="6"/>
  <c r="E10" i="6"/>
  <c r="Y10" i="6" s="1"/>
  <c r="Z10" i="6" s="1"/>
  <c r="V8" i="6"/>
  <c r="U8" i="6"/>
  <c r="R8" i="6"/>
  <c r="Q8" i="6"/>
  <c r="N8" i="6"/>
  <c r="M8" i="6"/>
  <c r="J8" i="6"/>
  <c r="I8" i="6"/>
  <c r="F8" i="6"/>
  <c r="E8" i="6"/>
  <c r="V6" i="6"/>
  <c r="U6" i="6"/>
  <c r="R6" i="6"/>
  <c r="Q6" i="6"/>
  <c r="N6" i="6"/>
  <c r="M6" i="6"/>
  <c r="J6" i="6"/>
  <c r="I6" i="6"/>
  <c r="F6" i="6"/>
  <c r="E6" i="6"/>
  <c r="Y6" i="6" s="1"/>
  <c r="Z6" i="6" s="1"/>
  <c r="V4" i="6"/>
  <c r="U4" i="6"/>
  <c r="R4" i="6"/>
  <c r="Q4" i="6"/>
  <c r="N4" i="6"/>
  <c r="M4" i="6"/>
  <c r="J4" i="6"/>
  <c r="I4" i="6"/>
  <c r="F4" i="6"/>
  <c r="E4" i="6"/>
  <c r="Y4" i="6" s="1"/>
  <c r="Z4" i="6" s="1"/>
  <c r="E29" i="5"/>
  <c r="F29" i="5" s="1"/>
  <c r="E30" i="5"/>
  <c r="F30" i="5" s="1"/>
  <c r="E31" i="5"/>
  <c r="F31" i="5" s="1"/>
  <c r="E32" i="5"/>
  <c r="F32" i="5" s="1"/>
  <c r="E33" i="5"/>
  <c r="F33" i="5" s="1"/>
  <c r="E34" i="5"/>
  <c r="F34" i="5" s="1"/>
  <c r="E35" i="5"/>
  <c r="F35" i="5" s="1"/>
  <c r="E36" i="5"/>
  <c r="F36" i="5" s="1"/>
  <c r="E37" i="5"/>
  <c r="F37" i="5" s="1"/>
  <c r="E38" i="5"/>
  <c r="F38" i="5" s="1"/>
  <c r="E39" i="5"/>
  <c r="F39" i="5" s="1"/>
  <c r="E40" i="5"/>
  <c r="F40" i="5" s="1"/>
  <c r="E41" i="5"/>
  <c r="F41" i="5" s="1"/>
  <c r="E42" i="5"/>
  <c r="F42" i="5" s="1"/>
  <c r="E43" i="5"/>
  <c r="F43" i="5" s="1"/>
  <c r="E44" i="5"/>
  <c r="F44" i="5" s="1"/>
  <c r="E45" i="5"/>
  <c r="F45" i="5" s="1"/>
  <c r="E46" i="5"/>
  <c r="F46" i="5" s="1"/>
  <c r="E47" i="5"/>
  <c r="F47" i="5" s="1"/>
  <c r="E48" i="5"/>
  <c r="F48" i="5" s="1"/>
  <c r="E49" i="5"/>
  <c r="F49" i="5" s="1"/>
  <c r="E50" i="5"/>
  <c r="F50" i="5" s="1"/>
  <c r="E51" i="5"/>
  <c r="F51" i="5" s="1"/>
  <c r="E28" i="5"/>
  <c r="F28" i="5" s="1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JU210" i="4"/>
  <c r="JU209" i="4"/>
  <c r="JU208" i="4"/>
  <c r="O208" i="4"/>
  <c r="M208" i="4"/>
  <c r="K208" i="4"/>
  <c r="I208" i="4"/>
  <c r="JU207" i="4"/>
  <c r="JU206" i="4"/>
  <c r="O206" i="4"/>
  <c r="M206" i="4"/>
  <c r="K206" i="4"/>
  <c r="I206" i="4"/>
  <c r="JU205" i="4"/>
  <c r="O205" i="4"/>
  <c r="N205" i="4"/>
  <c r="M205" i="4"/>
  <c r="L205" i="4"/>
  <c r="K205" i="4"/>
  <c r="J205" i="4"/>
  <c r="I205" i="4"/>
  <c r="H205" i="4"/>
  <c r="G205" i="4"/>
  <c r="JU204" i="4"/>
  <c r="JU203" i="4"/>
  <c r="JU202" i="4"/>
  <c r="JU201" i="4"/>
  <c r="JU200" i="4"/>
  <c r="JU199" i="4"/>
  <c r="JU198" i="4"/>
  <c r="JU197" i="4"/>
  <c r="JU196" i="4"/>
  <c r="JU195" i="4"/>
  <c r="JU194" i="4"/>
  <c r="JU193" i="4"/>
  <c r="JU192" i="4"/>
  <c r="JU191" i="4"/>
  <c r="JU190" i="4"/>
  <c r="JU189" i="4"/>
  <c r="JU188" i="4"/>
  <c r="JU187" i="4"/>
  <c r="JU186" i="4"/>
  <c r="JU185" i="4"/>
  <c r="JU184" i="4"/>
  <c r="JU183" i="4"/>
  <c r="JU182" i="4"/>
  <c r="JU181" i="4"/>
  <c r="JU180" i="4"/>
  <c r="JU179" i="4"/>
  <c r="JU178" i="4"/>
  <c r="JU177" i="4"/>
  <c r="JU176" i="4"/>
  <c r="JU175" i="4"/>
  <c r="JU174" i="4"/>
  <c r="JU173" i="4"/>
  <c r="JU172" i="4"/>
  <c r="JU171" i="4"/>
  <c r="JU170" i="4"/>
  <c r="JU169" i="4"/>
  <c r="JU168" i="4"/>
  <c r="JU167" i="4"/>
  <c r="JU166" i="4"/>
  <c r="JU165" i="4"/>
  <c r="JU164" i="4"/>
  <c r="AI164" i="4"/>
  <c r="AF164" i="4"/>
  <c r="AC164" i="4"/>
  <c r="Z164" i="4"/>
  <c r="W164" i="4"/>
  <c r="JU163" i="4"/>
  <c r="AI163" i="4"/>
  <c r="AF163" i="4"/>
  <c r="AC163" i="4"/>
  <c r="Z163" i="4"/>
  <c r="W163" i="4"/>
  <c r="JU162" i="4"/>
  <c r="AI162" i="4"/>
  <c r="AF162" i="4"/>
  <c r="AC162" i="4"/>
  <c r="Z162" i="4"/>
  <c r="W162" i="4"/>
  <c r="JU161" i="4"/>
  <c r="AI161" i="4"/>
  <c r="AF161" i="4"/>
  <c r="AC161" i="4"/>
  <c r="Z161" i="4"/>
  <c r="W161" i="4"/>
  <c r="JU160" i="4"/>
  <c r="AI160" i="4"/>
  <c r="AF160" i="4"/>
  <c r="AC160" i="4"/>
  <c r="Z160" i="4"/>
  <c r="W160" i="4"/>
  <c r="JU159" i="4"/>
  <c r="AI159" i="4"/>
  <c r="AF159" i="4"/>
  <c r="AC159" i="4"/>
  <c r="Z159" i="4"/>
  <c r="W159" i="4"/>
  <c r="JU158" i="4"/>
  <c r="AI158" i="4"/>
  <c r="AF158" i="4"/>
  <c r="AC158" i="4"/>
  <c r="Z158" i="4"/>
  <c r="W158" i="4"/>
  <c r="JU157" i="4"/>
  <c r="AI157" i="4"/>
  <c r="AF157" i="4"/>
  <c r="AC157" i="4"/>
  <c r="Z157" i="4"/>
  <c r="W157" i="4"/>
  <c r="JU156" i="4"/>
  <c r="AI156" i="4"/>
  <c r="AF156" i="4"/>
  <c r="AC156" i="4"/>
  <c r="Z156" i="4"/>
  <c r="W156" i="4"/>
  <c r="JU155" i="4"/>
  <c r="AI155" i="4"/>
  <c r="AF155" i="4"/>
  <c r="AC155" i="4"/>
  <c r="Z155" i="4"/>
  <c r="W155" i="4"/>
  <c r="JU154" i="4"/>
  <c r="AI154" i="4"/>
  <c r="AF154" i="4"/>
  <c r="AC154" i="4"/>
  <c r="Z154" i="4"/>
  <c r="W154" i="4"/>
  <c r="JU153" i="4"/>
  <c r="AI153" i="4"/>
  <c r="AF153" i="4"/>
  <c r="AC153" i="4"/>
  <c r="Z153" i="4"/>
  <c r="W153" i="4"/>
  <c r="JU152" i="4"/>
  <c r="AI152" i="4"/>
  <c r="AF152" i="4"/>
  <c r="AC152" i="4"/>
  <c r="Z152" i="4"/>
  <c r="W152" i="4"/>
  <c r="JU151" i="4"/>
  <c r="AI151" i="4"/>
  <c r="AF151" i="4"/>
  <c r="AC151" i="4"/>
  <c r="Z151" i="4"/>
  <c r="W151" i="4"/>
  <c r="AI150" i="4"/>
  <c r="AF150" i="4"/>
  <c r="AC150" i="4"/>
  <c r="Z150" i="4"/>
  <c r="W150" i="4"/>
  <c r="AI149" i="4"/>
  <c r="AF149" i="4"/>
  <c r="AC149" i="4"/>
  <c r="Z149" i="4"/>
  <c r="W149" i="4"/>
  <c r="JT148" i="4"/>
  <c r="JS148" i="4"/>
  <c r="AI148" i="4"/>
  <c r="AF148" i="4"/>
  <c r="AC148" i="4"/>
  <c r="Z148" i="4"/>
  <c r="W148" i="4"/>
  <c r="AI147" i="4"/>
  <c r="AF147" i="4"/>
  <c r="AC147" i="4"/>
  <c r="Z147" i="4"/>
  <c r="W147" i="4"/>
  <c r="AI146" i="4"/>
  <c r="AF146" i="4"/>
  <c r="AC146" i="4"/>
  <c r="Z146" i="4"/>
  <c r="W146" i="4"/>
  <c r="AI145" i="4"/>
  <c r="AF145" i="4"/>
  <c r="AC145" i="4"/>
  <c r="Z145" i="4"/>
  <c r="W145" i="4"/>
  <c r="AI144" i="4"/>
  <c r="AF144" i="4"/>
  <c r="AC144" i="4"/>
  <c r="Z144" i="4"/>
  <c r="W144" i="4"/>
  <c r="AI143" i="4"/>
  <c r="AF143" i="4"/>
  <c r="AC143" i="4"/>
  <c r="Z143" i="4"/>
  <c r="W143" i="4"/>
  <c r="AI142" i="4"/>
  <c r="AF142" i="4"/>
  <c r="AC142" i="4"/>
  <c r="Z142" i="4"/>
  <c r="W142" i="4"/>
  <c r="AI141" i="4"/>
  <c r="AF141" i="4"/>
  <c r="AC141" i="4"/>
  <c r="Z141" i="4"/>
  <c r="W141" i="4"/>
  <c r="AI140" i="4"/>
  <c r="AF140" i="4"/>
  <c r="AC140" i="4"/>
  <c r="Z140" i="4"/>
  <c r="W140" i="4"/>
  <c r="AI139" i="4"/>
  <c r="AF139" i="4"/>
  <c r="AC139" i="4"/>
  <c r="Z139" i="4"/>
  <c r="W139" i="4"/>
  <c r="AI138" i="4"/>
  <c r="AF138" i="4"/>
  <c r="AC138" i="4"/>
  <c r="Z138" i="4"/>
  <c r="W138" i="4"/>
  <c r="AI137" i="4"/>
  <c r="AF137" i="4"/>
  <c r="AC137" i="4"/>
  <c r="Z137" i="4"/>
  <c r="W137" i="4"/>
  <c r="AI136" i="4"/>
  <c r="AF136" i="4"/>
  <c r="AC136" i="4"/>
  <c r="Z136" i="4"/>
  <c r="W136" i="4"/>
  <c r="AI135" i="4"/>
  <c r="AF135" i="4"/>
  <c r="AC135" i="4"/>
  <c r="Z135" i="4"/>
  <c r="W135" i="4"/>
  <c r="AI134" i="4"/>
  <c r="AF134" i="4"/>
  <c r="AC134" i="4"/>
  <c r="Z134" i="4"/>
  <c r="W134" i="4"/>
  <c r="Q134" i="4"/>
  <c r="AI133" i="4"/>
  <c r="AF133" i="4"/>
  <c r="AC133" i="4"/>
  <c r="Z133" i="4"/>
  <c r="W133" i="4"/>
  <c r="AI132" i="4"/>
  <c r="AF132" i="4"/>
  <c r="AC132" i="4"/>
  <c r="Z132" i="4"/>
  <c r="W132" i="4"/>
  <c r="AI131" i="4"/>
  <c r="AF131" i="4"/>
  <c r="AC131" i="4"/>
  <c r="Z131" i="4"/>
  <c r="W131" i="4"/>
  <c r="AI130" i="4"/>
  <c r="AF130" i="4"/>
  <c r="AC130" i="4"/>
  <c r="Z130" i="4"/>
  <c r="W130" i="4"/>
  <c r="AI129" i="4"/>
  <c r="AF129" i="4"/>
  <c r="AC129" i="4"/>
  <c r="Z129" i="4"/>
  <c r="W129" i="4"/>
  <c r="Q129" i="4"/>
  <c r="AI128" i="4"/>
  <c r="AF128" i="4"/>
  <c r="AC128" i="4"/>
  <c r="Z128" i="4"/>
  <c r="W128" i="4"/>
  <c r="AI127" i="4"/>
  <c r="AF127" i="4"/>
  <c r="AC127" i="4"/>
  <c r="Z127" i="4"/>
  <c r="W127" i="4"/>
  <c r="AI126" i="4"/>
  <c r="AF126" i="4"/>
  <c r="AC126" i="4"/>
  <c r="Z126" i="4"/>
  <c r="W126" i="4"/>
  <c r="CG125" i="4"/>
  <c r="CF125" i="4"/>
  <c r="BV125" i="4"/>
  <c r="AI125" i="4"/>
  <c r="AF125" i="4"/>
  <c r="AC125" i="4"/>
  <c r="Z125" i="4"/>
  <c r="W125" i="4"/>
  <c r="CG124" i="4"/>
  <c r="CF124" i="4"/>
  <c r="BI124" i="4"/>
  <c r="BF124" i="4"/>
  <c r="BE124" i="4"/>
  <c r="BB124" i="4"/>
  <c r="AY124" i="4"/>
  <c r="AT124" i="4"/>
  <c r="AN124" i="4"/>
  <c r="AI124" i="4"/>
  <c r="AF124" i="4"/>
  <c r="AC124" i="4"/>
  <c r="Z124" i="4"/>
  <c r="W124" i="4"/>
  <c r="Q124" i="4"/>
  <c r="CG123" i="4"/>
  <c r="CF123" i="4"/>
  <c r="BI123" i="4"/>
  <c r="BF123" i="4"/>
  <c r="BE123" i="4"/>
  <c r="BB123" i="4"/>
  <c r="AY123" i="4"/>
  <c r="AT123" i="4"/>
  <c r="AN123" i="4"/>
  <c r="AI123" i="4"/>
  <c r="AF123" i="4"/>
  <c r="AC123" i="4"/>
  <c r="Z123" i="4"/>
  <c r="W123" i="4"/>
  <c r="CG122" i="4"/>
  <c r="CF122" i="4"/>
  <c r="BI122" i="4"/>
  <c r="BF122" i="4"/>
  <c r="BE122" i="4"/>
  <c r="BB122" i="4"/>
  <c r="AY122" i="4"/>
  <c r="AT122" i="4"/>
  <c r="AN122" i="4"/>
  <c r="AI122" i="4"/>
  <c r="AF122" i="4"/>
  <c r="AC122" i="4"/>
  <c r="Z122" i="4"/>
  <c r="W122" i="4"/>
  <c r="CG121" i="4"/>
  <c r="CF121" i="4"/>
  <c r="BI121" i="4"/>
  <c r="BF121" i="4"/>
  <c r="BE121" i="4"/>
  <c r="BB121" i="4"/>
  <c r="AY121" i="4"/>
  <c r="AT121" i="4"/>
  <c r="AN121" i="4"/>
  <c r="AI121" i="4"/>
  <c r="AF121" i="4"/>
  <c r="AC121" i="4"/>
  <c r="Z121" i="4"/>
  <c r="W121" i="4"/>
  <c r="CG120" i="4"/>
  <c r="CF120" i="4"/>
  <c r="BI120" i="4"/>
  <c r="BF120" i="4"/>
  <c r="BE120" i="4"/>
  <c r="BB120" i="4"/>
  <c r="AY120" i="4"/>
  <c r="AT120" i="4"/>
  <c r="AN120" i="4"/>
  <c r="AI120" i="4"/>
  <c r="AF120" i="4"/>
  <c r="AC120" i="4"/>
  <c r="Z120" i="4"/>
  <c r="W120" i="4"/>
  <c r="CG119" i="4"/>
  <c r="CF119" i="4"/>
  <c r="BI119" i="4"/>
  <c r="BF119" i="4"/>
  <c r="BE119" i="4"/>
  <c r="BB119" i="4"/>
  <c r="AY119" i="4"/>
  <c r="AT119" i="4"/>
  <c r="AN119" i="4"/>
  <c r="AI119" i="4"/>
  <c r="AF119" i="4"/>
  <c r="AC119" i="4"/>
  <c r="Z119" i="4"/>
  <c r="W119" i="4"/>
  <c r="Q119" i="4"/>
  <c r="CG118" i="4"/>
  <c r="CF118" i="4"/>
  <c r="BI118" i="4"/>
  <c r="BF118" i="4"/>
  <c r="BE118" i="4"/>
  <c r="BB118" i="4"/>
  <c r="AY118" i="4"/>
  <c r="AT118" i="4"/>
  <c r="AN118" i="4"/>
  <c r="AI118" i="4"/>
  <c r="AF118" i="4"/>
  <c r="AC118" i="4"/>
  <c r="Z118" i="4"/>
  <c r="W118" i="4"/>
  <c r="CG117" i="4"/>
  <c r="CF117" i="4"/>
  <c r="BI117" i="4"/>
  <c r="BF117" i="4"/>
  <c r="BE117" i="4"/>
  <c r="BB117" i="4"/>
  <c r="AY117" i="4"/>
  <c r="AT117" i="4"/>
  <c r="AN117" i="4"/>
  <c r="AI117" i="4"/>
  <c r="AF117" i="4"/>
  <c r="AC117" i="4"/>
  <c r="Z117" i="4"/>
  <c r="W117" i="4"/>
  <c r="CG116" i="4"/>
  <c r="CF116" i="4"/>
  <c r="BI116" i="4"/>
  <c r="BF116" i="4"/>
  <c r="BE116" i="4"/>
  <c r="BB116" i="4"/>
  <c r="AY116" i="4"/>
  <c r="AT116" i="4"/>
  <c r="AN116" i="4"/>
  <c r="AI116" i="4"/>
  <c r="AF116" i="4"/>
  <c r="AC116" i="4"/>
  <c r="Z116" i="4"/>
  <c r="W116" i="4"/>
  <c r="CG115" i="4"/>
  <c r="CF115" i="4"/>
  <c r="BI115" i="4"/>
  <c r="BF115" i="4"/>
  <c r="BE115" i="4"/>
  <c r="BB115" i="4"/>
  <c r="AY115" i="4"/>
  <c r="AT115" i="4"/>
  <c r="AN115" i="4"/>
  <c r="AI115" i="4"/>
  <c r="AF115" i="4"/>
  <c r="AC115" i="4"/>
  <c r="Z115" i="4"/>
  <c r="W115" i="4"/>
  <c r="CG114" i="4"/>
  <c r="CF114" i="4"/>
  <c r="BI114" i="4"/>
  <c r="BF114" i="4"/>
  <c r="BE114" i="4"/>
  <c r="BB114" i="4"/>
  <c r="AY114" i="4"/>
  <c r="AT114" i="4"/>
  <c r="AN114" i="4"/>
  <c r="AI114" i="4"/>
  <c r="AF114" i="4"/>
  <c r="AC114" i="4"/>
  <c r="Z114" i="4"/>
  <c r="W114" i="4"/>
  <c r="Q114" i="4"/>
  <c r="BI113" i="4"/>
  <c r="BF113" i="4"/>
  <c r="BE113" i="4"/>
  <c r="BB113" i="4"/>
  <c r="AY113" i="4"/>
  <c r="AT113" i="4"/>
  <c r="AN113" i="4"/>
  <c r="AI113" i="4"/>
  <c r="AF113" i="4"/>
  <c r="AC113" i="4"/>
  <c r="Z113" i="4"/>
  <c r="W113" i="4"/>
  <c r="BI112" i="4"/>
  <c r="BF112" i="4"/>
  <c r="BE112" i="4"/>
  <c r="BB112" i="4"/>
  <c r="AY112" i="4"/>
  <c r="AT112" i="4"/>
  <c r="AN112" i="4"/>
  <c r="AI112" i="4"/>
  <c r="AF112" i="4"/>
  <c r="AC112" i="4"/>
  <c r="Z112" i="4"/>
  <c r="W112" i="4"/>
  <c r="BI111" i="4"/>
  <c r="BF111" i="4"/>
  <c r="BE111" i="4"/>
  <c r="BB111" i="4"/>
  <c r="AY111" i="4"/>
  <c r="AT111" i="4"/>
  <c r="AN111" i="4"/>
  <c r="AI111" i="4"/>
  <c r="AF111" i="4"/>
  <c r="AC111" i="4"/>
  <c r="Z111" i="4"/>
  <c r="W111" i="4"/>
  <c r="BI110" i="4"/>
  <c r="BF110" i="4"/>
  <c r="BE110" i="4"/>
  <c r="BB110" i="4"/>
  <c r="AY110" i="4"/>
  <c r="AT110" i="4"/>
  <c r="AN110" i="4"/>
  <c r="AI110" i="4"/>
  <c r="AF110" i="4"/>
  <c r="AC110" i="4"/>
  <c r="Z110" i="4"/>
  <c r="W110" i="4"/>
  <c r="BI109" i="4"/>
  <c r="BF109" i="4"/>
  <c r="BE109" i="4"/>
  <c r="BB109" i="4"/>
  <c r="AY109" i="4"/>
  <c r="AT109" i="4"/>
  <c r="AN109" i="4"/>
  <c r="AI109" i="4"/>
  <c r="AF109" i="4"/>
  <c r="AC109" i="4"/>
  <c r="Z109" i="4"/>
  <c r="W109" i="4"/>
  <c r="Q109" i="4"/>
  <c r="BI108" i="4"/>
  <c r="BF108" i="4"/>
  <c r="BE108" i="4"/>
  <c r="BB108" i="4"/>
  <c r="AY108" i="4"/>
  <c r="AT108" i="4"/>
  <c r="AN108" i="4"/>
  <c r="AI108" i="4"/>
  <c r="AF108" i="4"/>
  <c r="AC108" i="4"/>
  <c r="Z108" i="4"/>
  <c r="W108" i="4"/>
  <c r="BI107" i="4"/>
  <c r="BF107" i="4"/>
  <c r="BE107" i="4"/>
  <c r="BB107" i="4"/>
  <c r="AY107" i="4"/>
  <c r="AT107" i="4"/>
  <c r="AN107" i="4"/>
  <c r="AI107" i="4"/>
  <c r="AF107" i="4"/>
  <c r="AC107" i="4"/>
  <c r="Z107" i="4"/>
  <c r="W107" i="4"/>
  <c r="BI106" i="4"/>
  <c r="BF106" i="4"/>
  <c r="BE106" i="4"/>
  <c r="BB106" i="4"/>
  <c r="AY106" i="4"/>
  <c r="AT106" i="4"/>
  <c r="AN106" i="4"/>
  <c r="AI106" i="4"/>
  <c r="AF106" i="4"/>
  <c r="AC106" i="4"/>
  <c r="Z106" i="4"/>
  <c r="W106" i="4"/>
  <c r="BI105" i="4"/>
  <c r="BF105" i="4"/>
  <c r="BE105" i="4"/>
  <c r="BB105" i="4"/>
  <c r="AY105" i="4"/>
  <c r="AT105" i="4"/>
  <c r="AN105" i="4"/>
  <c r="AI105" i="4"/>
  <c r="AF105" i="4"/>
  <c r="AC105" i="4"/>
  <c r="Z105" i="4"/>
  <c r="W105" i="4"/>
  <c r="BV103" i="4"/>
  <c r="BU103" i="4"/>
  <c r="BT103" i="4"/>
  <c r="BS103" i="4"/>
  <c r="BR103" i="4"/>
  <c r="BH102" i="4"/>
  <c r="BG102" i="4"/>
  <c r="BD102" i="4"/>
  <c r="BC102" i="4"/>
  <c r="BA102" i="4"/>
  <c r="AZ102" i="4"/>
  <c r="AX102" i="4"/>
  <c r="AW102" i="4"/>
  <c r="AV102" i="4"/>
  <c r="AU102" i="4"/>
  <c r="AS102" i="4"/>
  <c r="AR102" i="4"/>
  <c r="AH102" i="4"/>
  <c r="AG102" i="4"/>
  <c r="AE102" i="4"/>
  <c r="AD102" i="4"/>
  <c r="AB102" i="4"/>
  <c r="AA102" i="4"/>
  <c r="Y102" i="4"/>
  <c r="X102" i="4"/>
  <c r="V102" i="4"/>
  <c r="U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EO95" i="4"/>
  <c r="EE95" i="4"/>
  <c r="DU95" i="4"/>
  <c r="DK95" i="4"/>
  <c r="DA95" i="4"/>
  <c r="CQ95" i="4"/>
  <c r="CG95" i="4"/>
  <c r="BW95" i="4"/>
  <c r="BM95" i="4"/>
  <c r="BC95" i="4"/>
  <c r="AS95" i="4"/>
  <c r="AI95" i="4"/>
  <c r="Y95" i="4"/>
  <c r="O95" i="4"/>
  <c r="EO94" i="4"/>
  <c r="EE94" i="4"/>
  <c r="DU94" i="4"/>
  <c r="DK94" i="4"/>
  <c r="DA94" i="4"/>
  <c r="CQ94" i="4"/>
  <c r="CG94" i="4"/>
  <c r="BW94" i="4"/>
  <c r="BM94" i="4"/>
  <c r="BC94" i="4"/>
  <c r="AS94" i="4"/>
  <c r="AI94" i="4"/>
  <c r="Y94" i="4"/>
  <c r="O94" i="4"/>
  <c r="EO93" i="4"/>
  <c r="EE93" i="4"/>
  <c r="DU93" i="4"/>
  <c r="DK93" i="4"/>
  <c r="DA93" i="4"/>
  <c r="CQ93" i="4"/>
  <c r="CG93" i="4"/>
  <c r="BW93" i="4"/>
  <c r="BM93" i="4"/>
  <c r="BC93" i="4"/>
  <c r="AS93" i="4"/>
  <c r="AI93" i="4"/>
  <c r="Y93" i="4"/>
  <c r="O93" i="4"/>
  <c r="EO92" i="4"/>
  <c r="EE92" i="4"/>
  <c r="DU92" i="4"/>
  <c r="DK92" i="4"/>
  <c r="DA92" i="4"/>
  <c r="CQ92" i="4"/>
  <c r="CG92" i="4"/>
  <c r="BW92" i="4"/>
  <c r="BM92" i="4"/>
  <c r="BC92" i="4"/>
  <c r="AS92" i="4"/>
  <c r="AI92" i="4"/>
  <c r="Y92" i="4"/>
  <c r="O92" i="4"/>
  <c r="BG90" i="4"/>
  <c r="BF90" i="4"/>
  <c r="BG89" i="4"/>
  <c r="BF89" i="4"/>
  <c r="BG88" i="4"/>
  <c r="BF88" i="4"/>
  <c r="GW85" i="4"/>
  <c r="GV85" i="4"/>
  <c r="GM85" i="4"/>
  <c r="GL85" i="4"/>
  <c r="GC85" i="4"/>
  <c r="GB85" i="4"/>
  <c r="FS85" i="4"/>
  <c r="FR85" i="4"/>
  <c r="FI85" i="4"/>
  <c r="FH85" i="4"/>
  <c r="EY85" i="4"/>
  <c r="EX85" i="4"/>
  <c r="EO85" i="4"/>
  <c r="EN85" i="4"/>
  <c r="EE85" i="4"/>
  <c r="ED85" i="4"/>
  <c r="DU85" i="4"/>
  <c r="DT85" i="4"/>
  <c r="DK85" i="4"/>
  <c r="DJ85" i="4"/>
  <c r="DA85" i="4"/>
  <c r="CZ85" i="4"/>
  <c r="CQ85" i="4"/>
  <c r="CP85" i="4"/>
  <c r="CG85" i="4"/>
  <c r="CG86" i="4" s="1"/>
  <c r="CF85" i="4"/>
  <c r="CF86" i="4" s="1"/>
  <c r="BW85" i="4"/>
  <c r="BW86" i="4" s="1"/>
  <c r="BV85" i="4"/>
  <c r="BV86" i="4" s="1"/>
  <c r="BM85" i="4"/>
  <c r="BL85" i="4"/>
  <c r="BI85" i="4"/>
  <c r="BM86" i="4" s="1"/>
  <c r="BH85" i="4"/>
  <c r="BL86" i="4" s="1"/>
  <c r="BE85" i="4"/>
  <c r="BD85" i="4"/>
  <c r="BC85" i="4"/>
  <c r="BB85" i="4"/>
  <c r="AY85" i="4"/>
  <c r="AX85" i="4"/>
  <c r="AU85" i="4"/>
  <c r="AT85" i="4"/>
  <c r="AS85" i="4"/>
  <c r="AR85" i="4"/>
  <c r="AO85" i="4"/>
  <c r="AS86" i="4" s="1"/>
  <c r="AN85" i="4"/>
  <c r="AR86" i="4" s="1"/>
  <c r="AK85" i="4"/>
  <c r="AJ85" i="4"/>
  <c r="AI85" i="4"/>
  <c r="AH85" i="4"/>
  <c r="AE85" i="4"/>
  <c r="AD85" i="4"/>
  <c r="AA85" i="4"/>
  <c r="AG85" i="4" s="1"/>
  <c r="Z85" i="4"/>
  <c r="AF85" i="4" s="1"/>
  <c r="Y85" i="4"/>
  <c r="X85" i="4"/>
  <c r="U85" i="4"/>
  <c r="T85" i="4"/>
  <c r="X86" i="4" s="1"/>
  <c r="Q85" i="4"/>
  <c r="P85" i="4"/>
  <c r="O85" i="4"/>
  <c r="N85" i="4"/>
  <c r="K85" i="4"/>
  <c r="J85" i="4"/>
  <c r="G85" i="4"/>
  <c r="F85" i="4"/>
  <c r="GW81" i="4"/>
  <c r="GV81" i="4"/>
  <c r="GS81" i="4"/>
  <c r="GR81" i="4"/>
  <c r="GO81" i="4"/>
  <c r="GN81" i="4"/>
  <c r="GM81" i="4"/>
  <c r="GL81" i="4"/>
  <c r="GI81" i="4"/>
  <c r="GH81" i="4"/>
  <c r="GE81" i="4"/>
  <c r="GD81" i="4"/>
  <c r="GC81" i="4"/>
  <c r="GB81" i="4"/>
  <c r="FY81" i="4"/>
  <c r="FX81" i="4"/>
  <c r="FU81" i="4"/>
  <c r="FT81" i="4"/>
  <c r="FS81" i="4"/>
  <c r="FR81" i="4"/>
  <c r="FO81" i="4"/>
  <c r="FN81" i="4"/>
  <c r="FK81" i="4"/>
  <c r="FJ81" i="4"/>
  <c r="FI81" i="4"/>
  <c r="FH81" i="4"/>
  <c r="FE81" i="4"/>
  <c r="FD81" i="4"/>
  <c r="FA81" i="4"/>
  <c r="EZ81" i="4"/>
  <c r="EY81" i="4"/>
  <c r="EX81" i="4"/>
  <c r="EU81" i="4"/>
  <c r="ET81" i="4"/>
  <c r="EQ81" i="4"/>
  <c r="EP81" i="4"/>
  <c r="EO81" i="4"/>
  <c r="EN81" i="4"/>
  <c r="EK81" i="4"/>
  <c r="EJ81" i="4"/>
  <c r="EG81" i="4"/>
  <c r="EF81" i="4"/>
  <c r="EE81" i="4"/>
  <c r="ED81" i="4"/>
  <c r="EA81" i="4"/>
  <c r="DZ81" i="4"/>
  <c r="DW81" i="4"/>
  <c r="DV81" i="4"/>
  <c r="DU81" i="4"/>
  <c r="DT81" i="4"/>
  <c r="DQ81" i="4"/>
  <c r="DP81" i="4"/>
  <c r="DM81" i="4"/>
  <c r="DL81" i="4"/>
  <c r="DK81" i="4"/>
  <c r="DJ81" i="4"/>
  <c r="DG81" i="4"/>
  <c r="DF81" i="4"/>
  <c r="DC81" i="4"/>
  <c r="DB81" i="4"/>
  <c r="DA81" i="4"/>
  <c r="CZ81" i="4"/>
  <c r="CW81" i="4"/>
  <c r="CV81" i="4"/>
  <c r="CS81" i="4"/>
  <c r="CR81" i="4"/>
  <c r="CQ81" i="4"/>
  <c r="CP81" i="4"/>
  <c r="CM81" i="4"/>
  <c r="CL81" i="4"/>
  <c r="CI81" i="4"/>
  <c r="CH81" i="4"/>
  <c r="CG81" i="4"/>
  <c r="CF81" i="4"/>
  <c r="CC81" i="4"/>
  <c r="CB81" i="4"/>
  <c r="BY81" i="4"/>
  <c r="BX81" i="4"/>
  <c r="BW81" i="4"/>
  <c r="BV81" i="4"/>
  <c r="BS81" i="4"/>
  <c r="BR81" i="4"/>
  <c r="BO81" i="4"/>
  <c r="BN81" i="4"/>
  <c r="BM81" i="4"/>
  <c r="BL81" i="4"/>
  <c r="BI81" i="4"/>
  <c r="BH81" i="4"/>
  <c r="BE81" i="4"/>
  <c r="BD81" i="4"/>
  <c r="BC81" i="4"/>
  <c r="BB81" i="4"/>
  <c r="AY81" i="4"/>
  <c r="AX81" i="4"/>
  <c r="AU81" i="4"/>
  <c r="AT81" i="4"/>
  <c r="AS81" i="4"/>
  <c r="AR81" i="4"/>
  <c r="AO81" i="4"/>
  <c r="AN81" i="4"/>
  <c r="AK81" i="4"/>
  <c r="AJ81" i="4"/>
  <c r="AI81" i="4"/>
  <c r="AH81" i="4"/>
  <c r="AE81" i="4"/>
  <c r="AD81" i="4"/>
  <c r="AA81" i="4"/>
  <c r="Z81" i="4"/>
  <c r="Y81" i="4"/>
  <c r="X81" i="4"/>
  <c r="U81" i="4"/>
  <c r="T81" i="4"/>
  <c r="Q81" i="4"/>
  <c r="P81" i="4"/>
  <c r="O81" i="4"/>
  <c r="N81" i="4"/>
  <c r="K81" i="4"/>
  <c r="J81" i="4"/>
  <c r="G81" i="4"/>
  <c r="F81" i="4"/>
  <c r="GW80" i="4"/>
  <c r="GV80" i="4"/>
  <c r="GS80" i="4"/>
  <c r="GR80" i="4"/>
  <c r="GO80" i="4"/>
  <c r="GN80" i="4"/>
  <c r="GM80" i="4"/>
  <c r="GL80" i="4"/>
  <c r="GI80" i="4"/>
  <c r="GH80" i="4"/>
  <c r="GE80" i="4"/>
  <c r="GD80" i="4"/>
  <c r="GC80" i="4"/>
  <c r="GB80" i="4"/>
  <c r="FY80" i="4"/>
  <c r="FX80" i="4"/>
  <c r="FU80" i="4"/>
  <c r="FT80" i="4"/>
  <c r="FS80" i="4"/>
  <c r="FR80" i="4"/>
  <c r="FO80" i="4"/>
  <c r="FN80" i="4"/>
  <c r="FK80" i="4"/>
  <c r="FJ80" i="4"/>
  <c r="FI80" i="4"/>
  <c r="FH80" i="4"/>
  <c r="FE80" i="4"/>
  <c r="FD80" i="4"/>
  <c r="FA80" i="4"/>
  <c r="EZ80" i="4"/>
  <c r="EY80" i="4"/>
  <c r="EX80" i="4"/>
  <c r="EU80" i="4"/>
  <c r="ET80" i="4"/>
  <c r="EQ80" i="4"/>
  <c r="EP80" i="4"/>
  <c r="EO80" i="4"/>
  <c r="EN80" i="4"/>
  <c r="EK80" i="4"/>
  <c r="EJ80" i="4"/>
  <c r="EG80" i="4"/>
  <c r="EF80" i="4"/>
  <c r="EE80" i="4"/>
  <c r="ED80" i="4"/>
  <c r="EA80" i="4"/>
  <c r="DZ80" i="4"/>
  <c r="DW80" i="4"/>
  <c r="DV80" i="4"/>
  <c r="DU80" i="4"/>
  <c r="DT80" i="4"/>
  <c r="DQ80" i="4"/>
  <c r="DP80" i="4"/>
  <c r="DM80" i="4"/>
  <c r="DL80" i="4"/>
  <c r="DK80" i="4"/>
  <c r="DJ80" i="4"/>
  <c r="DG80" i="4"/>
  <c r="DF80" i="4"/>
  <c r="DC80" i="4"/>
  <c r="DB80" i="4"/>
  <c r="DA80" i="4"/>
  <c r="CZ80" i="4"/>
  <c r="CW80" i="4"/>
  <c r="CV80" i="4"/>
  <c r="CS80" i="4"/>
  <c r="CR80" i="4"/>
  <c r="CQ80" i="4"/>
  <c r="CP80" i="4"/>
  <c r="CM80" i="4"/>
  <c r="CL80" i="4"/>
  <c r="CI80" i="4"/>
  <c r="CH80" i="4"/>
  <c r="CG80" i="4"/>
  <c r="CF80" i="4"/>
  <c r="CC80" i="4"/>
  <c r="CB80" i="4"/>
  <c r="BY80" i="4"/>
  <c r="BX80" i="4"/>
  <c r="BW80" i="4"/>
  <c r="BV80" i="4"/>
  <c r="BS80" i="4"/>
  <c r="BR80" i="4"/>
  <c r="BO80" i="4"/>
  <c r="BN80" i="4"/>
  <c r="BM80" i="4"/>
  <c r="BL80" i="4"/>
  <c r="BI80" i="4"/>
  <c r="BH80" i="4"/>
  <c r="BE80" i="4"/>
  <c r="BD80" i="4"/>
  <c r="BC80" i="4"/>
  <c r="BB80" i="4"/>
  <c r="AY80" i="4"/>
  <c r="AX80" i="4"/>
  <c r="AU80" i="4"/>
  <c r="AT80" i="4"/>
  <c r="AS80" i="4"/>
  <c r="AR80" i="4"/>
  <c r="AO80" i="4"/>
  <c r="AN80" i="4"/>
  <c r="AK80" i="4"/>
  <c r="AJ80" i="4"/>
  <c r="AI80" i="4"/>
  <c r="AH80" i="4"/>
  <c r="AE80" i="4"/>
  <c r="AD80" i="4"/>
  <c r="AA80" i="4"/>
  <c r="Z80" i="4"/>
  <c r="Y80" i="4"/>
  <c r="X80" i="4"/>
  <c r="U80" i="4"/>
  <c r="T80" i="4"/>
  <c r="Q80" i="4"/>
  <c r="P80" i="4"/>
  <c r="O80" i="4"/>
  <c r="N80" i="4"/>
  <c r="K80" i="4"/>
  <c r="J80" i="4"/>
  <c r="G80" i="4"/>
  <c r="F80" i="4"/>
  <c r="GW76" i="4"/>
  <c r="GV76" i="4"/>
  <c r="GS76" i="4"/>
  <c r="GR76" i="4"/>
  <c r="GO76" i="4"/>
  <c r="GN76" i="4"/>
  <c r="GM76" i="4"/>
  <c r="GL76" i="4"/>
  <c r="GI76" i="4"/>
  <c r="GH76" i="4"/>
  <c r="GE76" i="4"/>
  <c r="GD76" i="4"/>
  <c r="GC76" i="4"/>
  <c r="GB76" i="4"/>
  <c r="FY76" i="4"/>
  <c r="FX76" i="4"/>
  <c r="FU76" i="4"/>
  <c r="FT76" i="4"/>
  <c r="FS76" i="4"/>
  <c r="FR76" i="4"/>
  <c r="FO76" i="4"/>
  <c r="FN76" i="4"/>
  <c r="FK76" i="4"/>
  <c r="FJ76" i="4"/>
  <c r="FI76" i="4"/>
  <c r="FH76" i="4"/>
  <c r="FE76" i="4"/>
  <c r="FD76" i="4"/>
  <c r="FA76" i="4"/>
  <c r="EZ76" i="4"/>
  <c r="EY76" i="4"/>
  <c r="EX76" i="4"/>
  <c r="EU76" i="4"/>
  <c r="ET76" i="4"/>
  <c r="EQ76" i="4"/>
  <c r="EP76" i="4"/>
  <c r="EO76" i="4"/>
  <c r="EN76" i="4"/>
  <c r="EK76" i="4"/>
  <c r="EJ76" i="4"/>
  <c r="EG76" i="4"/>
  <c r="EF76" i="4"/>
  <c r="EE76" i="4"/>
  <c r="ED76" i="4"/>
  <c r="EA76" i="4"/>
  <c r="DZ76" i="4"/>
  <c r="DW76" i="4"/>
  <c r="DV76" i="4"/>
  <c r="DU76" i="4"/>
  <c r="DT76" i="4"/>
  <c r="DQ76" i="4"/>
  <c r="DP76" i="4"/>
  <c r="DM76" i="4"/>
  <c r="DL76" i="4"/>
  <c r="DK76" i="4"/>
  <c r="DJ76" i="4"/>
  <c r="DG76" i="4"/>
  <c r="DF76" i="4"/>
  <c r="DC76" i="4"/>
  <c r="DB76" i="4"/>
  <c r="DA76" i="4"/>
  <c r="CZ76" i="4"/>
  <c r="CW76" i="4"/>
  <c r="CV76" i="4"/>
  <c r="CS76" i="4"/>
  <c r="CR76" i="4"/>
  <c r="CQ76" i="4"/>
  <c r="CP76" i="4"/>
  <c r="CM76" i="4"/>
  <c r="CL76" i="4"/>
  <c r="CI76" i="4"/>
  <c r="CH76" i="4"/>
  <c r="CG76" i="4"/>
  <c r="CF76" i="4"/>
  <c r="CC76" i="4"/>
  <c r="CB76" i="4"/>
  <c r="BY76" i="4"/>
  <c r="BX76" i="4"/>
  <c r="BW76" i="4"/>
  <c r="BV76" i="4"/>
  <c r="BS76" i="4"/>
  <c r="BR76" i="4"/>
  <c r="BO76" i="4"/>
  <c r="BN76" i="4"/>
  <c r="BM76" i="4"/>
  <c r="BL76" i="4"/>
  <c r="BI76" i="4"/>
  <c r="BH76" i="4"/>
  <c r="BE76" i="4"/>
  <c r="BD76" i="4"/>
  <c r="BC76" i="4"/>
  <c r="BB76" i="4"/>
  <c r="AY76" i="4"/>
  <c r="AX76" i="4"/>
  <c r="AU76" i="4"/>
  <c r="AT76" i="4"/>
  <c r="AS76" i="4"/>
  <c r="AR76" i="4"/>
  <c r="AO76" i="4"/>
  <c r="AN76" i="4"/>
  <c r="AK76" i="4"/>
  <c r="AJ76" i="4"/>
  <c r="AI76" i="4"/>
  <c r="AH76" i="4"/>
  <c r="AE76" i="4"/>
  <c r="AD76" i="4"/>
  <c r="AA76" i="4"/>
  <c r="Z76" i="4"/>
  <c r="Y76" i="4"/>
  <c r="X76" i="4"/>
  <c r="U76" i="4"/>
  <c r="T76" i="4"/>
  <c r="Q76" i="4"/>
  <c r="P76" i="4"/>
  <c r="O76" i="4"/>
  <c r="N76" i="4"/>
  <c r="K76" i="4"/>
  <c r="J76" i="4"/>
  <c r="G76" i="4"/>
  <c r="F76" i="4"/>
  <c r="GW75" i="4"/>
  <c r="GV75" i="4"/>
  <c r="GS75" i="4"/>
  <c r="GR75" i="4"/>
  <c r="GO75" i="4"/>
  <c r="GN75" i="4"/>
  <c r="GM75" i="4"/>
  <c r="GL75" i="4"/>
  <c r="GI75" i="4"/>
  <c r="GH75" i="4"/>
  <c r="GE75" i="4"/>
  <c r="GD75" i="4"/>
  <c r="GC75" i="4"/>
  <c r="GB75" i="4"/>
  <c r="FY75" i="4"/>
  <c r="FX75" i="4"/>
  <c r="FU75" i="4"/>
  <c r="FT75" i="4"/>
  <c r="FS75" i="4"/>
  <c r="FR75" i="4"/>
  <c r="FO75" i="4"/>
  <c r="FN75" i="4"/>
  <c r="FK75" i="4"/>
  <c r="FJ75" i="4"/>
  <c r="FI75" i="4"/>
  <c r="FH75" i="4"/>
  <c r="FE75" i="4"/>
  <c r="FD75" i="4"/>
  <c r="FA75" i="4"/>
  <c r="EZ75" i="4"/>
  <c r="EY75" i="4"/>
  <c r="EX75" i="4"/>
  <c r="EU75" i="4"/>
  <c r="ET75" i="4"/>
  <c r="EQ75" i="4"/>
  <c r="EP75" i="4"/>
  <c r="EO75" i="4"/>
  <c r="EN75" i="4"/>
  <c r="EK75" i="4"/>
  <c r="EJ75" i="4"/>
  <c r="EG75" i="4"/>
  <c r="EF75" i="4"/>
  <c r="EE75" i="4"/>
  <c r="ED75" i="4"/>
  <c r="EA75" i="4"/>
  <c r="DZ75" i="4"/>
  <c r="DW75" i="4"/>
  <c r="DV75" i="4"/>
  <c r="DU75" i="4"/>
  <c r="DT75" i="4"/>
  <c r="DQ75" i="4"/>
  <c r="DP75" i="4"/>
  <c r="DM75" i="4"/>
  <c r="DL75" i="4"/>
  <c r="DK75" i="4"/>
  <c r="DJ75" i="4"/>
  <c r="DG75" i="4"/>
  <c r="DF75" i="4"/>
  <c r="DC75" i="4"/>
  <c r="DB75" i="4"/>
  <c r="DA75" i="4"/>
  <c r="CZ75" i="4"/>
  <c r="CW75" i="4"/>
  <c r="CV75" i="4"/>
  <c r="CS75" i="4"/>
  <c r="CR75" i="4"/>
  <c r="CQ75" i="4"/>
  <c r="CP75" i="4"/>
  <c r="CM75" i="4"/>
  <c r="CL75" i="4"/>
  <c r="CI75" i="4"/>
  <c r="CH75" i="4"/>
  <c r="CG75" i="4"/>
  <c r="CF75" i="4"/>
  <c r="CC75" i="4"/>
  <c r="CB75" i="4"/>
  <c r="BY75" i="4"/>
  <c r="BX75" i="4"/>
  <c r="BW75" i="4"/>
  <c r="BV75" i="4"/>
  <c r="BS75" i="4"/>
  <c r="BR75" i="4"/>
  <c r="BO75" i="4"/>
  <c r="BN75" i="4"/>
  <c r="BM75" i="4"/>
  <c r="BL75" i="4"/>
  <c r="BI75" i="4"/>
  <c r="BH75" i="4"/>
  <c r="BE75" i="4"/>
  <c r="BD75" i="4"/>
  <c r="BC75" i="4"/>
  <c r="BB75" i="4"/>
  <c r="AY75" i="4"/>
  <c r="AX75" i="4"/>
  <c r="AU75" i="4"/>
  <c r="AT75" i="4"/>
  <c r="AS75" i="4"/>
  <c r="AR75" i="4"/>
  <c r="AO75" i="4"/>
  <c r="AN75" i="4"/>
  <c r="AK75" i="4"/>
  <c r="AJ75" i="4"/>
  <c r="AI75" i="4"/>
  <c r="AH75" i="4"/>
  <c r="AE75" i="4"/>
  <c r="AD75" i="4"/>
  <c r="AA75" i="4"/>
  <c r="Z75" i="4"/>
  <c r="Y75" i="4"/>
  <c r="X75" i="4"/>
  <c r="U75" i="4"/>
  <c r="T75" i="4"/>
  <c r="Q75" i="4"/>
  <c r="P75" i="4"/>
  <c r="O75" i="4"/>
  <c r="N75" i="4"/>
  <c r="K75" i="4"/>
  <c r="J75" i="4"/>
  <c r="G75" i="4"/>
  <c r="F75" i="4"/>
  <c r="GW69" i="4"/>
  <c r="GS69" i="4"/>
  <c r="GO69" i="4"/>
  <c r="GM69" i="4"/>
  <c r="GI69" i="4"/>
  <c r="GE69" i="4"/>
  <c r="GC69" i="4"/>
  <c r="FY69" i="4"/>
  <c r="FU69" i="4"/>
  <c r="FS69" i="4"/>
  <c r="EY69" i="4"/>
  <c r="EU69" i="4"/>
  <c r="EQ69" i="4"/>
  <c r="EO69" i="4"/>
  <c r="EK69" i="4"/>
  <c r="EG69" i="4"/>
  <c r="EE69" i="4"/>
  <c r="EA69" i="4"/>
  <c r="DW69" i="4"/>
  <c r="DU69" i="4"/>
  <c r="DQ69" i="4"/>
  <c r="DM69" i="4"/>
  <c r="DK69" i="4"/>
  <c r="DG69" i="4"/>
  <c r="DC69" i="4"/>
  <c r="DA69" i="4"/>
  <c r="CW69" i="4"/>
  <c r="CS69" i="4"/>
  <c r="CQ69" i="4"/>
  <c r="CM69" i="4"/>
  <c r="CI69" i="4"/>
  <c r="CG69" i="4"/>
  <c r="CC69" i="4"/>
  <c r="BY69" i="4"/>
  <c r="BW69" i="4"/>
  <c r="BS69" i="4"/>
  <c r="BO69" i="4"/>
  <c r="BM69" i="4"/>
  <c r="BI69" i="4"/>
  <c r="BE69" i="4"/>
  <c r="BC69" i="4"/>
  <c r="AY69" i="4"/>
  <c r="AU69" i="4"/>
  <c r="AS69" i="4"/>
  <c r="AO69" i="4"/>
  <c r="AK69" i="4"/>
  <c r="AI69" i="4"/>
  <c r="AE69" i="4"/>
  <c r="AA69" i="4"/>
  <c r="Y69" i="4"/>
  <c r="U69" i="4"/>
  <c r="Q69" i="4"/>
  <c r="O69" i="4"/>
  <c r="N69" i="4"/>
  <c r="K69" i="4"/>
  <c r="G69" i="4"/>
  <c r="GW64" i="4"/>
  <c r="GV64" i="4"/>
  <c r="GV71" i="4" s="1"/>
  <c r="GS64" i="4"/>
  <c r="GR64" i="4"/>
  <c r="GO64" i="4"/>
  <c r="GN64" i="4"/>
  <c r="GM64" i="4"/>
  <c r="GL64" i="4"/>
  <c r="GI64" i="4"/>
  <c r="GH64" i="4"/>
  <c r="GH71" i="4" s="1"/>
  <c r="GE64" i="4"/>
  <c r="GD64" i="4"/>
  <c r="GC64" i="4"/>
  <c r="GB64" i="4"/>
  <c r="FY64" i="4"/>
  <c r="FX64" i="4"/>
  <c r="FU64" i="4"/>
  <c r="FT64" i="4"/>
  <c r="FS64" i="4"/>
  <c r="FR64" i="4"/>
  <c r="FO64" i="4"/>
  <c r="FN64" i="4"/>
  <c r="FN71" i="4" s="1"/>
  <c r="FK64" i="4"/>
  <c r="FJ64" i="4"/>
  <c r="FI64" i="4"/>
  <c r="FH64" i="4"/>
  <c r="FH71" i="4" s="1"/>
  <c r="FE64" i="4"/>
  <c r="FD64" i="4"/>
  <c r="FA64" i="4"/>
  <c r="EZ64" i="4"/>
  <c r="EZ71" i="4" s="1"/>
  <c r="EY64" i="4"/>
  <c r="EX64" i="4"/>
  <c r="EX9" i="4" s="1"/>
  <c r="EU64" i="4"/>
  <c r="ET64" i="4"/>
  <c r="ET9" i="4" s="1"/>
  <c r="EQ64" i="4"/>
  <c r="EP64" i="4"/>
  <c r="EO64" i="4"/>
  <c r="EN64" i="4"/>
  <c r="EN71" i="4" s="1"/>
  <c r="EK64" i="4"/>
  <c r="EJ64" i="4"/>
  <c r="EJ9" i="4" s="1"/>
  <c r="EG64" i="4"/>
  <c r="EF64" i="4"/>
  <c r="EF9" i="4" s="1"/>
  <c r="EE64" i="4"/>
  <c r="ED64" i="4"/>
  <c r="EA64" i="4"/>
  <c r="DZ64" i="4"/>
  <c r="DW64" i="4"/>
  <c r="DV64" i="4"/>
  <c r="DV9" i="4" s="1"/>
  <c r="DU64" i="4"/>
  <c r="DT64" i="4"/>
  <c r="DQ64" i="4"/>
  <c r="DP64" i="4"/>
  <c r="DM64" i="4"/>
  <c r="DL64" i="4"/>
  <c r="DL71" i="4" s="1"/>
  <c r="DK64" i="4"/>
  <c r="DJ64" i="4"/>
  <c r="DJ9" i="4" s="1"/>
  <c r="DG64" i="4"/>
  <c r="DF64" i="4"/>
  <c r="DF9" i="4" s="1"/>
  <c r="DC64" i="4"/>
  <c r="DB64" i="4"/>
  <c r="DA64" i="4"/>
  <c r="CZ64" i="4"/>
  <c r="CW64" i="4"/>
  <c r="CV64" i="4"/>
  <c r="CV9" i="4" s="1"/>
  <c r="CS64" i="4"/>
  <c r="CR64" i="4"/>
  <c r="CR9" i="4" s="1"/>
  <c r="CQ64" i="4"/>
  <c r="CP64" i="4"/>
  <c r="CM64" i="4"/>
  <c r="CL64" i="4"/>
  <c r="CL71" i="4" s="1"/>
  <c r="CI64" i="4"/>
  <c r="CH64" i="4"/>
  <c r="CH9" i="4" s="1"/>
  <c r="CG64" i="4"/>
  <c r="CF64" i="4"/>
  <c r="CF9" i="4" s="1"/>
  <c r="CC64" i="4"/>
  <c r="CB64" i="4"/>
  <c r="BY64" i="4"/>
  <c r="BX64" i="4"/>
  <c r="BW64" i="4"/>
  <c r="BV64" i="4"/>
  <c r="BV9" i="4" s="1"/>
  <c r="BS64" i="4"/>
  <c r="BR64" i="4"/>
  <c r="BO64" i="4"/>
  <c r="BN64" i="4"/>
  <c r="BM64" i="4"/>
  <c r="BL64" i="4"/>
  <c r="BL71" i="4" s="1"/>
  <c r="BI64" i="4"/>
  <c r="BH64" i="4"/>
  <c r="BH9" i="4" s="1"/>
  <c r="BF64" i="4"/>
  <c r="BE64" i="4"/>
  <c r="BD64" i="4"/>
  <c r="BC64" i="4"/>
  <c r="BB64" i="4"/>
  <c r="AY64" i="4"/>
  <c r="AX64" i="4"/>
  <c r="AU64" i="4"/>
  <c r="AT64" i="4"/>
  <c r="AT9" i="4" s="1"/>
  <c r="AS64" i="4"/>
  <c r="AR64" i="4"/>
  <c r="AO64" i="4"/>
  <c r="AN64" i="4"/>
  <c r="AK64" i="4"/>
  <c r="AJ64" i="4"/>
  <c r="AJ71" i="4" s="1"/>
  <c r="AI64" i="4"/>
  <c r="AH64" i="4"/>
  <c r="AE64" i="4"/>
  <c r="AD64" i="4"/>
  <c r="AA64" i="4"/>
  <c r="Z64" i="4"/>
  <c r="Y64" i="4"/>
  <c r="X64" i="4"/>
  <c r="U64" i="4"/>
  <c r="T64" i="4"/>
  <c r="Q64" i="4"/>
  <c r="P64" i="4"/>
  <c r="O64" i="4"/>
  <c r="N64" i="4"/>
  <c r="N71" i="4" s="1"/>
  <c r="K64" i="4"/>
  <c r="J64" i="4"/>
  <c r="J71" i="4" s="1"/>
  <c r="G64" i="4"/>
  <c r="F64" i="4"/>
  <c r="F9" i="4" s="1"/>
  <c r="CQ58" i="4"/>
  <c r="CP58" i="4"/>
  <c r="CG58" i="4"/>
  <c r="CF58" i="4"/>
  <c r="Y58" i="4"/>
  <c r="X58" i="4"/>
  <c r="U58" i="4"/>
  <c r="T58" i="4"/>
  <c r="Q58" i="4"/>
  <c r="P58" i="4"/>
  <c r="O58" i="4"/>
  <c r="N58" i="4"/>
  <c r="K58" i="4"/>
  <c r="J58" i="4"/>
  <c r="G58" i="4"/>
  <c r="F58" i="4"/>
  <c r="GW56" i="4"/>
  <c r="GV56" i="4"/>
  <c r="GS56" i="4"/>
  <c r="GR56" i="4"/>
  <c r="GO56" i="4"/>
  <c r="GN56" i="4"/>
  <c r="GM56" i="4"/>
  <c r="GL56" i="4"/>
  <c r="GI56" i="4"/>
  <c r="GH56" i="4"/>
  <c r="GE56" i="4"/>
  <c r="GD56" i="4"/>
  <c r="GC56" i="4"/>
  <c r="GB56" i="4"/>
  <c r="FY56" i="4"/>
  <c r="FX56" i="4"/>
  <c r="FU56" i="4"/>
  <c r="FT56" i="4"/>
  <c r="FS56" i="4"/>
  <c r="FR56" i="4"/>
  <c r="FO56" i="4"/>
  <c r="FN56" i="4"/>
  <c r="FK56" i="4"/>
  <c r="FJ56" i="4"/>
  <c r="FI56" i="4"/>
  <c r="FH56" i="4"/>
  <c r="FE56" i="4"/>
  <c r="FD56" i="4"/>
  <c r="FA56" i="4"/>
  <c r="EZ56" i="4"/>
  <c r="EY56" i="4"/>
  <c r="EX56" i="4"/>
  <c r="EU56" i="4"/>
  <c r="ET56" i="4"/>
  <c r="EQ56" i="4"/>
  <c r="EP56" i="4"/>
  <c r="EO56" i="4"/>
  <c r="EN56" i="4"/>
  <c r="EK56" i="4"/>
  <c r="EJ56" i="4"/>
  <c r="EG56" i="4"/>
  <c r="EF56" i="4"/>
  <c r="EE56" i="4"/>
  <c r="EE59" i="4" s="1"/>
  <c r="ED56" i="4"/>
  <c r="EA56" i="4"/>
  <c r="DZ56" i="4"/>
  <c r="DW56" i="4"/>
  <c r="DV56" i="4"/>
  <c r="DU56" i="4"/>
  <c r="DT56" i="4"/>
  <c r="DQ56" i="4"/>
  <c r="DP56" i="4"/>
  <c r="DM56" i="4"/>
  <c r="DL56" i="4"/>
  <c r="DK56" i="4"/>
  <c r="DJ56" i="4"/>
  <c r="DG56" i="4"/>
  <c r="DF56" i="4"/>
  <c r="DC56" i="4"/>
  <c r="DB56" i="4"/>
  <c r="DA56" i="4"/>
  <c r="CZ56" i="4"/>
  <c r="CW56" i="4"/>
  <c r="CV56" i="4"/>
  <c r="CS56" i="4"/>
  <c r="CS59" i="4" s="1"/>
  <c r="CR56" i="4"/>
  <c r="CQ56" i="4"/>
  <c r="CP56" i="4"/>
  <c r="CM56" i="4"/>
  <c r="CL56" i="4"/>
  <c r="CI56" i="4"/>
  <c r="CH56" i="4"/>
  <c r="CG56" i="4"/>
  <c r="CF56" i="4"/>
  <c r="CC56" i="4"/>
  <c r="CB56" i="4"/>
  <c r="BY56" i="4"/>
  <c r="BX56" i="4"/>
  <c r="BW56" i="4"/>
  <c r="BV56" i="4"/>
  <c r="BS56" i="4"/>
  <c r="BR56" i="4"/>
  <c r="BO56" i="4"/>
  <c r="BN56" i="4"/>
  <c r="BM56" i="4"/>
  <c r="BL56" i="4"/>
  <c r="BI56" i="4"/>
  <c r="BH56" i="4"/>
  <c r="BE56" i="4"/>
  <c r="BD56" i="4"/>
  <c r="BC56" i="4"/>
  <c r="BB56" i="4"/>
  <c r="AY56" i="4"/>
  <c r="AX56" i="4"/>
  <c r="AU56" i="4"/>
  <c r="AT56" i="4"/>
  <c r="AS56" i="4"/>
  <c r="AR56" i="4"/>
  <c r="AO56" i="4"/>
  <c r="AN56" i="4"/>
  <c r="AK56" i="4"/>
  <c r="AJ56" i="4"/>
  <c r="AI56" i="4"/>
  <c r="AH56" i="4"/>
  <c r="AE56" i="4"/>
  <c r="AD56" i="4"/>
  <c r="AA56" i="4"/>
  <c r="Z56" i="4"/>
  <c r="Y56" i="4"/>
  <c r="X56" i="4"/>
  <c r="U56" i="4"/>
  <c r="T56" i="4"/>
  <c r="Q56" i="4"/>
  <c r="P56" i="4"/>
  <c r="O56" i="4"/>
  <c r="N56" i="4"/>
  <c r="K56" i="4"/>
  <c r="K59" i="4" s="1"/>
  <c r="J56" i="4"/>
  <c r="G56" i="4"/>
  <c r="F56" i="4"/>
  <c r="GW54" i="4"/>
  <c r="GW59" i="4" s="1"/>
  <c r="GV54" i="4"/>
  <c r="GV59" i="4" s="1"/>
  <c r="GS54" i="4"/>
  <c r="GS59" i="4" s="1"/>
  <c r="GR54" i="4"/>
  <c r="GR59" i="4" s="1"/>
  <c r="GO54" i="4"/>
  <c r="GO59" i="4" s="1"/>
  <c r="GN54" i="4"/>
  <c r="GN59" i="4" s="1"/>
  <c r="GM54" i="4"/>
  <c r="GM59" i="4" s="1"/>
  <c r="GL54" i="4"/>
  <c r="GL59" i="4" s="1"/>
  <c r="GI54" i="4"/>
  <c r="GI59" i="4" s="1"/>
  <c r="GH54" i="4"/>
  <c r="GH59" i="4" s="1"/>
  <c r="GE54" i="4"/>
  <c r="GE59" i="4" s="1"/>
  <c r="GD54" i="4"/>
  <c r="GD59" i="4" s="1"/>
  <c r="GC54" i="4"/>
  <c r="GC59" i="4" s="1"/>
  <c r="GB54" i="4"/>
  <c r="GB59" i="4" s="1"/>
  <c r="FY54" i="4"/>
  <c r="FY59" i="4" s="1"/>
  <c r="FX54" i="4"/>
  <c r="FX59" i="4" s="1"/>
  <c r="FU54" i="4"/>
  <c r="FU59" i="4" s="1"/>
  <c r="FT54" i="4"/>
  <c r="FT59" i="4" s="1"/>
  <c r="FS54" i="4"/>
  <c r="FS59" i="4" s="1"/>
  <c r="FR54" i="4"/>
  <c r="FR59" i="4" s="1"/>
  <c r="FO54" i="4"/>
  <c r="FO59" i="4" s="1"/>
  <c r="FN54" i="4"/>
  <c r="FN59" i="4" s="1"/>
  <c r="FK54" i="4"/>
  <c r="FK59" i="4" s="1"/>
  <c r="FJ54" i="4"/>
  <c r="FJ59" i="4" s="1"/>
  <c r="FI54" i="4"/>
  <c r="FI59" i="4" s="1"/>
  <c r="FH54" i="4"/>
  <c r="FH59" i="4" s="1"/>
  <c r="FE54" i="4"/>
  <c r="FE59" i="4" s="1"/>
  <c r="FD54" i="4"/>
  <c r="FD59" i="4" s="1"/>
  <c r="FA54" i="4"/>
  <c r="FA59" i="4" s="1"/>
  <c r="EZ54" i="4"/>
  <c r="EZ59" i="4" s="1"/>
  <c r="EY54" i="4"/>
  <c r="EY59" i="4" s="1"/>
  <c r="EX54" i="4"/>
  <c r="EX59" i="4" s="1"/>
  <c r="EU54" i="4"/>
  <c r="EU59" i="4" s="1"/>
  <c r="ET54" i="4"/>
  <c r="ET59" i="4" s="1"/>
  <c r="EQ54" i="4"/>
  <c r="EQ59" i="4" s="1"/>
  <c r="EP54" i="4"/>
  <c r="EP59" i="4" s="1"/>
  <c r="EO54" i="4"/>
  <c r="EO59" i="4" s="1"/>
  <c r="EN54" i="4"/>
  <c r="EN59" i="4" s="1"/>
  <c r="EK54" i="4"/>
  <c r="EK59" i="4" s="1"/>
  <c r="EJ54" i="4"/>
  <c r="EJ59" i="4" s="1"/>
  <c r="EG54" i="4"/>
  <c r="EG59" i="4" s="1"/>
  <c r="EF54" i="4"/>
  <c r="EF59" i="4" s="1"/>
  <c r="EE54" i="4"/>
  <c r="ED54" i="4"/>
  <c r="ED59" i="4" s="1"/>
  <c r="EA54" i="4"/>
  <c r="EA59" i="4" s="1"/>
  <c r="DZ54" i="4"/>
  <c r="DZ59" i="4" s="1"/>
  <c r="DW54" i="4"/>
  <c r="DW59" i="4" s="1"/>
  <c r="DV54" i="4"/>
  <c r="DV59" i="4" s="1"/>
  <c r="DU54" i="4"/>
  <c r="DU59" i="4" s="1"/>
  <c r="DT54" i="4"/>
  <c r="DT59" i="4" s="1"/>
  <c r="DQ54" i="4"/>
  <c r="DQ59" i="4" s="1"/>
  <c r="DP54" i="4"/>
  <c r="DP59" i="4" s="1"/>
  <c r="DM54" i="4"/>
  <c r="DM59" i="4" s="1"/>
  <c r="DL54" i="4"/>
  <c r="DL59" i="4" s="1"/>
  <c r="DK54" i="4"/>
  <c r="DK59" i="4" s="1"/>
  <c r="DJ54" i="4"/>
  <c r="DJ59" i="4" s="1"/>
  <c r="DG54" i="4"/>
  <c r="DG59" i="4" s="1"/>
  <c r="DF54" i="4"/>
  <c r="DF59" i="4" s="1"/>
  <c r="DC54" i="4"/>
  <c r="DC59" i="4" s="1"/>
  <c r="DB54" i="4"/>
  <c r="DB59" i="4" s="1"/>
  <c r="DA54" i="4"/>
  <c r="DA59" i="4" s="1"/>
  <c r="CZ54" i="4"/>
  <c r="CZ59" i="4" s="1"/>
  <c r="CW54" i="4"/>
  <c r="CW59" i="4" s="1"/>
  <c r="CV54" i="4"/>
  <c r="CV59" i="4" s="1"/>
  <c r="CS54" i="4"/>
  <c r="CR54" i="4"/>
  <c r="CR59" i="4" s="1"/>
  <c r="CQ54" i="4"/>
  <c r="CP54" i="4"/>
  <c r="CM54" i="4"/>
  <c r="CM59" i="4" s="1"/>
  <c r="CL54" i="4"/>
  <c r="CL59" i="4" s="1"/>
  <c r="CI54" i="4"/>
  <c r="CI59" i="4" s="1"/>
  <c r="CH54" i="4"/>
  <c r="CH59" i="4" s="1"/>
  <c r="CG54" i="4"/>
  <c r="CF54" i="4"/>
  <c r="CF59" i="4" s="1"/>
  <c r="CC54" i="4"/>
  <c r="CC59" i="4" s="1"/>
  <c r="CB54" i="4"/>
  <c r="CB59" i="4" s="1"/>
  <c r="BY54" i="4"/>
  <c r="BY59" i="4" s="1"/>
  <c r="BX54" i="4"/>
  <c r="BX59" i="4" s="1"/>
  <c r="BW54" i="4"/>
  <c r="BW59" i="4" s="1"/>
  <c r="BV54" i="4"/>
  <c r="BV59" i="4" s="1"/>
  <c r="BS54" i="4"/>
  <c r="BS59" i="4" s="1"/>
  <c r="BR54" i="4"/>
  <c r="BR59" i="4" s="1"/>
  <c r="BO54" i="4"/>
  <c r="BO59" i="4" s="1"/>
  <c r="BN54" i="4"/>
  <c r="BN59" i="4" s="1"/>
  <c r="BM54" i="4"/>
  <c r="BM59" i="4" s="1"/>
  <c r="BL54" i="4"/>
  <c r="BL59" i="4" s="1"/>
  <c r="BI54" i="4"/>
  <c r="BI59" i="4" s="1"/>
  <c r="BH54" i="4"/>
  <c r="BH59" i="4" s="1"/>
  <c r="BE54" i="4"/>
  <c r="BE59" i="4" s="1"/>
  <c r="BD54" i="4"/>
  <c r="BD59" i="4" s="1"/>
  <c r="BC54" i="4"/>
  <c r="BC59" i="4" s="1"/>
  <c r="BB54" i="4"/>
  <c r="BB59" i="4" s="1"/>
  <c r="AY54" i="4"/>
  <c r="AY59" i="4" s="1"/>
  <c r="AX54" i="4"/>
  <c r="AX59" i="4" s="1"/>
  <c r="AU54" i="4"/>
  <c r="AU59" i="4" s="1"/>
  <c r="AT54" i="4"/>
  <c r="AT59" i="4" s="1"/>
  <c r="AS54" i="4"/>
  <c r="AS59" i="4" s="1"/>
  <c r="AR54" i="4"/>
  <c r="AR59" i="4" s="1"/>
  <c r="AO54" i="4"/>
  <c r="AO59" i="4" s="1"/>
  <c r="AN54" i="4"/>
  <c r="AN59" i="4" s="1"/>
  <c r="AK54" i="4"/>
  <c r="AK59" i="4" s="1"/>
  <c r="AJ54" i="4"/>
  <c r="AJ59" i="4" s="1"/>
  <c r="AI54" i="4"/>
  <c r="AI59" i="4" s="1"/>
  <c r="AH54" i="4"/>
  <c r="AH59" i="4" s="1"/>
  <c r="AE54" i="4"/>
  <c r="AE59" i="4" s="1"/>
  <c r="AD54" i="4"/>
  <c r="AD59" i="4" s="1"/>
  <c r="AA54" i="4"/>
  <c r="AA59" i="4" s="1"/>
  <c r="Z54" i="4"/>
  <c r="Z59" i="4" s="1"/>
  <c r="Y54" i="4"/>
  <c r="Y59" i="4" s="1"/>
  <c r="X54" i="4"/>
  <c r="X59" i="4" s="1"/>
  <c r="U54" i="4"/>
  <c r="U59" i="4" s="1"/>
  <c r="T54" i="4"/>
  <c r="T59" i="4" s="1"/>
  <c r="Q54" i="4"/>
  <c r="P54" i="4"/>
  <c r="P59" i="4" s="1"/>
  <c r="O54" i="4"/>
  <c r="O59" i="4" s="1"/>
  <c r="N54" i="4"/>
  <c r="N59" i="4" s="1"/>
  <c r="K54" i="4"/>
  <c r="J54" i="4"/>
  <c r="J59" i="4" s="1"/>
  <c r="G54" i="4"/>
  <c r="G59" i="4" s="1"/>
  <c r="F54" i="4"/>
  <c r="F59" i="4" s="1"/>
  <c r="CQ49" i="4"/>
  <c r="CP49" i="4"/>
  <c r="CG49" i="4"/>
  <c r="CF49" i="4"/>
  <c r="Y49" i="4"/>
  <c r="X49" i="4"/>
  <c r="U49" i="4"/>
  <c r="T49" i="4"/>
  <c r="Q49" i="4"/>
  <c r="P49" i="4"/>
  <c r="O49" i="4"/>
  <c r="N49" i="4"/>
  <c r="K49" i="4"/>
  <c r="J49" i="4"/>
  <c r="G49" i="4"/>
  <c r="F49" i="4"/>
  <c r="GW45" i="4"/>
  <c r="GV45" i="4"/>
  <c r="GS45" i="4"/>
  <c r="GR45" i="4"/>
  <c r="GO45" i="4"/>
  <c r="GN45" i="4"/>
  <c r="GM45" i="4"/>
  <c r="GL45" i="4"/>
  <c r="GI45" i="4"/>
  <c r="GH45" i="4"/>
  <c r="GE45" i="4"/>
  <c r="GD45" i="4"/>
  <c r="GC45" i="4"/>
  <c r="GB45" i="4"/>
  <c r="FY45" i="4"/>
  <c r="FX45" i="4"/>
  <c r="FU45" i="4"/>
  <c r="FT45" i="4"/>
  <c r="FS45" i="4"/>
  <c r="FR45" i="4"/>
  <c r="FO45" i="4"/>
  <c r="FN45" i="4"/>
  <c r="FK45" i="4"/>
  <c r="FJ45" i="4"/>
  <c r="FI45" i="4"/>
  <c r="FH45" i="4"/>
  <c r="FE45" i="4"/>
  <c r="FD45" i="4"/>
  <c r="FA45" i="4"/>
  <c r="EZ45" i="4"/>
  <c r="EY45" i="4"/>
  <c r="EX45" i="4"/>
  <c r="EU45" i="4"/>
  <c r="ET45" i="4"/>
  <c r="EQ45" i="4"/>
  <c r="EP45" i="4"/>
  <c r="EO45" i="4"/>
  <c r="EN45" i="4"/>
  <c r="EK45" i="4"/>
  <c r="EJ45" i="4"/>
  <c r="EG45" i="4"/>
  <c r="EF45" i="4"/>
  <c r="EE45" i="4"/>
  <c r="ED45" i="4"/>
  <c r="EA45" i="4"/>
  <c r="DZ45" i="4"/>
  <c r="DW45" i="4"/>
  <c r="DV45" i="4"/>
  <c r="DU45" i="4"/>
  <c r="DT45" i="4"/>
  <c r="DQ45" i="4"/>
  <c r="DP45" i="4"/>
  <c r="DM45" i="4"/>
  <c r="DL45" i="4"/>
  <c r="DK45" i="4"/>
  <c r="DJ45" i="4"/>
  <c r="DG45" i="4"/>
  <c r="DF45" i="4"/>
  <c r="DC45" i="4"/>
  <c r="DB45" i="4"/>
  <c r="DA45" i="4"/>
  <c r="CZ45" i="4"/>
  <c r="CW45" i="4"/>
  <c r="CV45" i="4"/>
  <c r="CS45" i="4"/>
  <c r="CR45" i="4"/>
  <c r="CQ45" i="4"/>
  <c r="CP45" i="4"/>
  <c r="CM45" i="4"/>
  <c r="CL45" i="4"/>
  <c r="CI45" i="4"/>
  <c r="CH45" i="4"/>
  <c r="CG45" i="4"/>
  <c r="CF45" i="4"/>
  <c r="CC45" i="4"/>
  <c r="CB45" i="4"/>
  <c r="BY45" i="4"/>
  <c r="BX45" i="4"/>
  <c r="BW45" i="4"/>
  <c r="BV45" i="4"/>
  <c r="BS45" i="4"/>
  <c r="BR45" i="4"/>
  <c r="BO45" i="4"/>
  <c r="BN45" i="4"/>
  <c r="BM45" i="4"/>
  <c r="BL45" i="4"/>
  <c r="BI45" i="4"/>
  <c r="BH45" i="4"/>
  <c r="BE45" i="4"/>
  <c r="BD45" i="4"/>
  <c r="BC45" i="4"/>
  <c r="BB45" i="4"/>
  <c r="AY45" i="4"/>
  <c r="AX45" i="4"/>
  <c r="AU45" i="4"/>
  <c r="AT45" i="4"/>
  <c r="AS45" i="4"/>
  <c r="AR45" i="4"/>
  <c r="AO45" i="4"/>
  <c r="AN45" i="4"/>
  <c r="AK45" i="4"/>
  <c r="AJ45" i="4"/>
  <c r="AI45" i="4"/>
  <c r="AH45" i="4"/>
  <c r="AE45" i="4"/>
  <c r="AD45" i="4"/>
  <c r="AA45" i="4"/>
  <c r="Z45" i="4"/>
  <c r="Y45" i="4"/>
  <c r="X45" i="4"/>
  <c r="U45" i="4"/>
  <c r="T45" i="4"/>
  <c r="Q45" i="4"/>
  <c r="P45" i="4"/>
  <c r="O45" i="4"/>
  <c r="N45" i="4"/>
  <c r="K45" i="4"/>
  <c r="K51" i="4" s="1"/>
  <c r="J45" i="4"/>
  <c r="G45" i="4"/>
  <c r="F45" i="4"/>
  <c r="GW41" i="4"/>
  <c r="GW50" i="4" s="1"/>
  <c r="GV41" i="4"/>
  <c r="GV50" i="4" s="1"/>
  <c r="GS41" i="4"/>
  <c r="GS50" i="4" s="1"/>
  <c r="GR41" i="4"/>
  <c r="GR50" i="4" s="1"/>
  <c r="GO41" i="4"/>
  <c r="GO50" i="4" s="1"/>
  <c r="GN41" i="4"/>
  <c r="GN50" i="4" s="1"/>
  <c r="GM41" i="4"/>
  <c r="GM50" i="4" s="1"/>
  <c r="GL41" i="4"/>
  <c r="GL50" i="4" s="1"/>
  <c r="GI41" i="4"/>
  <c r="GI50" i="4" s="1"/>
  <c r="GH41" i="4"/>
  <c r="GH50" i="4" s="1"/>
  <c r="GE41" i="4"/>
  <c r="GE50" i="4" s="1"/>
  <c r="GD41" i="4"/>
  <c r="GD50" i="4" s="1"/>
  <c r="GC41" i="4"/>
  <c r="GC50" i="4" s="1"/>
  <c r="GB41" i="4"/>
  <c r="GB50" i="4" s="1"/>
  <c r="FY41" i="4"/>
  <c r="FY50" i="4" s="1"/>
  <c r="FX41" i="4"/>
  <c r="FX50" i="4" s="1"/>
  <c r="FU41" i="4"/>
  <c r="FU50" i="4" s="1"/>
  <c r="FT41" i="4"/>
  <c r="FT50" i="4" s="1"/>
  <c r="FS41" i="4"/>
  <c r="FS50" i="4" s="1"/>
  <c r="FR41" i="4"/>
  <c r="FR50" i="4" s="1"/>
  <c r="FO41" i="4"/>
  <c r="FO50" i="4" s="1"/>
  <c r="FN41" i="4"/>
  <c r="FN50" i="4" s="1"/>
  <c r="FK41" i="4"/>
  <c r="FK50" i="4" s="1"/>
  <c r="FJ41" i="4"/>
  <c r="FJ50" i="4" s="1"/>
  <c r="FI41" i="4"/>
  <c r="FI50" i="4" s="1"/>
  <c r="FH41" i="4"/>
  <c r="FH50" i="4" s="1"/>
  <c r="FE41" i="4"/>
  <c r="FE50" i="4" s="1"/>
  <c r="FD41" i="4"/>
  <c r="FD50" i="4" s="1"/>
  <c r="FA41" i="4"/>
  <c r="FA50" i="4" s="1"/>
  <c r="EZ41" i="4"/>
  <c r="EZ50" i="4" s="1"/>
  <c r="EY41" i="4"/>
  <c r="EY50" i="4" s="1"/>
  <c r="EX41" i="4"/>
  <c r="EX50" i="4" s="1"/>
  <c r="EU41" i="4"/>
  <c r="EU50" i="4" s="1"/>
  <c r="ET41" i="4"/>
  <c r="ET50" i="4" s="1"/>
  <c r="EQ41" i="4"/>
  <c r="EQ50" i="4" s="1"/>
  <c r="EP41" i="4"/>
  <c r="EP50" i="4" s="1"/>
  <c r="EO41" i="4"/>
  <c r="EO50" i="4" s="1"/>
  <c r="EN41" i="4"/>
  <c r="EN50" i="4" s="1"/>
  <c r="EK41" i="4"/>
  <c r="EK50" i="4" s="1"/>
  <c r="EJ41" i="4"/>
  <c r="EJ50" i="4" s="1"/>
  <c r="EG41" i="4"/>
  <c r="EG50" i="4" s="1"/>
  <c r="EF41" i="4"/>
  <c r="EF50" i="4" s="1"/>
  <c r="EE41" i="4"/>
  <c r="EE50" i="4" s="1"/>
  <c r="ED41" i="4"/>
  <c r="ED50" i="4" s="1"/>
  <c r="EA41" i="4"/>
  <c r="EA50" i="4" s="1"/>
  <c r="DZ41" i="4"/>
  <c r="DZ50" i="4" s="1"/>
  <c r="DW41" i="4"/>
  <c r="DW50" i="4" s="1"/>
  <c r="DV41" i="4"/>
  <c r="DV50" i="4" s="1"/>
  <c r="DU41" i="4"/>
  <c r="DU50" i="4" s="1"/>
  <c r="DT41" i="4"/>
  <c r="DT50" i="4" s="1"/>
  <c r="DQ41" i="4"/>
  <c r="DQ50" i="4" s="1"/>
  <c r="DP41" i="4"/>
  <c r="DP50" i="4" s="1"/>
  <c r="DM41" i="4"/>
  <c r="DM50" i="4" s="1"/>
  <c r="DL41" i="4"/>
  <c r="DL50" i="4" s="1"/>
  <c r="DK41" i="4"/>
  <c r="DK50" i="4" s="1"/>
  <c r="DJ41" i="4"/>
  <c r="DJ50" i="4" s="1"/>
  <c r="DG41" i="4"/>
  <c r="DG50" i="4" s="1"/>
  <c r="DF41" i="4"/>
  <c r="DF50" i="4" s="1"/>
  <c r="DC41" i="4"/>
  <c r="DC50" i="4" s="1"/>
  <c r="DB41" i="4"/>
  <c r="DB50" i="4" s="1"/>
  <c r="DA41" i="4"/>
  <c r="DA50" i="4" s="1"/>
  <c r="CZ41" i="4"/>
  <c r="CZ50" i="4" s="1"/>
  <c r="CW41" i="4"/>
  <c r="CW50" i="4" s="1"/>
  <c r="CV41" i="4"/>
  <c r="CV50" i="4" s="1"/>
  <c r="CS41" i="4"/>
  <c r="CS50" i="4" s="1"/>
  <c r="CR41" i="4"/>
  <c r="CR50" i="4" s="1"/>
  <c r="CQ41" i="4"/>
  <c r="CP41" i="4"/>
  <c r="CM41" i="4"/>
  <c r="CM50" i="4" s="1"/>
  <c r="CL41" i="4"/>
  <c r="CL50" i="4" s="1"/>
  <c r="CI41" i="4"/>
  <c r="CI51" i="4" s="1"/>
  <c r="CH41" i="4"/>
  <c r="CH51" i="4" s="1"/>
  <c r="CG41" i="4"/>
  <c r="CF41" i="4"/>
  <c r="CF51" i="4" s="1"/>
  <c r="CC41" i="4"/>
  <c r="CC50" i="4" s="1"/>
  <c r="CB41" i="4"/>
  <c r="CB50" i="4" s="1"/>
  <c r="BY41" i="4"/>
  <c r="BY50" i="4" s="1"/>
  <c r="BX41" i="4"/>
  <c r="BX50" i="4" s="1"/>
  <c r="BW41" i="4"/>
  <c r="BW50" i="4" s="1"/>
  <c r="BV41" i="4"/>
  <c r="BV50" i="4" s="1"/>
  <c r="BS41" i="4"/>
  <c r="BS50" i="4" s="1"/>
  <c r="BR41" i="4"/>
  <c r="BR50" i="4" s="1"/>
  <c r="BO41" i="4"/>
  <c r="BO50" i="4" s="1"/>
  <c r="BN41" i="4"/>
  <c r="BN50" i="4" s="1"/>
  <c r="BM41" i="4"/>
  <c r="BM50" i="4" s="1"/>
  <c r="BL41" i="4"/>
  <c r="BL50" i="4" s="1"/>
  <c r="BI41" i="4"/>
  <c r="BI51" i="4" s="1"/>
  <c r="BH41" i="4"/>
  <c r="BH51" i="4" s="1"/>
  <c r="BE41" i="4"/>
  <c r="BE51" i="4" s="1"/>
  <c r="BD41" i="4"/>
  <c r="BD51" i="4" s="1"/>
  <c r="BC41" i="4"/>
  <c r="BC51" i="4" s="1"/>
  <c r="BB41" i="4"/>
  <c r="BB51" i="4" s="1"/>
  <c r="AY41" i="4"/>
  <c r="AY51" i="4" s="1"/>
  <c r="AX41" i="4"/>
  <c r="AX51" i="4" s="1"/>
  <c r="AU41" i="4"/>
  <c r="AU51" i="4" s="1"/>
  <c r="AT41" i="4"/>
  <c r="AT51" i="4" s="1"/>
  <c r="AS41" i="4"/>
  <c r="AS51" i="4" s="1"/>
  <c r="AR41" i="4"/>
  <c r="AR51" i="4" s="1"/>
  <c r="AO41" i="4"/>
  <c r="AO51" i="4" s="1"/>
  <c r="AN41" i="4"/>
  <c r="AN51" i="4" s="1"/>
  <c r="AK41" i="4"/>
  <c r="AK51" i="4" s="1"/>
  <c r="AJ41" i="4"/>
  <c r="AJ51" i="4" s="1"/>
  <c r="AI41" i="4"/>
  <c r="AI51" i="4" s="1"/>
  <c r="AH41" i="4"/>
  <c r="AH51" i="4" s="1"/>
  <c r="AE41" i="4"/>
  <c r="AE51" i="4" s="1"/>
  <c r="AD41" i="4"/>
  <c r="AD51" i="4" s="1"/>
  <c r="AA41" i="4"/>
  <c r="AA51" i="4" s="1"/>
  <c r="Z41" i="4"/>
  <c r="Z51" i="4" s="1"/>
  <c r="Y41" i="4"/>
  <c r="Y51" i="4" s="1"/>
  <c r="X41" i="4"/>
  <c r="X51" i="4" s="1"/>
  <c r="U41" i="4"/>
  <c r="U51" i="4" s="1"/>
  <c r="T41" i="4"/>
  <c r="Q41" i="4"/>
  <c r="Q51" i="4" s="1"/>
  <c r="P41" i="4"/>
  <c r="P51" i="4" s="1"/>
  <c r="O41" i="4"/>
  <c r="O51" i="4" s="1"/>
  <c r="N41" i="4"/>
  <c r="N51" i="4" s="1"/>
  <c r="K41" i="4"/>
  <c r="J41" i="4"/>
  <c r="J51" i="4" s="1"/>
  <c r="G41" i="4"/>
  <c r="G51" i="4" s="1"/>
  <c r="F41" i="4"/>
  <c r="F51" i="4" s="1"/>
  <c r="GW37" i="4"/>
  <c r="GV37" i="4"/>
  <c r="GU37" i="4"/>
  <c r="GT37" i="4"/>
  <c r="GS37" i="4"/>
  <c r="GR37" i="4"/>
  <c r="GQ37" i="4"/>
  <c r="GP37" i="4"/>
  <c r="GO37" i="4"/>
  <c r="GN37" i="4"/>
  <c r="GM37" i="4"/>
  <c r="GL37" i="4"/>
  <c r="GK37" i="4"/>
  <c r="GJ37" i="4"/>
  <c r="GI37" i="4"/>
  <c r="GH37" i="4"/>
  <c r="GG37" i="4"/>
  <c r="GF37" i="4"/>
  <c r="GE37" i="4"/>
  <c r="GD37" i="4"/>
  <c r="GC37" i="4"/>
  <c r="GB37" i="4"/>
  <c r="GA37" i="4"/>
  <c r="FZ37" i="4"/>
  <c r="FY37" i="4"/>
  <c r="FX37" i="4"/>
  <c r="FW37" i="4"/>
  <c r="FV37" i="4"/>
  <c r="FU37" i="4"/>
  <c r="FT37" i="4"/>
  <c r="FS37" i="4"/>
  <c r="FR37" i="4"/>
  <c r="FQ37" i="4"/>
  <c r="FP37" i="4"/>
  <c r="FO37" i="4"/>
  <c r="FN37" i="4"/>
  <c r="FM37" i="4"/>
  <c r="FL37" i="4"/>
  <c r="FK37" i="4"/>
  <c r="FJ37" i="4"/>
  <c r="FI37" i="4"/>
  <c r="FH37" i="4"/>
  <c r="FG37" i="4"/>
  <c r="FF37" i="4"/>
  <c r="FE37" i="4"/>
  <c r="FD37" i="4"/>
  <c r="FC37" i="4"/>
  <c r="FB37" i="4"/>
  <c r="FA37" i="4"/>
  <c r="EZ37" i="4"/>
  <c r="EY37" i="4"/>
  <c r="EX37" i="4"/>
  <c r="EW37" i="4"/>
  <c r="EV37" i="4"/>
  <c r="EU37" i="4"/>
  <c r="ET37" i="4"/>
  <c r="ES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F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S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V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U37" i="4"/>
  <c r="BT37" i="4"/>
  <c r="BS37" i="4"/>
  <c r="BR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GW36" i="4"/>
  <c r="GV36" i="4"/>
  <c r="GU36" i="4"/>
  <c r="GT36" i="4"/>
  <c r="GS36" i="4"/>
  <c r="GR36" i="4"/>
  <c r="GQ36" i="4"/>
  <c r="GP36" i="4"/>
  <c r="GO36" i="4"/>
  <c r="GN36" i="4"/>
  <c r="GM36" i="4"/>
  <c r="GL36" i="4"/>
  <c r="GK36" i="4"/>
  <c r="GJ36" i="4"/>
  <c r="GI36" i="4"/>
  <c r="GH36" i="4"/>
  <c r="GG36" i="4"/>
  <c r="GF36" i="4"/>
  <c r="GE36" i="4"/>
  <c r="GD36" i="4"/>
  <c r="GC36" i="4"/>
  <c r="GB36" i="4"/>
  <c r="GA36" i="4"/>
  <c r="FZ36" i="4"/>
  <c r="FY36" i="4"/>
  <c r="FX36" i="4"/>
  <c r="FW36" i="4"/>
  <c r="FV36" i="4"/>
  <c r="FU36" i="4"/>
  <c r="FT36" i="4"/>
  <c r="FS36" i="4"/>
  <c r="FR36" i="4"/>
  <c r="FQ36" i="4"/>
  <c r="FP36" i="4"/>
  <c r="FO36" i="4"/>
  <c r="FN36" i="4"/>
  <c r="FM36" i="4"/>
  <c r="FL36" i="4"/>
  <c r="FK36" i="4"/>
  <c r="FJ36" i="4"/>
  <c r="FI36" i="4"/>
  <c r="FH36" i="4"/>
  <c r="FG36" i="4"/>
  <c r="FF36" i="4"/>
  <c r="FE36" i="4"/>
  <c r="FD36" i="4"/>
  <c r="FC36" i="4"/>
  <c r="FB36" i="4"/>
  <c r="FA36" i="4"/>
  <c r="EZ36" i="4"/>
  <c r="EY36" i="4"/>
  <c r="EX36" i="4"/>
  <c r="EW36" i="4"/>
  <c r="EV36" i="4"/>
  <c r="EU36" i="4"/>
  <c r="ET36" i="4"/>
  <c r="ES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F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S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V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U36" i="4"/>
  <c r="BT36" i="4"/>
  <c r="BS36" i="4"/>
  <c r="BR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GW32" i="4"/>
  <c r="GV32" i="4"/>
  <c r="GU32" i="4"/>
  <c r="GT32" i="4"/>
  <c r="GS32" i="4"/>
  <c r="GR32" i="4"/>
  <c r="GQ32" i="4"/>
  <c r="GP32" i="4"/>
  <c r="GO32" i="4"/>
  <c r="GN32" i="4"/>
  <c r="GM32" i="4"/>
  <c r="GL32" i="4"/>
  <c r="GK32" i="4"/>
  <c r="GJ32" i="4"/>
  <c r="GI32" i="4"/>
  <c r="GH32" i="4"/>
  <c r="GG32" i="4"/>
  <c r="GF32" i="4"/>
  <c r="GE32" i="4"/>
  <c r="GD32" i="4"/>
  <c r="GC32" i="4"/>
  <c r="GB32" i="4"/>
  <c r="GA32" i="4"/>
  <c r="FZ32" i="4"/>
  <c r="FY32" i="4"/>
  <c r="FX32" i="4"/>
  <c r="FW32" i="4"/>
  <c r="FV32" i="4"/>
  <c r="FU32" i="4"/>
  <c r="FT32" i="4"/>
  <c r="FS32" i="4"/>
  <c r="FR32" i="4"/>
  <c r="FQ32" i="4"/>
  <c r="FP32" i="4"/>
  <c r="FO32" i="4"/>
  <c r="FN32" i="4"/>
  <c r="FM32" i="4"/>
  <c r="FL32" i="4"/>
  <c r="FK32" i="4"/>
  <c r="FJ32" i="4"/>
  <c r="FI32" i="4"/>
  <c r="FH32" i="4"/>
  <c r="FG32" i="4"/>
  <c r="FF32" i="4"/>
  <c r="FE32" i="4"/>
  <c r="FD32" i="4"/>
  <c r="FC32" i="4"/>
  <c r="FB32" i="4"/>
  <c r="FA32" i="4"/>
  <c r="EZ32" i="4"/>
  <c r="EY32" i="4"/>
  <c r="EX32" i="4"/>
  <c r="EW32" i="4"/>
  <c r="EV32" i="4"/>
  <c r="EU32" i="4"/>
  <c r="ET32" i="4"/>
  <c r="ES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F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S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V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U32" i="4"/>
  <c r="BT32" i="4"/>
  <c r="BS32" i="4"/>
  <c r="BR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GW31" i="4"/>
  <c r="GV31" i="4"/>
  <c r="GU31" i="4"/>
  <c r="GT31" i="4"/>
  <c r="GS31" i="4"/>
  <c r="GR31" i="4"/>
  <c r="GQ31" i="4"/>
  <c r="GP31" i="4"/>
  <c r="GO31" i="4"/>
  <c r="GN31" i="4"/>
  <c r="GM31" i="4"/>
  <c r="GL31" i="4"/>
  <c r="GK31" i="4"/>
  <c r="GJ31" i="4"/>
  <c r="GI31" i="4"/>
  <c r="GH31" i="4"/>
  <c r="GG31" i="4"/>
  <c r="GF31" i="4"/>
  <c r="GE31" i="4"/>
  <c r="GD31" i="4"/>
  <c r="GC31" i="4"/>
  <c r="GB31" i="4"/>
  <c r="GA31" i="4"/>
  <c r="FZ31" i="4"/>
  <c r="FY31" i="4"/>
  <c r="FX31" i="4"/>
  <c r="FW31" i="4"/>
  <c r="FV31" i="4"/>
  <c r="FU31" i="4"/>
  <c r="FT31" i="4"/>
  <c r="FS31" i="4"/>
  <c r="FR31" i="4"/>
  <c r="FQ31" i="4"/>
  <c r="FP31" i="4"/>
  <c r="FO31" i="4"/>
  <c r="FN31" i="4"/>
  <c r="FM31" i="4"/>
  <c r="FL31" i="4"/>
  <c r="FK31" i="4"/>
  <c r="FJ31" i="4"/>
  <c r="FI31" i="4"/>
  <c r="FH31" i="4"/>
  <c r="FG31" i="4"/>
  <c r="FF31" i="4"/>
  <c r="FE31" i="4"/>
  <c r="FD31" i="4"/>
  <c r="FC31" i="4"/>
  <c r="FB31" i="4"/>
  <c r="FA31" i="4"/>
  <c r="EZ31" i="4"/>
  <c r="EY31" i="4"/>
  <c r="EX31" i="4"/>
  <c r="EW31" i="4"/>
  <c r="EV31" i="4"/>
  <c r="EU31" i="4"/>
  <c r="ET31" i="4"/>
  <c r="ES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F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S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V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U31" i="4"/>
  <c r="BT31" i="4"/>
  <c r="BS31" i="4"/>
  <c r="BR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GW27" i="4"/>
  <c r="GV27" i="4"/>
  <c r="GU27" i="4"/>
  <c r="GT27" i="4"/>
  <c r="GS27" i="4"/>
  <c r="GR27" i="4"/>
  <c r="GQ27" i="4"/>
  <c r="GP27" i="4"/>
  <c r="GO27" i="4"/>
  <c r="GN27" i="4"/>
  <c r="GM27" i="4"/>
  <c r="GL27" i="4"/>
  <c r="GK27" i="4"/>
  <c r="GJ27" i="4"/>
  <c r="GI27" i="4"/>
  <c r="GH27" i="4"/>
  <c r="GG27" i="4"/>
  <c r="GF27" i="4"/>
  <c r="GE27" i="4"/>
  <c r="GD27" i="4"/>
  <c r="GC27" i="4"/>
  <c r="GB27" i="4"/>
  <c r="GA27" i="4"/>
  <c r="FZ27" i="4"/>
  <c r="FY27" i="4"/>
  <c r="FX27" i="4"/>
  <c r="FW27" i="4"/>
  <c r="FV27" i="4"/>
  <c r="FU27" i="4"/>
  <c r="FT27" i="4"/>
  <c r="FS27" i="4"/>
  <c r="FR27" i="4"/>
  <c r="FQ27" i="4"/>
  <c r="FP27" i="4"/>
  <c r="FO27" i="4"/>
  <c r="FN27" i="4"/>
  <c r="FM27" i="4"/>
  <c r="FL27" i="4"/>
  <c r="FK27" i="4"/>
  <c r="FJ27" i="4"/>
  <c r="FI27" i="4"/>
  <c r="FH27" i="4"/>
  <c r="FG27" i="4"/>
  <c r="FF27" i="4"/>
  <c r="FE27" i="4"/>
  <c r="FD27" i="4"/>
  <c r="FC27" i="4"/>
  <c r="FB27" i="4"/>
  <c r="FA27" i="4"/>
  <c r="EZ27" i="4"/>
  <c r="EY27" i="4"/>
  <c r="EX27" i="4"/>
  <c r="EW27" i="4"/>
  <c r="EV27" i="4"/>
  <c r="EU27" i="4"/>
  <c r="ET27" i="4"/>
  <c r="ES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F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S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V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U27" i="4"/>
  <c r="BT27" i="4"/>
  <c r="BS27" i="4"/>
  <c r="BR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GW26" i="4"/>
  <c r="GV26" i="4"/>
  <c r="GU26" i="4"/>
  <c r="GT26" i="4"/>
  <c r="GS26" i="4"/>
  <c r="GR26" i="4"/>
  <c r="GQ26" i="4"/>
  <c r="GP26" i="4"/>
  <c r="GO26" i="4"/>
  <c r="GN26" i="4"/>
  <c r="GM26" i="4"/>
  <c r="GL26" i="4"/>
  <c r="GK26" i="4"/>
  <c r="GJ26" i="4"/>
  <c r="GI26" i="4"/>
  <c r="GH26" i="4"/>
  <c r="GG26" i="4"/>
  <c r="GF26" i="4"/>
  <c r="GE26" i="4"/>
  <c r="GD26" i="4"/>
  <c r="GC26" i="4"/>
  <c r="GB26" i="4"/>
  <c r="GA26" i="4"/>
  <c r="FZ26" i="4"/>
  <c r="FY26" i="4"/>
  <c r="FX26" i="4"/>
  <c r="FW26" i="4"/>
  <c r="FV26" i="4"/>
  <c r="FU26" i="4"/>
  <c r="FT26" i="4"/>
  <c r="FS26" i="4"/>
  <c r="FR26" i="4"/>
  <c r="FQ26" i="4"/>
  <c r="FP26" i="4"/>
  <c r="FO26" i="4"/>
  <c r="FN26" i="4"/>
  <c r="FM26" i="4"/>
  <c r="FL26" i="4"/>
  <c r="FK26" i="4"/>
  <c r="FJ26" i="4"/>
  <c r="FI26" i="4"/>
  <c r="FH26" i="4"/>
  <c r="FG26" i="4"/>
  <c r="FF26" i="4"/>
  <c r="FE26" i="4"/>
  <c r="FD26" i="4"/>
  <c r="FC26" i="4"/>
  <c r="FB26" i="4"/>
  <c r="FA26" i="4"/>
  <c r="EZ26" i="4"/>
  <c r="EY26" i="4"/>
  <c r="EX26" i="4"/>
  <c r="EW26" i="4"/>
  <c r="EV26" i="4"/>
  <c r="EU26" i="4"/>
  <c r="ET26" i="4"/>
  <c r="ES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F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S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V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U26" i="4"/>
  <c r="BT26" i="4"/>
  <c r="BS26" i="4"/>
  <c r="BR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GW22" i="4"/>
  <c r="GV22" i="4"/>
  <c r="GU22" i="4"/>
  <c r="GT22" i="4"/>
  <c r="GS22" i="4"/>
  <c r="GR22" i="4"/>
  <c r="GQ22" i="4"/>
  <c r="GP22" i="4"/>
  <c r="GO22" i="4"/>
  <c r="GN22" i="4"/>
  <c r="GM22" i="4"/>
  <c r="GL22" i="4"/>
  <c r="GK22" i="4"/>
  <c r="GJ22" i="4"/>
  <c r="GI22" i="4"/>
  <c r="GH22" i="4"/>
  <c r="GG22" i="4"/>
  <c r="GF22" i="4"/>
  <c r="GE22" i="4"/>
  <c r="GD22" i="4"/>
  <c r="GC22" i="4"/>
  <c r="GB22" i="4"/>
  <c r="GA22" i="4"/>
  <c r="FZ22" i="4"/>
  <c r="FY22" i="4"/>
  <c r="FX22" i="4"/>
  <c r="FW22" i="4"/>
  <c r="FV22" i="4"/>
  <c r="FU22" i="4"/>
  <c r="FT22" i="4"/>
  <c r="FS22" i="4"/>
  <c r="FR22" i="4"/>
  <c r="FQ22" i="4"/>
  <c r="FP22" i="4"/>
  <c r="FO22" i="4"/>
  <c r="FN22" i="4"/>
  <c r="FM22" i="4"/>
  <c r="FL22" i="4"/>
  <c r="FK22" i="4"/>
  <c r="FJ22" i="4"/>
  <c r="FI22" i="4"/>
  <c r="FH22" i="4"/>
  <c r="FG22" i="4"/>
  <c r="FF22" i="4"/>
  <c r="FE22" i="4"/>
  <c r="FD22" i="4"/>
  <c r="FC22" i="4"/>
  <c r="FB22" i="4"/>
  <c r="FA22" i="4"/>
  <c r="EZ22" i="4"/>
  <c r="EY22" i="4"/>
  <c r="EX22" i="4"/>
  <c r="EW22" i="4"/>
  <c r="EV22" i="4"/>
  <c r="EU22" i="4"/>
  <c r="ET22" i="4"/>
  <c r="ES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F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S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V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U22" i="4"/>
  <c r="BT22" i="4"/>
  <c r="BS22" i="4"/>
  <c r="BR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GW21" i="4"/>
  <c r="GV21" i="4"/>
  <c r="GU21" i="4"/>
  <c r="GT21" i="4"/>
  <c r="GS21" i="4"/>
  <c r="GR21" i="4"/>
  <c r="GQ21" i="4"/>
  <c r="GP21" i="4"/>
  <c r="GO21" i="4"/>
  <c r="GN21" i="4"/>
  <c r="GM21" i="4"/>
  <c r="GL21" i="4"/>
  <c r="GK21" i="4"/>
  <c r="GJ21" i="4"/>
  <c r="GI21" i="4"/>
  <c r="GH21" i="4"/>
  <c r="GG21" i="4"/>
  <c r="GF21" i="4"/>
  <c r="GE21" i="4"/>
  <c r="GD21" i="4"/>
  <c r="GC21" i="4"/>
  <c r="GB21" i="4"/>
  <c r="GA21" i="4"/>
  <c r="FZ21" i="4"/>
  <c r="FY21" i="4"/>
  <c r="FX21" i="4"/>
  <c r="FW21" i="4"/>
  <c r="FV21" i="4"/>
  <c r="FU21" i="4"/>
  <c r="FT21" i="4"/>
  <c r="FS21" i="4"/>
  <c r="FR21" i="4"/>
  <c r="FQ21" i="4"/>
  <c r="FP21" i="4"/>
  <c r="FO21" i="4"/>
  <c r="FN21" i="4"/>
  <c r="FM21" i="4"/>
  <c r="FL21" i="4"/>
  <c r="FK21" i="4"/>
  <c r="FJ21" i="4"/>
  <c r="FI21" i="4"/>
  <c r="FH21" i="4"/>
  <c r="FG21" i="4"/>
  <c r="FF21" i="4"/>
  <c r="FE21" i="4"/>
  <c r="FD21" i="4"/>
  <c r="FC21" i="4"/>
  <c r="FB21" i="4"/>
  <c r="FA21" i="4"/>
  <c r="EZ21" i="4"/>
  <c r="EY21" i="4"/>
  <c r="EX21" i="4"/>
  <c r="EW21" i="4"/>
  <c r="EV21" i="4"/>
  <c r="EU21" i="4"/>
  <c r="ET21" i="4"/>
  <c r="ES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F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S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V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U21" i="4"/>
  <c r="BT21" i="4"/>
  <c r="BS21" i="4"/>
  <c r="BR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GW17" i="4"/>
  <c r="GV17" i="4"/>
  <c r="GU17" i="4"/>
  <c r="GT17" i="4"/>
  <c r="GS17" i="4"/>
  <c r="GR17" i="4"/>
  <c r="GQ17" i="4"/>
  <c r="GP17" i="4"/>
  <c r="GO17" i="4"/>
  <c r="GN17" i="4"/>
  <c r="GM17" i="4"/>
  <c r="GL17" i="4"/>
  <c r="GK17" i="4"/>
  <c r="GJ17" i="4"/>
  <c r="GI17" i="4"/>
  <c r="GH17" i="4"/>
  <c r="GG17" i="4"/>
  <c r="GF17" i="4"/>
  <c r="GE17" i="4"/>
  <c r="GD17" i="4"/>
  <c r="GC17" i="4"/>
  <c r="GB17" i="4"/>
  <c r="GA17" i="4"/>
  <c r="FZ17" i="4"/>
  <c r="FY17" i="4"/>
  <c r="FX17" i="4"/>
  <c r="FW17" i="4"/>
  <c r="FV17" i="4"/>
  <c r="FU17" i="4"/>
  <c r="FT17" i="4"/>
  <c r="FS17" i="4"/>
  <c r="FR17" i="4"/>
  <c r="FQ17" i="4"/>
  <c r="FP17" i="4"/>
  <c r="FO17" i="4"/>
  <c r="FN17" i="4"/>
  <c r="FM17" i="4"/>
  <c r="FL17" i="4"/>
  <c r="FK17" i="4"/>
  <c r="FJ17" i="4"/>
  <c r="FI17" i="4"/>
  <c r="FH17" i="4"/>
  <c r="FG17" i="4"/>
  <c r="FF17" i="4"/>
  <c r="FE17" i="4"/>
  <c r="FD17" i="4"/>
  <c r="FC17" i="4"/>
  <c r="FB17" i="4"/>
  <c r="FA17" i="4"/>
  <c r="EZ17" i="4"/>
  <c r="EY17" i="4"/>
  <c r="EX17" i="4"/>
  <c r="EW17" i="4"/>
  <c r="EV17" i="4"/>
  <c r="EU17" i="4"/>
  <c r="ET17" i="4"/>
  <c r="ES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F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S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V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U17" i="4"/>
  <c r="BT17" i="4"/>
  <c r="BS17" i="4"/>
  <c r="BR17" i="4"/>
  <c r="BO17" i="4"/>
  <c r="BN17" i="4"/>
  <c r="BM17" i="4"/>
  <c r="BL17" i="4"/>
  <c r="BK17" i="4"/>
  <c r="BJ17" i="4"/>
  <c r="BI17" i="4"/>
  <c r="BH17" i="4"/>
  <c r="BG17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GW16" i="4"/>
  <c r="GV16" i="4"/>
  <c r="GU16" i="4"/>
  <c r="GT16" i="4"/>
  <c r="GS16" i="4"/>
  <c r="GR16" i="4"/>
  <c r="GQ16" i="4"/>
  <c r="GP16" i="4"/>
  <c r="GO16" i="4"/>
  <c r="GN16" i="4"/>
  <c r="GM16" i="4"/>
  <c r="GL16" i="4"/>
  <c r="GK16" i="4"/>
  <c r="GJ16" i="4"/>
  <c r="GI16" i="4"/>
  <c r="GH16" i="4"/>
  <c r="GG16" i="4"/>
  <c r="GF16" i="4"/>
  <c r="GE16" i="4"/>
  <c r="GD16" i="4"/>
  <c r="GC16" i="4"/>
  <c r="GB16" i="4"/>
  <c r="GA16" i="4"/>
  <c r="FZ16" i="4"/>
  <c r="FY16" i="4"/>
  <c r="FX16" i="4"/>
  <c r="FW16" i="4"/>
  <c r="FV16" i="4"/>
  <c r="FU16" i="4"/>
  <c r="FT16" i="4"/>
  <c r="FS16" i="4"/>
  <c r="FR16" i="4"/>
  <c r="FQ16" i="4"/>
  <c r="FP16" i="4"/>
  <c r="FO16" i="4"/>
  <c r="FN16" i="4"/>
  <c r="FM16" i="4"/>
  <c r="FL16" i="4"/>
  <c r="FK16" i="4"/>
  <c r="FJ16" i="4"/>
  <c r="FI16" i="4"/>
  <c r="FH16" i="4"/>
  <c r="FG16" i="4"/>
  <c r="FF16" i="4"/>
  <c r="FE16" i="4"/>
  <c r="FD16" i="4"/>
  <c r="FC16" i="4"/>
  <c r="FB16" i="4"/>
  <c r="FA16" i="4"/>
  <c r="EZ16" i="4"/>
  <c r="EY16" i="4"/>
  <c r="EX16" i="4"/>
  <c r="EW16" i="4"/>
  <c r="EV16" i="4"/>
  <c r="EU16" i="4"/>
  <c r="ET16" i="4"/>
  <c r="ES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F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S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V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U16" i="4"/>
  <c r="BT16" i="4"/>
  <c r="BS16" i="4"/>
  <c r="BR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GN9" i="4"/>
  <c r="GB9" i="4"/>
  <c r="FT9" i="4"/>
  <c r="FN9" i="4"/>
  <c r="EZ9" i="4"/>
  <c r="EN9" i="4"/>
  <c r="DZ9" i="4"/>
  <c r="DT9" i="4"/>
  <c r="DL9" i="4"/>
  <c r="CZ9" i="4"/>
  <c r="CL9" i="4"/>
  <c r="BX9" i="4"/>
  <c r="BR9" i="4"/>
  <c r="BL9" i="4"/>
  <c r="BB9" i="4"/>
  <c r="AN9" i="4"/>
  <c r="AH9" i="4"/>
  <c r="Z9" i="4"/>
  <c r="X9" i="4"/>
  <c r="T9" i="4"/>
  <c r="N9" i="4"/>
  <c r="Z7" i="4"/>
  <c r="P7" i="4"/>
  <c r="N7" i="4"/>
  <c r="L7" i="4"/>
  <c r="J7" i="4"/>
  <c r="H7" i="4"/>
  <c r="F7" i="4"/>
  <c r="D7" i="4"/>
  <c r="BT1" i="4"/>
  <c r="I1" i="4"/>
  <c r="M30" i="3"/>
  <c r="M31" i="3" s="1"/>
  <c r="AG27" i="3"/>
  <c r="AE27" i="3"/>
  <c r="AC27" i="3"/>
  <c r="AA27" i="3"/>
  <c r="Y27" i="3"/>
  <c r="W27" i="3"/>
  <c r="U27" i="3"/>
  <c r="S27" i="3"/>
  <c r="Q27" i="3"/>
  <c r="O27" i="3"/>
  <c r="M27" i="3"/>
  <c r="K27" i="3"/>
  <c r="I27" i="3"/>
  <c r="G27" i="3"/>
  <c r="E27" i="3"/>
  <c r="AG26" i="3"/>
  <c r="AE26" i="3"/>
  <c r="AC26" i="3"/>
  <c r="AA26" i="3"/>
  <c r="Y26" i="3"/>
  <c r="W26" i="3"/>
  <c r="U26" i="3"/>
  <c r="S26" i="3"/>
  <c r="Q26" i="3"/>
  <c r="O26" i="3"/>
  <c r="M26" i="3"/>
  <c r="K26" i="3"/>
  <c r="I26" i="3"/>
  <c r="G26" i="3"/>
  <c r="E26" i="3"/>
  <c r="AG23" i="3"/>
  <c r="AE23" i="3"/>
  <c r="AC23" i="3"/>
  <c r="AA23" i="3"/>
  <c r="Y23" i="3"/>
  <c r="Y28" i="3" s="1"/>
  <c r="W23" i="3"/>
  <c r="U23" i="3"/>
  <c r="U24" i="3" s="1"/>
  <c r="S23" i="3"/>
  <c r="Q23" i="3"/>
  <c r="O23" i="3"/>
  <c r="M23" i="3"/>
  <c r="K23" i="3"/>
  <c r="I23" i="3"/>
  <c r="I28" i="3" s="1"/>
  <c r="G23" i="3"/>
  <c r="E23" i="3"/>
  <c r="E24" i="3" s="1"/>
  <c r="AG22" i="3"/>
  <c r="AE22" i="3"/>
  <c r="AC22" i="3"/>
  <c r="AA22" i="3"/>
  <c r="Y22" i="3"/>
  <c r="W22" i="3"/>
  <c r="W24" i="3" s="1"/>
  <c r="U22" i="3"/>
  <c r="S22" i="3"/>
  <c r="Q22" i="3"/>
  <c r="O22" i="3"/>
  <c r="M22" i="3"/>
  <c r="K22" i="3"/>
  <c r="I22" i="3"/>
  <c r="G22" i="3"/>
  <c r="G24" i="3" s="1"/>
  <c r="E22" i="3"/>
  <c r="AG19" i="3"/>
  <c r="AE19" i="3"/>
  <c r="AC19" i="3"/>
  <c r="AA19" i="3"/>
  <c r="Y19" i="3"/>
  <c r="W19" i="3"/>
  <c r="U19" i="3"/>
  <c r="S19" i="3"/>
  <c r="Q19" i="3"/>
  <c r="O19" i="3"/>
  <c r="M19" i="3"/>
  <c r="K19" i="3"/>
  <c r="I19" i="3"/>
  <c r="G19" i="3"/>
  <c r="E19" i="3"/>
  <c r="AG18" i="3"/>
  <c r="AE18" i="3"/>
  <c r="AC18" i="3"/>
  <c r="AA18" i="3"/>
  <c r="Y18" i="3"/>
  <c r="W18" i="3"/>
  <c r="U18" i="3"/>
  <c r="S18" i="3"/>
  <c r="S20" i="3" s="1"/>
  <c r="Q18" i="3"/>
  <c r="O18" i="3"/>
  <c r="M18" i="3"/>
  <c r="K18" i="3"/>
  <c r="I18" i="3"/>
  <c r="G18" i="3"/>
  <c r="E18" i="3"/>
  <c r="AG15" i="3"/>
  <c r="AE15" i="3"/>
  <c r="AC15" i="3"/>
  <c r="AA15" i="3"/>
  <c r="Y15" i="3"/>
  <c r="W15" i="3"/>
  <c r="U15" i="3"/>
  <c r="S15" i="3"/>
  <c r="Q15" i="3"/>
  <c r="O15" i="3"/>
  <c r="M15" i="3"/>
  <c r="K15" i="3"/>
  <c r="I15" i="3"/>
  <c r="G15" i="3"/>
  <c r="E15" i="3"/>
  <c r="AG14" i="3"/>
  <c r="AE14" i="3"/>
  <c r="AC14" i="3"/>
  <c r="AA14" i="3"/>
  <c r="Y14" i="3"/>
  <c r="W14" i="3"/>
  <c r="U14" i="3"/>
  <c r="S14" i="3"/>
  <c r="Q14" i="3"/>
  <c r="O14" i="3"/>
  <c r="M14" i="3"/>
  <c r="K14" i="3"/>
  <c r="I14" i="3"/>
  <c r="G14" i="3"/>
  <c r="E14" i="3"/>
  <c r="AC12" i="3"/>
  <c r="AG11" i="3"/>
  <c r="AE11" i="3"/>
  <c r="AC11" i="3"/>
  <c r="AA11" i="3"/>
  <c r="Y11" i="3"/>
  <c r="W11" i="3"/>
  <c r="U11" i="3"/>
  <c r="S11" i="3"/>
  <c r="Q11" i="3"/>
  <c r="O11" i="3"/>
  <c r="M11" i="3"/>
  <c r="K11" i="3"/>
  <c r="I11" i="3"/>
  <c r="G11" i="3"/>
  <c r="E11" i="3"/>
  <c r="AG10" i="3"/>
  <c r="AE10" i="3"/>
  <c r="AC10" i="3"/>
  <c r="AC30" i="3" s="1"/>
  <c r="AC31" i="3" s="1"/>
  <c r="AA10" i="3"/>
  <c r="AA30" i="3" s="1"/>
  <c r="AA31" i="3" s="1"/>
  <c r="Y10" i="3"/>
  <c r="W10" i="3"/>
  <c r="U10" i="3"/>
  <c r="S10" i="3"/>
  <c r="S30" i="3" s="1"/>
  <c r="S31" i="3" s="1"/>
  <c r="Q10" i="3"/>
  <c r="O10" i="3"/>
  <c r="M10" i="3"/>
  <c r="M12" i="3" s="1"/>
  <c r="K10" i="3"/>
  <c r="K30" i="3" s="1"/>
  <c r="K31" i="3" s="1"/>
  <c r="I10" i="3"/>
  <c r="G10" i="3"/>
  <c r="E10" i="3"/>
  <c r="Q12" i="3" l="1"/>
  <c r="S16" i="3"/>
  <c r="G20" i="3"/>
  <c r="AC1" i="4"/>
  <c r="E12" i="3"/>
  <c r="K20" i="3"/>
  <c r="AA20" i="3"/>
  <c r="O24" i="3"/>
  <c r="AE24" i="3"/>
  <c r="Q28" i="3"/>
  <c r="AG28" i="3"/>
  <c r="GH9" i="4"/>
  <c r="AX71" i="4"/>
  <c r="I12" i="3"/>
  <c r="K16" i="3"/>
  <c r="Q16" i="3"/>
  <c r="AG16" i="3"/>
  <c r="U20" i="3"/>
  <c r="FH9" i="4"/>
  <c r="FA1" i="4" s="1"/>
  <c r="CQ50" i="4"/>
  <c r="CQ59" i="4"/>
  <c r="JU148" i="4"/>
  <c r="AZ85" i="4"/>
  <c r="AG12" i="3"/>
  <c r="W20" i="3"/>
  <c r="Y86" i="4"/>
  <c r="BA85" i="4"/>
  <c r="AA16" i="3"/>
  <c r="O20" i="3"/>
  <c r="AE20" i="3"/>
  <c r="GV9" i="4"/>
  <c r="BX71" i="4"/>
  <c r="CZ71" i="4"/>
  <c r="DZ71" i="4"/>
  <c r="X71" i="4"/>
  <c r="Y12" i="3"/>
  <c r="J9" i="4"/>
  <c r="AX9" i="4"/>
  <c r="BC1" i="4" s="1"/>
  <c r="BX1" i="4" s="1"/>
  <c r="Z71" i="4"/>
  <c r="BB71" i="4"/>
  <c r="BN71" i="4"/>
  <c r="BN9" i="4"/>
  <c r="BW1" i="4" s="1"/>
  <c r="CB71" i="4"/>
  <c r="CD71" i="4" s="1"/>
  <c r="CB9" i="4"/>
  <c r="CG2" i="4" s="1"/>
  <c r="CP71" i="4"/>
  <c r="CP9" i="4"/>
  <c r="DB71" i="4"/>
  <c r="DB9" i="4"/>
  <c r="DC1" i="4" s="1"/>
  <c r="DP71" i="4"/>
  <c r="DP9" i="4"/>
  <c r="DM1" i="4" s="1"/>
  <c r="ED71" i="4"/>
  <c r="ED9" i="4"/>
  <c r="DW1" i="4" s="1"/>
  <c r="EP71" i="4"/>
  <c r="EP9" i="4"/>
  <c r="EQ1" i="4" s="1"/>
  <c r="FD71" i="4"/>
  <c r="FC1" i="4" s="1"/>
  <c r="FD9" i="4"/>
  <c r="FJ71" i="4"/>
  <c r="FJ9" i="4"/>
  <c r="FR71" i="4"/>
  <c r="FR9" i="4"/>
  <c r="FX71" i="4"/>
  <c r="FX9" i="4"/>
  <c r="FU1" i="4" s="1"/>
  <c r="GF64" i="4"/>
  <c r="GD9" i="4"/>
  <c r="GL71" i="4"/>
  <c r="GL9" i="4"/>
  <c r="GR71" i="4"/>
  <c r="GR9" i="4"/>
  <c r="GO1" i="4" s="1"/>
  <c r="AL11" i="3"/>
  <c r="CQ1" i="4"/>
  <c r="EG1" i="4"/>
  <c r="BI102" i="4"/>
  <c r="AK19" i="3"/>
  <c r="DA1" i="4"/>
  <c r="U12" i="3"/>
  <c r="U30" i="3"/>
  <c r="U31" i="3" s="1"/>
  <c r="CG1" i="4"/>
  <c r="O12" i="3"/>
  <c r="W12" i="3"/>
  <c r="AE12" i="3"/>
  <c r="AI14" i="3"/>
  <c r="M16" i="3"/>
  <c r="U16" i="3"/>
  <c r="AC16" i="3"/>
  <c r="AL15" i="3"/>
  <c r="I20" i="3"/>
  <c r="Q20" i="3"/>
  <c r="Y20" i="3"/>
  <c r="AG20" i="3"/>
  <c r="M24" i="3"/>
  <c r="AC24" i="3"/>
  <c r="GN52" i="4"/>
  <c r="GV52" i="4"/>
  <c r="BF102" i="4"/>
  <c r="AI102" i="4"/>
  <c r="AT102" i="4"/>
  <c r="S12" i="3"/>
  <c r="I16" i="3"/>
  <c r="Y16" i="3"/>
  <c r="I24" i="3"/>
  <c r="Q24" i="3"/>
  <c r="Y24" i="3"/>
  <c r="AG24" i="3"/>
  <c r="K28" i="3"/>
  <c r="S28" i="3"/>
  <c r="AA28" i="3"/>
  <c r="G226" i="4"/>
  <c r="AC102" i="4"/>
  <c r="AY102" i="4"/>
  <c r="E20" i="3"/>
  <c r="M20" i="3"/>
  <c r="AC20" i="3"/>
  <c r="G1" i="4"/>
  <c r="P71" i="4"/>
  <c r="P9" i="4"/>
  <c r="Q1" i="4" s="1"/>
  <c r="AD71" i="4"/>
  <c r="AD9" i="4"/>
  <c r="AR71" i="4"/>
  <c r="AR9" i="4"/>
  <c r="BD71" i="4"/>
  <c r="BD9" i="4"/>
  <c r="BM1" i="4" s="1"/>
  <c r="AK10" i="3"/>
  <c r="AI11" i="3"/>
  <c r="AJ15" i="3"/>
  <c r="AJ9" i="4"/>
  <c r="BE102" i="4"/>
  <c r="W102" i="4"/>
  <c r="AF102" i="4"/>
  <c r="AK11" i="3"/>
  <c r="G16" i="3"/>
  <c r="O16" i="3"/>
  <c r="W16" i="3"/>
  <c r="AE16" i="3"/>
  <c r="AJ18" i="3"/>
  <c r="K24" i="3"/>
  <c r="S24" i="3"/>
  <c r="AA24" i="3"/>
  <c r="E28" i="3"/>
  <c r="M28" i="3"/>
  <c r="U28" i="3"/>
  <c r="AC28" i="3"/>
  <c r="CG51" i="4"/>
  <c r="CG59" i="4"/>
  <c r="Q59" i="4"/>
  <c r="BR71" i="4"/>
  <c r="CF71" i="4"/>
  <c r="CR71" i="4"/>
  <c r="DF71" i="4"/>
  <c r="DT71" i="4"/>
  <c r="EF71" i="4"/>
  <c r="ET71" i="4"/>
  <c r="FV64" i="4"/>
  <c r="GB71" i="4"/>
  <c r="GN71" i="4"/>
  <c r="GQ1" i="4" s="1"/>
  <c r="N86" i="4"/>
  <c r="V85" i="4"/>
  <c r="AH86" i="4"/>
  <c r="AP85" i="4"/>
  <c r="BB86" i="4"/>
  <c r="AJ10" i="3"/>
  <c r="K12" i="3"/>
  <c r="AA12" i="3"/>
  <c r="AL19" i="3"/>
  <c r="G28" i="3"/>
  <c r="O28" i="3"/>
  <c r="W28" i="3"/>
  <c r="AE28" i="3"/>
  <c r="E30" i="3"/>
  <c r="E31" i="3" s="1"/>
  <c r="BN52" i="4"/>
  <c r="BV52" i="4"/>
  <c r="CB52" i="4"/>
  <c r="CP50" i="4"/>
  <c r="CV52" i="4"/>
  <c r="DB52" i="4"/>
  <c r="DJ52" i="4"/>
  <c r="DP52" i="4"/>
  <c r="DV52" i="4"/>
  <c r="ED52" i="4"/>
  <c r="EJ52" i="4"/>
  <c r="EP52" i="4"/>
  <c r="EX52" i="4"/>
  <c r="GL52" i="4"/>
  <c r="GR52" i="4"/>
  <c r="CP59" i="4"/>
  <c r="F71" i="4"/>
  <c r="T71" i="4"/>
  <c r="AH71" i="4"/>
  <c r="AN71" i="4"/>
  <c r="AT71" i="4"/>
  <c r="O86" i="4"/>
  <c r="W85" i="4"/>
  <c r="AI86" i="4"/>
  <c r="AQ85" i="4"/>
  <c r="BC86" i="4"/>
  <c r="BH71" i="4"/>
  <c r="BV71" i="4"/>
  <c r="CH71" i="4"/>
  <c r="CV71" i="4"/>
  <c r="DJ71" i="4"/>
  <c r="DV71" i="4"/>
  <c r="DY1" i="4" s="1"/>
  <c r="EJ71" i="4"/>
  <c r="EX71" i="4"/>
  <c r="BE125" i="4"/>
  <c r="Z102" i="4"/>
  <c r="BB102" i="4"/>
  <c r="K4" i="6"/>
  <c r="S4" i="6"/>
  <c r="O10" i="6"/>
  <c r="O26" i="6"/>
  <c r="W16" i="6"/>
  <c r="W32" i="6"/>
  <c r="S14" i="6"/>
  <c r="G16" i="6"/>
  <c r="K22" i="6"/>
  <c r="S26" i="6"/>
  <c r="G28" i="6"/>
  <c r="K30" i="6"/>
  <c r="O32" i="6"/>
  <c r="K16" i="6"/>
  <c r="W14" i="6"/>
  <c r="O14" i="6"/>
  <c r="G6" i="6"/>
  <c r="K32" i="6"/>
  <c r="S6" i="6"/>
  <c r="G8" i="6"/>
  <c r="K10" i="6"/>
  <c r="O22" i="6"/>
  <c r="K24" i="6"/>
  <c r="S24" i="6"/>
  <c r="G22" i="6"/>
  <c r="O8" i="6"/>
  <c r="W12" i="6"/>
  <c r="W18" i="6"/>
  <c r="O20" i="6"/>
  <c r="Y28" i="6"/>
  <c r="Z28" i="6" s="1"/>
  <c r="W30" i="6"/>
  <c r="G4" i="6"/>
  <c r="O6" i="6"/>
  <c r="K8" i="6"/>
  <c r="S8" i="6"/>
  <c r="Y8" i="6"/>
  <c r="Z8" i="6" s="1"/>
  <c r="O12" i="6"/>
  <c r="O18" i="6"/>
  <c r="K20" i="6"/>
  <c r="S20" i="6"/>
  <c r="W28" i="6"/>
  <c r="O30" i="6"/>
  <c r="S12" i="6"/>
  <c r="K14" i="6"/>
  <c r="K26" i="6"/>
  <c r="S28" i="6"/>
  <c r="G32" i="6"/>
  <c r="W4" i="6"/>
  <c r="W8" i="6"/>
  <c r="S10" i="6"/>
  <c r="G12" i="6"/>
  <c r="O16" i="6"/>
  <c r="W20" i="6"/>
  <c r="W24" i="6"/>
  <c r="W26" i="6"/>
  <c r="O28" i="6"/>
  <c r="O4" i="6"/>
  <c r="K6" i="6"/>
  <c r="W6" i="6"/>
  <c r="K12" i="6"/>
  <c r="G14" i="6"/>
  <c r="S16" i="6"/>
  <c r="Y16" i="6"/>
  <c r="Z16" i="6" s="1"/>
  <c r="K18" i="6"/>
  <c r="S18" i="6"/>
  <c r="G20" i="6"/>
  <c r="W22" i="6"/>
  <c r="G24" i="6"/>
  <c r="O24" i="6"/>
  <c r="K28" i="6"/>
  <c r="G30" i="6"/>
  <c r="S32" i="6"/>
  <c r="S22" i="6"/>
  <c r="S30" i="6"/>
  <c r="G10" i="6"/>
  <c r="W10" i="6"/>
  <c r="G18" i="6"/>
  <c r="G26" i="6"/>
  <c r="FD52" i="4"/>
  <c r="FJ52" i="4"/>
  <c r="FR52" i="4"/>
  <c r="FX52" i="4"/>
  <c r="GD52" i="4"/>
  <c r="BL52" i="4"/>
  <c r="BR52" i="4"/>
  <c r="BW3" i="4" s="1"/>
  <c r="BX52" i="4"/>
  <c r="CL52" i="4"/>
  <c r="CR52" i="4"/>
  <c r="CZ52" i="4"/>
  <c r="DF52" i="4"/>
  <c r="DE2" i="4" s="1"/>
  <c r="DL52" i="4"/>
  <c r="DT52" i="4"/>
  <c r="DZ52" i="4"/>
  <c r="EA1" i="4" s="1"/>
  <c r="EF52" i="4"/>
  <c r="EN52" i="4"/>
  <c r="ET52" i="4"/>
  <c r="EZ52" i="4"/>
  <c r="FH52" i="4"/>
  <c r="FN52" i="4"/>
  <c r="FT52" i="4"/>
  <c r="GB52" i="4"/>
  <c r="GH52" i="4"/>
  <c r="F50" i="4"/>
  <c r="N50" i="4"/>
  <c r="T50" i="4"/>
  <c r="T51" i="4" s="1"/>
  <c r="Z50" i="4"/>
  <c r="AH50" i="4"/>
  <c r="AN50" i="4"/>
  <c r="AT50" i="4"/>
  <c r="BB50" i="4"/>
  <c r="BH50" i="4"/>
  <c r="CH50" i="4"/>
  <c r="CD70" i="4"/>
  <c r="G50" i="4"/>
  <c r="G60" i="4" s="1"/>
  <c r="O50" i="4"/>
  <c r="U50" i="4"/>
  <c r="AA50" i="4"/>
  <c r="AI50" i="4"/>
  <c r="AO50" i="4"/>
  <c r="AU50" i="4"/>
  <c r="BC50" i="4"/>
  <c r="BI50" i="4"/>
  <c r="CI50" i="4"/>
  <c r="J50" i="4"/>
  <c r="P50" i="4"/>
  <c r="X50" i="4"/>
  <c r="AD50" i="4"/>
  <c r="AJ50" i="4"/>
  <c r="AR50" i="4"/>
  <c r="AX50" i="4"/>
  <c r="BD50" i="4"/>
  <c r="CF50" i="4"/>
  <c r="K50" i="4"/>
  <c r="Q50" i="4"/>
  <c r="Y50" i="4"/>
  <c r="AE50" i="4"/>
  <c r="AK50" i="4"/>
  <c r="AS50" i="4"/>
  <c r="AY50" i="4"/>
  <c r="BE50" i="4"/>
  <c r="CG50" i="4"/>
  <c r="GD71" i="4"/>
  <c r="FT71" i="4"/>
  <c r="AK15" i="3"/>
  <c r="AK18" i="3"/>
  <c r="AL10" i="3"/>
  <c r="AK14" i="3"/>
  <c r="AL18" i="3"/>
  <c r="AI19" i="3"/>
  <c r="G30" i="3"/>
  <c r="G31" i="3" s="1"/>
  <c r="O30" i="3"/>
  <c r="O31" i="3" s="1"/>
  <c r="W30" i="3"/>
  <c r="W31" i="3" s="1"/>
  <c r="AE30" i="3"/>
  <c r="AE31" i="3" s="1"/>
  <c r="AI10" i="3"/>
  <c r="AJ11" i="3"/>
  <c r="G12" i="3"/>
  <c r="AL14" i="3"/>
  <c r="AI15" i="3"/>
  <c r="E16" i="3"/>
  <c r="AI18" i="3"/>
  <c r="AJ19" i="3"/>
  <c r="I30" i="3"/>
  <c r="I31" i="3" s="1"/>
  <c r="Q30" i="3"/>
  <c r="Q31" i="3" s="1"/>
  <c r="Y30" i="3"/>
  <c r="Y31" i="3" s="1"/>
  <c r="AG30" i="3"/>
  <c r="AG31" i="3" s="1"/>
  <c r="AJ14" i="3"/>
  <c r="AK12" i="3" l="1"/>
  <c r="DW2" i="4"/>
  <c r="AI20" i="3"/>
  <c r="FW1" i="4"/>
  <c r="AJ20" i="3"/>
  <c r="FM1" i="4"/>
  <c r="CP52" i="4"/>
  <c r="CO3" i="4" s="1"/>
  <c r="GE1" i="4"/>
  <c r="BC2" i="4"/>
  <c r="DE1" i="4"/>
  <c r="CQ2" i="4"/>
  <c r="GG1" i="4"/>
  <c r="CJ2" i="4"/>
  <c r="CO1" i="4"/>
  <c r="AU2" i="4"/>
  <c r="AQ1" i="4"/>
  <c r="DO1" i="4"/>
  <c r="FK1" i="4"/>
  <c r="AL12" i="3"/>
  <c r="EI1" i="4"/>
  <c r="CE2" i="4"/>
  <c r="CE1" i="4"/>
  <c r="AL31" i="3"/>
  <c r="AJ12" i="3"/>
  <c r="AR52" i="4"/>
  <c r="P52" i="4"/>
  <c r="CH52" i="4"/>
  <c r="AN52" i="4"/>
  <c r="N52" i="4"/>
  <c r="FE1" i="4"/>
  <c r="BW2" i="4"/>
  <c r="BK2" i="4"/>
  <c r="S1" i="4"/>
  <c r="EU1" i="4"/>
  <c r="AS1" i="4"/>
  <c r="G2" i="4"/>
  <c r="AI12" i="3"/>
  <c r="FM2" i="4"/>
  <c r="BD52" i="4"/>
  <c r="AD52" i="4"/>
  <c r="BB52" i="4"/>
  <c r="Z52" i="4"/>
  <c r="DO2" i="4"/>
  <c r="BA1" i="4"/>
  <c r="AY1" i="4"/>
  <c r="ES1" i="4"/>
  <c r="DY2" i="4" s="1"/>
  <c r="CJ1" i="4"/>
  <c r="CY1" i="4"/>
  <c r="BK1" i="4"/>
  <c r="CF52" i="4"/>
  <c r="CE3" i="4" s="1"/>
  <c r="AJ52" i="4"/>
  <c r="J52" i="4"/>
  <c r="K1" i="4" s="1"/>
  <c r="BH52" i="4"/>
  <c r="AH52" i="4"/>
  <c r="F60" i="4"/>
  <c r="F52" i="4"/>
  <c r="CW1" i="4"/>
  <c r="AX52" i="4"/>
  <c r="X52" i="4"/>
  <c r="AT52" i="4"/>
  <c r="BA3" i="4" s="1"/>
  <c r="T52" i="4"/>
  <c r="EK1" i="4"/>
  <c r="AK31" i="3"/>
  <c r="AJ16" i="3"/>
  <c r="AI16" i="3"/>
  <c r="CP3" i="4" l="1"/>
  <c r="FK2" i="4"/>
  <c r="I2" i="4"/>
  <c r="BK3" i="4"/>
  <c r="BB3" i="4" s="1"/>
  <c r="AQ2" i="4"/>
  <c r="CO2" i="4"/>
  <c r="BA2" i="4"/>
  <c r="EB1" i="4"/>
  <c r="AA2" i="4"/>
  <c r="AA1" i="4"/>
  <c r="U1" i="4"/>
  <c r="K2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Zainab</author>
  </authors>
  <commentList>
    <comment ref="B13" authorId="0" shapeId="0" xr:uid="{FD7A18D5-E4EE-A545-A5D9-FCD4FA641EAE}">
      <text>
        <r>
          <rPr>
            <b/>
            <sz val="9"/>
            <color indexed="81"/>
            <rFont val="Tahoma"/>
            <family val="2"/>
          </rPr>
          <t>TEMP. dependent</t>
        </r>
      </text>
    </comment>
    <comment ref="B18" authorId="0" shapeId="0" xr:uid="{9CD1E9BC-06D8-274F-9277-955EB63609A9}">
      <text>
        <r>
          <rPr>
            <b/>
            <sz val="9"/>
            <color indexed="81"/>
            <rFont val="Tahoma"/>
            <family val="2"/>
          </rPr>
          <t>Ability of H2O to conduct an EC
Affected by inorg DS (TDS) and temp</t>
        </r>
      </text>
    </comment>
    <comment ref="B23" authorId="0" shapeId="0" xr:uid="{E68EF314-F176-434B-8E4D-E754CFC4BC0C}">
      <text>
        <r>
          <rPr>
            <b/>
            <sz val="9"/>
            <color indexed="81"/>
            <rFont val="Tahoma"/>
            <family val="2"/>
          </rPr>
          <t xml:space="preserve">Conc. of soluble org and inorg matter
</t>
        </r>
      </text>
    </comment>
    <comment ref="B28" authorId="0" shapeId="0" xr:uid="{A7A3BFB2-7CBB-0444-AF72-10BC41D2D180}">
      <text>
        <r>
          <rPr>
            <b/>
            <sz val="9"/>
            <color indexed="81"/>
            <rFont val="Tahoma"/>
            <family val="2"/>
          </rPr>
          <t>soluble minerals conc.
contributes to EC</t>
        </r>
      </text>
    </comment>
    <comment ref="B33" authorId="0" shapeId="0" xr:uid="{CAB29B9E-08B2-3642-B201-990A53CDF130}">
      <text>
        <r>
          <rPr>
            <b/>
            <sz val="9"/>
            <color indexed="81"/>
            <rFont val="Tahoma"/>
            <family val="2"/>
          </rPr>
          <t>Relativity clarity of H2O
Related to TSS</t>
        </r>
      </text>
    </comment>
    <comment ref="B38" authorId="0" shapeId="0" xr:uid="{E42BA995-4886-3142-84FB-20AC26C0E38D}">
      <text>
        <r>
          <rPr>
            <b/>
            <sz val="9"/>
            <color indexed="81"/>
            <rFont val="Tahoma"/>
            <family val="2"/>
          </rPr>
          <t>Conc, of insoluble org and inorg matter</t>
        </r>
      </text>
    </comment>
    <comment ref="B39" authorId="0" shapeId="0" xr:uid="{6694EC5F-2F92-7444-AEB5-008301A7009B}">
      <text>
        <r>
          <rPr>
            <b/>
            <sz val="9"/>
            <color indexed="81"/>
            <rFont val="Tahoma"/>
            <family val="2"/>
          </rPr>
          <t>If complete filtration takes more than 10 min, increase filter diameter or decrease sample volume.</t>
        </r>
      </text>
    </comment>
    <comment ref="B40" authorId="0" shapeId="0" xr:uid="{C6ACD284-7655-5046-BD5D-30AB5378115F}">
      <text>
        <r>
          <rPr>
            <b/>
            <sz val="9"/>
            <color indexed="81"/>
            <rFont val="Tahoma"/>
            <family val="2"/>
          </rPr>
          <t>Duplicate determinations should agree within 5% of their average weight</t>
        </r>
      </text>
    </comment>
    <comment ref="B41" authorId="0" shapeId="0" xr:uid="{4B2AC412-E09A-2447-95E4-95A0A6DD6C99}">
      <text>
        <r>
          <rPr>
            <b/>
            <sz val="9"/>
            <color indexed="81"/>
            <rFont val="Tahoma"/>
            <family val="2"/>
          </rPr>
          <t>use 5/10 ml instead of 50 ml</t>
        </r>
      </text>
    </comment>
    <comment ref="B61" authorId="0" shapeId="0" xr:uid="{1E7F0E75-C011-AC43-984C-3D54B61810DE}">
      <text>
        <r>
          <rPr>
            <b/>
            <sz val="9"/>
            <color indexed="81"/>
            <rFont val="Tahoma"/>
            <family val="2"/>
          </rPr>
          <t>Dissolved O2 req to break down org matter</t>
        </r>
      </text>
    </comment>
    <comment ref="B72" authorId="0" shapeId="0" xr:uid="{FE4F0ED9-8EA2-6846-8318-8E3052DF9A44}">
      <text>
        <r>
          <rPr>
            <b/>
            <sz val="9"/>
            <color indexed="81"/>
            <rFont val="Tahoma"/>
            <family val="2"/>
          </rPr>
          <t>analysis must be done soon after the sample is taken</t>
        </r>
      </text>
    </comment>
    <comment ref="B77" authorId="0" shapeId="0" xr:uid="{44C9D164-720E-8041-A055-C4F78017CAFA}">
      <text>
        <r>
          <rPr>
            <b/>
            <sz val="9"/>
            <color indexed="81"/>
            <rFont val="Tahoma"/>
            <family val="2"/>
          </rPr>
          <t>analysis must be done soon after the sample is taken</t>
        </r>
      </text>
    </comment>
    <comment ref="B82" authorId="0" shapeId="0" xr:uid="{76198AB5-FD84-9B48-9807-4EB28F704FE5}">
      <text>
        <r>
          <rPr>
            <b/>
            <sz val="9"/>
            <color indexed="81"/>
            <rFont val="Tahoma"/>
            <family val="2"/>
          </rPr>
          <t>analysis must be done soon after the sample is taken</t>
        </r>
      </text>
    </comment>
    <comment ref="B116" authorId="0" shapeId="0" xr:uid="{CAEC092C-5A8B-4B43-9E1C-FC9AF28EDBCA}">
      <text>
        <r>
          <rPr>
            <b/>
            <sz val="9"/>
            <color indexed="81"/>
            <rFont val="Tahoma"/>
            <family val="2"/>
          </rPr>
          <t>Added sludge and stopped running to allow sludge to stabilize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6" authorId="0" shapeId="0" xr:uid="{115B7686-9AAE-FB4D-8E99-66BBADC6990B}">
      <text>
        <r>
          <rPr>
            <b/>
            <sz val="9"/>
            <color indexed="81"/>
            <rFont val="Tahoma"/>
            <family val="2"/>
          </rPr>
          <t>Added sludge and stopped running to allow sludge to stabilize</t>
        </r>
      </text>
    </comment>
  </commentList>
</comments>
</file>

<file path=xl/sharedStrings.xml><?xml version="1.0" encoding="utf-8"?>
<sst xmlns="http://schemas.openxmlformats.org/spreadsheetml/2006/main" count="2692" uniqueCount="749">
  <si>
    <t>SGBR (results &amp; calculations)</t>
  </si>
  <si>
    <t xml:space="preserve">Ave OLR </t>
  </si>
  <si>
    <t>Ave COD %</t>
  </si>
  <si>
    <t>Ave TSS %</t>
  </si>
  <si>
    <t>day 29-43</t>
  </si>
  <si>
    <t>75% dilution</t>
  </si>
  <si>
    <t>4L</t>
  </si>
  <si>
    <t>%</t>
  </si>
  <si>
    <t>Feed 100% PSW</t>
  </si>
  <si>
    <t>HRT 1</t>
  </si>
  <si>
    <t>SUN:HRT-96h</t>
  </si>
  <si>
    <t>HRT 2</t>
  </si>
  <si>
    <t>day 44-52</t>
  </si>
  <si>
    <t>day 53-57</t>
  </si>
  <si>
    <t>Change Vw to 1.75 L</t>
  </si>
  <si>
    <t>HRT 4</t>
  </si>
  <si>
    <t>backwash M,W,F</t>
  </si>
  <si>
    <t>SND start up</t>
  </si>
  <si>
    <t>Vw (mL)</t>
  </si>
  <si>
    <t>Date</t>
  </si>
  <si>
    <t>SUN</t>
  </si>
  <si>
    <t>MON</t>
  </si>
  <si>
    <t>TUES</t>
  </si>
  <si>
    <t>WED</t>
  </si>
  <si>
    <t>THURS</t>
  </si>
  <si>
    <t>FRI</t>
  </si>
  <si>
    <t>26/6/2017</t>
  </si>
  <si>
    <t>27/6/2017</t>
  </si>
  <si>
    <t>28/6/2017</t>
  </si>
  <si>
    <t>29/6/2017</t>
  </si>
  <si>
    <t>30/6/2017</t>
  </si>
  <si>
    <t>7/72017</t>
  </si>
  <si>
    <t>13/7/2017</t>
  </si>
  <si>
    <t>14/7/2017</t>
  </si>
  <si>
    <t>17/7/2017</t>
  </si>
  <si>
    <t>18/7/2017</t>
  </si>
  <si>
    <t>19/7/2017</t>
  </si>
  <si>
    <t>20/7/2017</t>
  </si>
  <si>
    <t>21/7/2017</t>
  </si>
  <si>
    <t>24/7/2017</t>
  </si>
  <si>
    <t>25/7/2017</t>
  </si>
  <si>
    <t>26/7/2017</t>
  </si>
  <si>
    <t>27/7/2017</t>
  </si>
  <si>
    <t>28/7/2017</t>
  </si>
  <si>
    <t>31/7/2017</t>
  </si>
  <si>
    <t>14/8/2017</t>
  </si>
  <si>
    <t>15/8/2017</t>
  </si>
  <si>
    <t>16/8/2017</t>
  </si>
  <si>
    <t>17/8/2017</t>
  </si>
  <si>
    <t>18/8/2017</t>
  </si>
  <si>
    <t>21/8/2017</t>
  </si>
  <si>
    <t>22/8/2017</t>
  </si>
  <si>
    <t>23/8/2017</t>
  </si>
  <si>
    <t>24/8/2017</t>
  </si>
  <si>
    <t>25/8/2017</t>
  </si>
  <si>
    <t>28/8/2017</t>
  </si>
  <si>
    <t>29/8/2017</t>
  </si>
  <si>
    <t>30/8/2017</t>
  </si>
  <si>
    <t>31/8/2017</t>
  </si>
  <si>
    <t>13/9/2017</t>
  </si>
  <si>
    <t>14/9/2017</t>
  </si>
  <si>
    <t>15/9/2017</t>
  </si>
  <si>
    <t>18/9/2017</t>
  </si>
  <si>
    <t>19/9/2017</t>
  </si>
  <si>
    <t>20/9/2017</t>
  </si>
  <si>
    <t>21/92017</t>
  </si>
  <si>
    <t>22/9/2017</t>
  </si>
  <si>
    <t>25/9/2017</t>
  </si>
  <si>
    <t>26/9/2017</t>
  </si>
  <si>
    <t>27/9/2017</t>
  </si>
  <si>
    <t>28/9/2017</t>
  </si>
  <si>
    <t>29/9/2017</t>
  </si>
  <si>
    <t>13/10/2017</t>
  </si>
  <si>
    <t>DAY</t>
  </si>
  <si>
    <t>Operating conditions</t>
  </si>
  <si>
    <t>HRT (h)</t>
  </si>
  <si>
    <t>Q (ml/min)</t>
  </si>
  <si>
    <t>pump setting (rpm)</t>
  </si>
  <si>
    <t>OLR (g COD/Lday)</t>
  </si>
  <si>
    <t>FEED Concentration (%)</t>
  </si>
  <si>
    <t>PARAMETER</t>
  </si>
  <si>
    <t>FEED</t>
  </si>
  <si>
    <t>PRODUCT</t>
  </si>
  <si>
    <r>
      <t>Temperature (</t>
    </r>
    <r>
      <rPr>
        <vertAlign val="superscript"/>
        <sz val="7"/>
        <rFont val="Calibri"/>
        <family val="2"/>
        <scheme val="minor"/>
      </rPr>
      <t>O</t>
    </r>
    <r>
      <rPr>
        <sz val="11"/>
        <rFont val="Calibri"/>
        <family val="2"/>
        <scheme val="minor"/>
      </rPr>
      <t>C)</t>
    </r>
  </si>
  <si>
    <t>pH</t>
  </si>
  <si>
    <t>(Range: 6.8 - 7.2)</t>
  </si>
  <si>
    <t>(Range: 6.5-8.2)</t>
  </si>
  <si>
    <t>Ave</t>
  </si>
  <si>
    <t>SD</t>
  </si>
  <si>
    <t>conductivity (µS/cm)</t>
  </si>
  <si>
    <t>TDS (ppm)</t>
  </si>
  <si>
    <t>salinity (ppm)</t>
  </si>
  <si>
    <t>turbidity (NTU)</t>
  </si>
  <si>
    <t>TSS (mg/L)</t>
  </si>
  <si>
    <t>Filter paper (mg)</t>
  </si>
  <si>
    <t>Vol of sample (ml)</t>
  </si>
  <si>
    <t>Filter paper + SS (mg)</t>
  </si>
  <si>
    <t>TSS removal (%)</t>
  </si>
  <si>
    <t>VSS (mg/L)</t>
  </si>
  <si>
    <t>Furnace paper (mg)</t>
  </si>
  <si>
    <t>TCOD (mg/L)</t>
  </si>
  <si>
    <t>HR 1</t>
  </si>
  <si>
    <t>HR 2</t>
  </si>
  <si>
    <t>HR 3</t>
  </si>
  <si>
    <t>LR 1</t>
  </si>
  <si>
    <t>NA</t>
  </si>
  <si>
    <t>LR 2</t>
  </si>
  <si>
    <t>LR 3</t>
  </si>
  <si>
    <t>COD removal (%)</t>
  </si>
  <si>
    <r>
      <t>NH</t>
    </r>
    <r>
      <rPr>
        <vertAlign val="subscript"/>
        <sz val="11"/>
        <rFont val="Calibri"/>
        <family val="2"/>
        <scheme val="minor"/>
      </rPr>
      <t>4</t>
    </r>
    <r>
      <rPr>
        <sz val="11"/>
        <rFont val="Calibri"/>
        <family val="2"/>
        <scheme val="minor"/>
      </rPr>
      <t>-N (mg/L)</t>
    </r>
  </si>
  <si>
    <t>NO3-N (mg/L)</t>
  </si>
  <si>
    <t>&gt;0.5</t>
  </si>
  <si>
    <t>feed</t>
  </si>
  <si>
    <t>&lt;0.5</t>
  </si>
  <si>
    <t>product</t>
  </si>
  <si>
    <t>PO4-P (mg/L)</t>
  </si>
  <si>
    <t>CCT RESULTS</t>
  </si>
  <si>
    <t>VFA (mg/L)</t>
  </si>
  <si>
    <t>Alkalinity (mg/L)</t>
  </si>
  <si>
    <t>BOD5 (mg/L)</t>
  </si>
  <si>
    <t>FOG (mg/L)</t>
  </si>
  <si>
    <t>VFA/Alkalinity (product)</t>
  </si>
  <si>
    <t>BOD/COD (feed)</t>
  </si>
  <si>
    <t>FOG removal (%)</t>
  </si>
  <si>
    <t>BOD removal (%)</t>
  </si>
  <si>
    <t>Min</t>
  </si>
  <si>
    <t>Max</t>
  </si>
  <si>
    <t>EGSB</t>
  </si>
  <si>
    <t>Day</t>
  </si>
  <si>
    <t>TDS</t>
  </si>
  <si>
    <t>Salinity</t>
  </si>
  <si>
    <t>tCOD</t>
  </si>
  <si>
    <t>TSS</t>
  </si>
  <si>
    <t>VSS</t>
  </si>
  <si>
    <t>Turbidity</t>
  </si>
  <si>
    <t>NO3</t>
  </si>
  <si>
    <t>NH4-N</t>
  </si>
  <si>
    <t>HRT</t>
  </si>
  <si>
    <t>OLR</t>
  </si>
  <si>
    <t>VFA/Alkalinity</t>
  </si>
  <si>
    <t>% COD</t>
  </si>
  <si>
    <t>µS/cm</t>
  </si>
  <si>
    <t>ppm</t>
  </si>
  <si>
    <t>mg/L</t>
  </si>
  <si>
    <t>NTU</t>
  </si>
  <si>
    <t>Feed</t>
  </si>
  <si>
    <t>min</t>
  </si>
  <si>
    <t>max</t>
  </si>
  <si>
    <t>Biogas produced (mL)</t>
  </si>
  <si>
    <t xml:space="preserve">HRT </t>
  </si>
  <si>
    <t>Parameter</t>
  </si>
  <si>
    <t>Product</t>
  </si>
  <si>
    <t>COD (mg/L)</t>
  </si>
  <si>
    <t>avg</t>
  </si>
  <si>
    <t>stdev</t>
  </si>
  <si>
    <t>COD inlet (mg/L)</t>
  </si>
  <si>
    <t>COD oulet (mg/L)</t>
  </si>
  <si>
    <t>BOD (mg/L)</t>
  </si>
  <si>
    <t>BOD inlet (mg/L)</t>
  </si>
  <si>
    <t>BOD outlet (mg/L)</t>
  </si>
  <si>
    <t>FOG inlet (mg/L)</t>
  </si>
  <si>
    <t>FOG outlet (mg/L)</t>
  </si>
  <si>
    <t>VFA inlet (mg/L)</t>
  </si>
  <si>
    <t>VFA outlet (mg/L)</t>
  </si>
  <si>
    <t>VFA removal (%)</t>
  </si>
  <si>
    <t>Alkalinity inlet</t>
  </si>
  <si>
    <t>Alkalinity outlet</t>
  </si>
  <si>
    <t>OLR (mgCOD/L.day)</t>
  </si>
  <si>
    <t>OLR (gCOD/L.day)</t>
  </si>
  <si>
    <t>Feed quality</t>
  </si>
  <si>
    <t>Diluted (50/50)</t>
  </si>
  <si>
    <t xml:space="preserve">Non-diluted </t>
  </si>
  <si>
    <t>SGBR: Summary of Average results</t>
  </si>
  <si>
    <t>DAILY</t>
  </si>
  <si>
    <t>24 HOURS</t>
  </si>
  <si>
    <t xml:space="preserve">max 200 mg </t>
  </si>
  <si>
    <t>WEEKLY</t>
  </si>
  <si>
    <t>Average</t>
  </si>
  <si>
    <r>
      <t>Temp (</t>
    </r>
    <r>
      <rPr>
        <b/>
        <vertAlign val="superscript"/>
        <sz val="8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C)</t>
    </r>
  </si>
  <si>
    <t>VSS removal</t>
  </si>
  <si>
    <t>COD Removal (%)</t>
  </si>
  <si>
    <t>NH4+ (mg/L)</t>
  </si>
  <si>
    <t>% Increase</t>
  </si>
  <si>
    <t>NO3- (mg/L)</t>
  </si>
  <si>
    <t>PO4 3- P(mg/L)</t>
  </si>
  <si>
    <t>PO4-P</t>
  </si>
  <si>
    <t>alkalinity (mg/L)</t>
  </si>
  <si>
    <t>VFA/Alk PRODUCT</t>
  </si>
  <si>
    <t>TCOD</t>
  </si>
  <si>
    <t>BOD</t>
  </si>
  <si>
    <t>BOD/COD</t>
  </si>
  <si>
    <t>FOG</t>
  </si>
  <si>
    <t>pH range</t>
  </si>
  <si>
    <t>ave</t>
  </si>
  <si>
    <t>Factor PO3-P</t>
  </si>
  <si>
    <t>Operating Conditions</t>
  </si>
  <si>
    <t>COD limit</t>
  </si>
  <si>
    <t>Week</t>
  </si>
  <si>
    <t>HRT (hrs)</t>
  </si>
  <si>
    <t>HRT (days)</t>
  </si>
  <si>
    <t>Conc.</t>
  </si>
  <si>
    <t>max VFA/Alk</t>
  </si>
  <si>
    <t>day</t>
  </si>
  <si>
    <t xml:space="preserve">COD </t>
  </si>
  <si>
    <t>PO4 3-</t>
  </si>
  <si>
    <t>NH4 feed</t>
  </si>
  <si>
    <t>NH4 prod</t>
  </si>
  <si>
    <t>NO3 feed</t>
  </si>
  <si>
    <t>NO3 prod</t>
  </si>
  <si>
    <t>SANS 241 NH4</t>
  </si>
  <si>
    <t>29/5/2017</t>
  </si>
  <si>
    <t>HRT 55</t>
  </si>
  <si>
    <t>30/5/2017</t>
  </si>
  <si>
    <t>OLR 1.14</t>
  </si>
  <si>
    <t>31/5/2017</t>
  </si>
  <si>
    <t>Dilution 50%</t>
  </si>
  <si>
    <t>16/6/2017</t>
  </si>
  <si>
    <t>23/6/2017</t>
  </si>
  <si>
    <t>OLR 1.11</t>
  </si>
  <si>
    <t>FOG limit</t>
  </si>
  <si>
    <t>14/6/2017</t>
  </si>
  <si>
    <t>19/6/2017</t>
  </si>
  <si>
    <t>21/6/2017</t>
  </si>
  <si>
    <t>OLR 1.36</t>
  </si>
  <si>
    <t>13/6/2017</t>
  </si>
  <si>
    <t>HRT 96</t>
  </si>
  <si>
    <t>15/6/2017</t>
  </si>
  <si>
    <t>OLR 0.70</t>
  </si>
  <si>
    <t>20/6/2017</t>
  </si>
  <si>
    <t>OLR 0.77</t>
  </si>
  <si>
    <t>22/6/2017</t>
  </si>
  <si>
    <t>OLR 0.84</t>
  </si>
  <si>
    <t>Dilution 50%, 75%</t>
  </si>
  <si>
    <t>OLR 0.80</t>
  </si>
  <si>
    <t>TSS limit</t>
  </si>
  <si>
    <t>Dilution 75%, 100%</t>
  </si>
  <si>
    <t>HRT 48</t>
  </si>
  <si>
    <t>OLR 1.92</t>
  </si>
  <si>
    <t>2//8/2017</t>
  </si>
  <si>
    <t>OLR 1.71</t>
  </si>
  <si>
    <t>Dilution 100%</t>
  </si>
  <si>
    <t>9//8/2017</t>
  </si>
  <si>
    <t>OLR 2.13</t>
  </si>
  <si>
    <t>OLR 1.93</t>
  </si>
  <si>
    <t>HRT 36</t>
  </si>
  <si>
    <t>OLR 2.58</t>
  </si>
  <si>
    <t>TDS limit</t>
  </si>
  <si>
    <t>OLR 2.99</t>
  </si>
  <si>
    <t>OLR 4.19</t>
  </si>
  <si>
    <t>OLR 1.76</t>
  </si>
  <si>
    <t>OLR 3.70</t>
  </si>
  <si>
    <t>HRT 24</t>
  </si>
  <si>
    <t>OLR 3.21</t>
  </si>
  <si>
    <t>OLR 2.18</t>
  </si>
  <si>
    <t>OLR 4.73</t>
  </si>
  <si>
    <t>2/10/9/2017</t>
  </si>
  <si>
    <t>OLR 3.83</t>
  </si>
  <si>
    <t>OLR 1.98</t>
  </si>
  <si>
    <t xml:space="preserve">OLR </t>
  </si>
  <si>
    <t>OLR 3.20</t>
  </si>
  <si>
    <t>OLR 3.64</t>
  </si>
  <si>
    <t>OLR 4.89</t>
  </si>
  <si>
    <t>OLR 4.65</t>
  </si>
  <si>
    <t>OLR 4.71</t>
  </si>
  <si>
    <t>21/9/2017</t>
  </si>
  <si>
    <t>OLR 8.05</t>
  </si>
  <si>
    <t>OLR 6.63</t>
  </si>
  <si>
    <t>OLR 3.55</t>
  </si>
  <si>
    <t>100% PSW</t>
  </si>
  <si>
    <t>53-138</t>
  </si>
  <si>
    <t>6.13-7.24</t>
  </si>
  <si>
    <t>973-2405</t>
  </si>
  <si>
    <t>691-1693</t>
  </si>
  <si>
    <t>529-1413</t>
  </si>
  <si>
    <t>237-997</t>
  </si>
  <si>
    <t>TABLE 4.1</t>
  </si>
  <si>
    <t>PSW Composition</t>
  </si>
  <si>
    <t>SGBR effluent</t>
  </si>
  <si>
    <t>Units</t>
  </si>
  <si>
    <t>Minimum</t>
  </si>
  <si>
    <t>Maximum</t>
  </si>
  <si>
    <t>Conductivity</t>
  </si>
  <si>
    <t>NO3-N</t>
  </si>
  <si>
    <t>VFA</t>
  </si>
  <si>
    <t xml:space="preserve">Alkalinity </t>
  </si>
  <si>
    <t xml:space="preserve">BOD5 </t>
  </si>
  <si>
    <t xml:space="preserve">FOG </t>
  </si>
  <si>
    <t>% BOD</t>
  </si>
  <si>
    <t>Days</t>
  </si>
  <si>
    <t xml:space="preserve">TCOD removal </t>
  </si>
  <si>
    <t>TSS removal</t>
  </si>
  <si>
    <t xml:space="preserve">FOG removal </t>
  </si>
  <si>
    <t>BOD removal</t>
  </si>
  <si>
    <t>TCOD effluent</t>
  </si>
  <si>
    <t>SGBR</t>
  </si>
  <si>
    <t>ALKALINITY</t>
  </si>
  <si>
    <t>HRT (Day)</t>
  </si>
  <si>
    <t>OLR (gCOD/L.DAY)</t>
  </si>
  <si>
    <t>DEGBR</t>
  </si>
  <si>
    <t>% Removal</t>
  </si>
  <si>
    <t>Cumulated biogas produced (mL)</t>
  </si>
  <si>
    <t>COD removed</t>
  </si>
  <si>
    <t>acc. COD removed</t>
  </si>
  <si>
    <t>Acc. Biogas produced (mL)</t>
  </si>
  <si>
    <t>Acc. COD removed</t>
  </si>
  <si>
    <t>Methane Production (mL)</t>
  </si>
  <si>
    <t>Parameters</t>
  </si>
  <si>
    <t>µs/cm</t>
  </si>
  <si>
    <t>Alkalinity</t>
  </si>
  <si>
    <t>Unit</t>
  </si>
  <si>
    <t>Average (±SD)</t>
  </si>
  <si>
    <t>-</t>
  </si>
  <si>
    <t>1608 ±328</t>
  </si>
  <si>
    <t>1142 ±232</t>
  </si>
  <si>
    <t>882 ±134</t>
  </si>
  <si>
    <t>14.7±24.6</t>
  </si>
  <si>
    <t>63 ±38</t>
  </si>
  <si>
    <t>729 ±98</t>
  </si>
  <si>
    <t>124±118</t>
  </si>
  <si>
    <t>588 ±163</t>
  </si>
  <si>
    <t>95 ±62</t>
  </si>
  <si>
    <t>51 ±22</t>
  </si>
  <si>
    <t>1138 ±294</t>
  </si>
  <si>
    <t>916 ±179</t>
  </si>
  <si>
    <t>719 ±201</t>
  </si>
  <si>
    <t>1654 ±1695</t>
  </si>
  <si>
    <t>5216 ±2534</t>
  </si>
  <si>
    <t>375 ±213</t>
  </si>
  <si>
    <t>499 ±158</t>
  </si>
  <si>
    <t>2477 ±1347</t>
  </si>
  <si>
    <t>1769 ± 425.96</t>
  </si>
  <si>
    <t>1992 ± 496.58</t>
  </si>
  <si>
    <t>1250 ± 302.09</t>
  </si>
  <si>
    <t>1410 ± 350.40</t>
  </si>
  <si>
    <t>880 ± 189.80</t>
  </si>
  <si>
    <t>957 ± 263.01</t>
  </si>
  <si>
    <t>758 ± 158.50</t>
  </si>
  <si>
    <t>33.65 ± 45.17</t>
  </si>
  <si>
    <t>1750.16 ± 1124.91</t>
  </si>
  <si>
    <t>51.64 ± 44.98</t>
  </si>
  <si>
    <t>5354.50 ± 1809.74</t>
  </si>
  <si>
    <t>264 ± 187.99</t>
  </si>
  <si>
    <t>738.00 ± 373.84</t>
  </si>
  <si>
    <t>58.00 ± 15.99</t>
  </si>
  <si>
    <t>350 ± 167.64</t>
  </si>
  <si>
    <t>57 ± 16.31</t>
  </si>
  <si>
    <t>3000 ± 957.94</t>
  </si>
  <si>
    <t>45 ± 67.25</t>
  </si>
  <si>
    <t>602 ± 208.68</t>
  </si>
  <si>
    <t>871 ± 235.55</t>
  </si>
  <si>
    <t>BOD5</t>
  </si>
  <si>
    <t>1604 ±414</t>
  </si>
  <si>
    <t>4981 ± 1832</t>
  </si>
  <si>
    <t>1359 ± 108</t>
  </si>
  <si>
    <t>520.8 ± 145</t>
  </si>
  <si>
    <t>383 ± 230</t>
  </si>
  <si>
    <t>3090 ± 1453</t>
  </si>
  <si>
    <t>795 ± 367</t>
  </si>
  <si>
    <t>1399 ± 1213</t>
  </si>
  <si>
    <t>1479 ± 412</t>
  </si>
  <si>
    <t>1059 ± 303</t>
  </si>
  <si>
    <t>772 ± 178</t>
  </si>
  <si>
    <t>749 ± 342</t>
  </si>
  <si>
    <t>499 ± 186</t>
  </si>
  <si>
    <t>243 ± 298</t>
  </si>
  <si>
    <t>112 ± 82</t>
  </si>
  <si>
    <t>60 ± 31</t>
  </si>
  <si>
    <t>173 ± 83</t>
  </si>
  <si>
    <t>48 ± 43</t>
  </si>
  <si>
    <t>718 ± 278</t>
  </si>
  <si>
    <t>1073 ± 420</t>
  </si>
  <si>
    <t>1515 ± 205</t>
  </si>
  <si>
    <t>Range</t>
  </si>
  <si>
    <t>798 - 2360</t>
  </si>
  <si>
    <t>567 - 2145</t>
  </si>
  <si>
    <t>390 - 926</t>
  </si>
  <si>
    <t>99 - 1847</t>
  </si>
  <si>
    <t>1423 - 11068</t>
  </si>
  <si>
    <t>60 - 5165</t>
  </si>
  <si>
    <t>312 - 1542</t>
  </si>
  <si>
    <t>850 - 6125</t>
  </si>
  <si>
    <t>71 - 721</t>
  </si>
  <si>
    <t>415 - 1022</t>
  </si>
  <si>
    <t>6 - 8</t>
  </si>
  <si>
    <t>6 - 8.6</t>
  </si>
  <si>
    <t>524 - 3495</t>
  </si>
  <si>
    <t>372 -2470</t>
  </si>
  <si>
    <t>238 -1790</t>
  </si>
  <si>
    <t>4 - 487</t>
  </si>
  <si>
    <t>550 - 2798</t>
  </si>
  <si>
    <t>10 - 520</t>
  </si>
  <si>
    <t>30 - 189</t>
  </si>
  <si>
    <t>10 - 275</t>
  </si>
  <si>
    <t>27 - 837</t>
  </si>
  <si>
    <t>243 - 891</t>
  </si>
  <si>
    <t>6.13 - 7.24</t>
  </si>
  <si>
    <t>973 - 2405</t>
  </si>
  <si>
    <t>691 - 1693</t>
  </si>
  <si>
    <t>529 - 1413</t>
  </si>
  <si>
    <t>237 - 997</t>
  </si>
  <si>
    <t>2517 - 12490</t>
  </si>
  <si>
    <t>313 - 8200</t>
  </si>
  <si>
    <t>925 - 5000</t>
  </si>
  <si>
    <t>105 - 898</t>
  </si>
  <si>
    <t>322 - 923</t>
  </si>
  <si>
    <t>6.29 - 8.59</t>
  </si>
  <si>
    <t>1021 - 2323</t>
  </si>
  <si>
    <t>725 - 1643</t>
  </si>
  <si>
    <t>529 - 1187</t>
  </si>
  <si>
    <t>3.57 - 234</t>
  </si>
  <si>
    <t>482 - 974</t>
  </si>
  <si>
    <t>13 - 160</t>
  </si>
  <si>
    <t>24 - 100</t>
  </si>
  <si>
    <t>10 -175</t>
  </si>
  <si>
    <t>21 - 402</t>
  </si>
  <si>
    <t>347 - 933</t>
  </si>
  <si>
    <t>6.29 - 7.13</t>
  </si>
  <si>
    <t>899 - 2450</t>
  </si>
  <si>
    <t>639 - 1740</t>
  </si>
  <si>
    <t>451 - 1240</t>
  </si>
  <si>
    <t>328.5 - 864.5</t>
  </si>
  <si>
    <t>2280 - 11425</t>
  </si>
  <si>
    <t>291 - 5044</t>
  </si>
  <si>
    <t>280 - 1668</t>
  </si>
  <si>
    <t>850 - 4250</t>
  </si>
  <si>
    <t>74 - 548</t>
  </si>
  <si>
    <t>360 - 926</t>
  </si>
  <si>
    <t>7.33 - 8.29</t>
  </si>
  <si>
    <t>1173 - 3770</t>
  </si>
  <si>
    <t>836 - 2670</t>
  </si>
  <si>
    <t>622 - 1970</t>
  </si>
  <si>
    <t>11.47 - 286.5</t>
  </si>
  <si>
    <t>127 - 1154</t>
  </si>
  <si>
    <t>4.25 - 231.46</t>
  </si>
  <si>
    <t>34 - 82</t>
  </si>
  <si>
    <t>30 - 225</t>
  </si>
  <si>
    <t>34 - 83</t>
  </si>
  <si>
    <t>447 - 1148</t>
  </si>
  <si>
    <t>Parameter </t>
  </si>
  <si>
    <t>Method </t>
  </si>
  <si>
    <t>pH </t>
  </si>
  <si>
    <t>EPA method 9040C </t>
  </si>
  <si>
    <t>Total dissolved solids (TDS) </t>
  </si>
  <si>
    <t>EPA method 160.1 </t>
  </si>
  <si>
    <t>Salinity </t>
  </si>
  <si>
    <t>EPA method 320 </t>
  </si>
  <si>
    <t>Temperature </t>
  </si>
  <si>
    <t>Turbidity </t>
  </si>
  <si>
    <t>EPA method 180.1 </t>
  </si>
  <si>
    <t>Total suspended solids (TSS) </t>
  </si>
  <si>
    <t>EPA method 160.2 </t>
  </si>
  <si>
    <t>Volatile suspended solids (VSS) </t>
  </si>
  <si>
    <t>EPA method 1684 </t>
  </si>
  <si>
    <t>Total chemical oxygen demand (TCOD) </t>
  </si>
  <si>
    <t>EPA method 410.4 </t>
  </si>
  <si>
    <t>Soluble chemical oxygen demand (SCOD) </t>
  </si>
  <si>
    <t>APHA standard method 5220 D </t>
  </si>
  <si>
    <r>
      <t>Biological oxygen demand (BOD</t>
    </r>
    <r>
      <rPr>
        <sz val="7"/>
        <color theme="1"/>
        <rFont val="Arial"/>
        <family val="2"/>
      </rPr>
      <t>5</t>
    </r>
    <r>
      <rPr>
        <sz val="10"/>
        <color theme="1"/>
        <rFont val="Arial"/>
        <family val="2"/>
      </rPr>
      <t>) </t>
    </r>
  </si>
  <si>
    <t>EPA method 5210 B </t>
  </si>
  <si>
    <t>Volatile fatty acids (VFAs) </t>
  </si>
  <si>
    <t>Potentiometric titration </t>
  </si>
  <si>
    <t>Fats, oils and grease (FOG) </t>
  </si>
  <si>
    <t>EPA method 10056 </t>
  </si>
  <si>
    <t xml:space="preserve">Parameter </t>
  </si>
  <si>
    <t xml:space="preserve">Value </t>
  </si>
  <si>
    <t>Type of packing material</t>
  </si>
  <si>
    <t>Glass marbles</t>
  </si>
  <si>
    <t xml:space="preserve">Small pumice stone </t>
  </si>
  <si>
    <t>White pebbles</t>
  </si>
  <si>
    <t>Pea Gravels</t>
  </si>
  <si>
    <t>Water viscosity @ 35oC (Pa.s)</t>
  </si>
  <si>
    <t>Mean diameter (m)</t>
  </si>
  <si>
    <t>Volume (ml)</t>
  </si>
  <si>
    <t>Water density @ 35oC (kg.m3)</t>
  </si>
  <si>
    <t>Medium-sized pumce stones</t>
  </si>
  <si>
    <t>Mass (g)</t>
  </si>
  <si>
    <t>Bed Height (m)</t>
  </si>
  <si>
    <t>Bulk density (g/ml)</t>
  </si>
  <si>
    <t>Glass marbets</t>
  </si>
  <si>
    <t>Bulk density (kg/m3)</t>
  </si>
  <si>
    <t>Small-sized pumice stones</t>
  </si>
  <si>
    <t xml:space="preserve">Sphericity </t>
  </si>
  <si>
    <t>Mean diameter dP (m)</t>
  </si>
  <si>
    <t>Equivalent diameter (m)</t>
  </si>
  <si>
    <t xml:space="preserve">Porosity </t>
  </si>
  <si>
    <t>Permeability (m2)</t>
  </si>
  <si>
    <t>Superficial velocity (m/s)</t>
  </si>
  <si>
    <t>Pressure drop (Pa)</t>
  </si>
  <si>
    <t>Height of the packed bed (m)</t>
  </si>
  <si>
    <t>ID of the packed bed</t>
  </si>
  <si>
    <t xml:space="preserve">Packing material </t>
  </si>
  <si>
    <t xml:space="preserve">Pea gravels </t>
  </si>
  <si>
    <t xml:space="preserve">Glass marbels </t>
  </si>
  <si>
    <t xml:space="preserve">Small pumice stones </t>
  </si>
  <si>
    <t>Medium pumice stones</t>
  </si>
  <si>
    <t>Total volume (mL)</t>
  </si>
  <si>
    <t>Void volume (mL)</t>
  </si>
  <si>
    <t>Volume of sludge (mL)</t>
  </si>
  <si>
    <t>Mass of sludge (g)</t>
  </si>
  <si>
    <t>Mass of sludge washed out (g)</t>
  </si>
  <si>
    <t>Mass of sludge retained (g)</t>
  </si>
  <si>
    <t xml:space="preserve">Sludge retention capacity </t>
  </si>
  <si>
    <t xml:space="preserve">Type of anaerobic granules </t>
  </si>
  <si>
    <t>Type 1</t>
  </si>
  <si>
    <t>Type 2</t>
  </si>
  <si>
    <t>Type 3</t>
  </si>
  <si>
    <t>specific gravity of granules</t>
  </si>
  <si>
    <t>Density of granules (kg/m3)</t>
  </si>
  <si>
    <t>diameter of granules 1 (m)</t>
  </si>
  <si>
    <t>Porosity 1</t>
  </si>
  <si>
    <t>inner diameter reactor (m)</t>
  </si>
  <si>
    <t>Area (m2)</t>
  </si>
  <si>
    <t>working volume (m3)</t>
  </si>
  <si>
    <t>minimum fluidising velocity (m/s)</t>
  </si>
  <si>
    <t>g (m/s2)</t>
  </si>
  <si>
    <r>
      <t>g(</t>
    </r>
    <r>
      <rPr>
        <sz val="11"/>
        <color theme="1"/>
        <rFont val="Calibri"/>
        <family val="2"/>
      </rPr>
      <t>ρP-ρF)</t>
    </r>
  </si>
  <si>
    <t xml:space="preserve">Left term </t>
  </si>
  <si>
    <t>Pressure drop 1 (Pa)</t>
  </si>
  <si>
    <t xml:space="preserve">Pressure drop 2 (Pa) </t>
  </si>
  <si>
    <t>Pressure drop 3 (Pa)</t>
  </si>
  <si>
    <t xml:space="preserve">Reynolds number </t>
  </si>
  <si>
    <t>Q (m3/s)</t>
  </si>
  <si>
    <t>Up-flow velocity (m/s)</t>
  </si>
  <si>
    <t>Anaerobic Granule </t>
  </si>
  <si>
    <t>Diameter range (cm) </t>
  </si>
  <si>
    <t>Specific gravity </t>
  </si>
  <si>
    <t>Porosity </t>
  </si>
  <si>
    <t>Type 1 </t>
  </si>
  <si>
    <t>0.06 - 0.17 </t>
  </si>
  <si>
    <t>1.028 ± 0.008 </t>
  </si>
  <si>
    <t>0.90 </t>
  </si>
  <si>
    <t>Type 2 </t>
  </si>
  <si>
    <t>0.17 – 0.35 </t>
  </si>
  <si>
    <t>1.050 ± 0.005 </t>
  </si>
  <si>
    <t>0.71 </t>
  </si>
  <si>
    <t>Type 3 </t>
  </si>
  <si>
    <t>0.35 – 0.50 </t>
  </si>
  <si>
    <t>1.075 ± 0.006 </t>
  </si>
  <si>
    <t>0.64 </t>
  </si>
  <si>
    <t xml:space="preserve">g </t>
  </si>
  <si>
    <t>Pumice stone 1</t>
  </si>
  <si>
    <t>Pumice stone 2</t>
  </si>
  <si>
    <t>Pumice stone 3</t>
  </si>
  <si>
    <t>Pumice stone 5</t>
  </si>
  <si>
    <t>Material description</t>
  </si>
  <si>
    <t>Wadell’s sphericity</t>
  </si>
  <si>
    <t>Spherical</t>
  </si>
  <si>
    <t>Rounded</t>
  </si>
  <si>
    <t>Cubic</t>
  </si>
  <si>
    <t>Angular</t>
  </si>
  <si>
    <t>Flaky</t>
  </si>
  <si>
    <t>Platelet</t>
  </si>
  <si>
    <t>V (m3)</t>
  </si>
  <si>
    <t>Bed height (m)</t>
  </si>
  <si>
    <t>PO4 3 -p</t>
  </si>
  <si>
    <t>18 - 54</t>
  </si>
  <si>
    <t>32 ± 10</t>
  </si>
  <si>
    <t>18 - 46</t>
  </si>
  <si>
    <t>27 ± 7</t>
  </si>
  <si>
    <t>TN</t>
  </si>
  <si>
    <t>TOC</t>
  </si>
  <si>
    <t>PO43-</t>
  </si>
  <si>
    <t>7.3 - 8.6</t>
  </si>
  <si>
    <t>1341 - 1821</t>
  </si>
  <si>
    <t>3154 - 7719</t>
  </si>
  <si>
    <t>377 - 5462</t>
  </si>
  <si>
    <t>162.6 - 564</t>
  </si>
  <si>
    <t>195 - 651</t>
  </si>
  <si>
    <t>7 - 17.1</t>
  </si>
  <si>
    <t>1.64 - 3.3</t>
  </si>
  <si>
    <t>8.2 ± 0.42</t>
  </si>
  <si>
    <t>1602 ± 243</t>
  </si>
  <si>
    <t>5422 ± 2282</t>
  </si>
  <si>
    <t>3438 ± 2696</t>
  </si>
  <si>
    <t>361 ± 215</t>
  </si>
  <si>
    <t>419 ± 222</t>
  </si>
  <si>
    <t>12.3 ± 4.25</t>
  </si>
  <si>
    <t>2.24 ± 0.58</t>
  </si>
  <si>
    <t>Location</t>
  </si>
  <si>
    <t>Parit Raja, Malaysia</t>
  </si>
  <si>
    <t>Ontario, Canada</t>
  </si>
  <si>
    <t>610 - 4635</t>
  </si>
  <si>
    <t>4.9 - 8.1</t>
  </si>
  <si>
    <t>1250 - 15900</t>
  </si>
  <si>
    <t>300 - 2800</t>
  </si>
  <si>
    <t>50 - 841</t>
  </si>
  <si>
    <t>100 - 1200</t>
  </si>
  <si>
    <t>n.a.</t>
  </si>
  <si>
    <t>Group 1</t>
  </si>
  <si>
    <t>Group 2</t>
  </si>
  <si>
    <t>Group 3</t>
  </si>
  <si>
    <t>Samples</t>
  </si>
  <si>
    <t>TP</t>
  </si>
  <si>
    <t xml:space="preserve">Temperature </t>
  </si>
  <si>
    <t>oC</t>
  </si>
  <si>
    <t>World Bank</t>
  </si>
  <si>
    <t>EU</t>
  </si>
  <si>
    <t>USA</t>
  </si>
  <si>
    <t>Canada</t>
  </si>
  <si>
    <t>Colombia</t>
  </si>
  <si>
    <t>South Africa</t>
  </si>
  <si>
    <t>China</t>
  </si>
  <si>
    <t>India</t>
  </si>
  <si>
    <t>Australia</t>
  </si>
  <si>
    <t>6 - 9</t>
  </si>
  <si>
    <t>10 -15</t>
  </si>
  <si>
    <t>1 - 2</t>
  </si>
  <si>
    <t>35 - 60</t>
  </si>
  <si>
    <t>16 - 26</t>
  </si>
  <si>
    <t>4 - 8</t>
  </si>
  <si>
    <t>20 - 30</t>
  </si>
  <si>
    <t>5 -20</t>
  </si>
  <si>
    <t>40</t>
  </si>
  <si>
    <t>10 - 20</t>
  </si>
  <si>
    <t>10</t>
  </si>
  <si>
    <t>2</t>
  </si>
  <si>
    <t>5 - 20</t>
  </si>
  <si>
    <t>5 - 9</t>
  </si>
  <si>
    <t>&lt;2</t>
  </si>
  <si>
    <t>50</t>
  </si>
  <si>
    <t>150</t>
  </si>
  <si>
    <t>1</t>
  </si>
  <si>
    <t>75</t>
  </si>
  <si>
    <t>15</t>
  </si>
  <si>
    <t>25</t>
  </si>
  <si>
    <t>5.5 - 9.5</t>
  </si>
  <si>
    <t>20 -100</t>
  </si>
  <si>
    <t>100 - 300</t>
  </si>
  <si>
    <t>15 - 20</t>
  </si>
  <si>
    <t>20 - 60</t>
  </si>
  <si>
    <t>0.1 - 1</t>
  </si>
  <si>
    <t>30 -100</t>
  </si>
  <si>
    <t>250</t>
  </si>
  <si>
    <t>10 -50</t>
  </si>
  <si>
    <t>5</t>
  </si>
  <si>
    <t>100</t>
  </si>
  <si>
    <t>5.5 - 9</t>
  </si>
  <si>
    <t>&lt;5</t>
  </si>
  <si>
    <t>5 - 30</t>
  </si>
  <si>
    <t>1.25</t>
  </si>
  <si>
    <t>&lt;1</t>
  </si>
  <si>
    <t>Technology used</t>
  </si>
  <si>
    <t>Paramters</t>
  </si>
  <si>
    <t>Results</t>
  </si>
  <si>
    <t>Upflow Anaerobic Packed bed Reactor (APBR)</t>
  </si>
  <si>
    <t>OLR: 4 - 5 kg COD/m3/day HRT: 24  h</t>
  </si>
  <si>
    <t>88% COD removal; 85-98% TSS removal; 15% TDS removal</t>
  </si>
  <si>
    <t>Baddour et al. (2016)</t>
  </si>
  <si>
    <t>Aerobic moving bed biofilm reactor (MBBR)</t>
  </si>
  <si>
    <t>38 days detention time</t>
  </si>
  <si>
    <t>61.7% TDS removal; 94.8% COD removal</t>
  </si>
  <si>
    <t>Del Nery et al. (2007)</t>
  </si>
  <si>
    <t>UASB</t>
  </si>
  <si>
    <t>OLR: 1.6 ± 0.4 KgCOD/m3.Day; up-flow velocity= 0.3 ± 0.1 m/h</t>
  </si>
  <si>
    <t>85% soluble COD removal; 67% total COD removal</t>
  </si>
  <si>
    <t>Basitere et al. (2015)</t>
  </si>
  <si>
    <t>65% total COD removal</t>
  </si>
  <si>
    <t>Basitere et al. (2018)</t>
  </si>
  <si>
    <t>OLR: 1 gCOD/L.day</t>
  </si>
  <si>
    <t>OLR: 1.01 to 3.14 gCOD/L.day</t>
  </si>
  <si>
    <t>93% COD, 95% TSS, and 90% FOG</t>
  </si>
  <si>
    <t>Sindhu &amp; Meera (2012)</t>
  </si>
  <si>
    <t>Debik &amp; Coskun (2009)</t>
  </si>
  <si>
    <t>95% COD removal</t>
  </si>
  <si>
    <t>Moreira et al. (2002)</t>
  </si>
  <si>
    <t>Sequencing batch reactor (SBR)</t>
  </si>
  <si>
    <t>74% COD removal</t>
  </si>
  <si>
    <t>Rajakumar et al. (2011)</t>
  </si>
  <si>
    <t>Up-flow anaerobic filter</t>
  </si>
  <si>
    <t>Low up-flow velocity: 1.38 m/day; mesophilic temperature (29-35 oC), Inoculation with non-granular sludge; 147 days to complete the start-up</t>
  </si>
  <si>
    <t>70% total COD removal; 79% soluble COD; Methane yieldat maximum removal efficiency: 0.24 m3CH4/KgCODremoved.day</t>
  </si>
  <si>
    <t>Del Pozo et al. (2000)</t>
  </si>
  <si>
    <t>Fixed film reactor</t>
  </si>
  <si>
    <t>OLR: 8 Kg/m3.day</t>
  </si>
  <si>
    <t>85 - 95% COD removal</t>
  </si>
  <si>
    <t>OLR: 35 Kg/m3.day</t>
  </si>
  <si>
    <t>55-75% COD removal</t>
  </si>
  <si>
    <t>Chavez et al. (2018)</t>
  </si>
  <si>
    <t>OLR: 32 KgBOD5/m3.day; Operational temperature (25 - 39 oC)</t>
  </si>
  <si>
    <t>95% BOD5 removal</t>
  </si>
  <si>
    <t>Aziz et al. (2018)</t>
  </si>
  <si>
    <t>Submerged fibers in an attached growth sequential batch reactor</t>
  </si>
  <si>
    <t>96% BOD5 removal; 93% COD removal</t>
  </si>
  <si>
    <t>Reference</t>
  </si>
  <si>
    <t>Functional groups</t>
  </si>
  <si>
    <t>Amino acid</t>
  </si>
  <si>
    <t>Percentage contents (%)</t>
  </si>
  <si>
    <t>3-letter symbol</t>
  </si>
  <si>
    <t>Charged</t>
  </si>
  <si>
    <t>Arginine</t>
  </si>
  <si>
    <t>Arg</t>
  </si>
  <si>
    <t>Aspartic acid</t>
  </si>
  <si>
    <t>Asp</t>
  </si>
  <si>
    <t>Polar</t>
  </si>
  <si>
    <t>Glutamine</t>
  </si>
  <si>
    <t>Gln</t>
  </si>
  <si>
    <t>Asparagine</t>
  </si>
  <si>
    <t>Asn</t>
  </si>
  <si>
    <t>Serine</t>
  </si>
  <si>
    <t>Ser</t>
  </si>
  <si>
    <t>Threonine</t>
  </si>
  <si>
    <t>Thr</t>
  </si>
  <si>
    <t>Tyrosine</t>
  </si>
  <si>
    <t>Tyr</t>
  </si>
  <si>
    <t>Cysteine</t>
  </si>
  <si>
    <t>Cys</t>
  </si>
  <si>
    <t>Hydrophobic</t>
  </si>
  <si>
    <t>Alanine</t>
  </si>
  <si>
    <t>Ala</t>
  </si>
  <si>
    <t>Isoleucine</t>
  </si>
  <si>
    <t>Ile</t>
  </si>
  <si>
    <t>Leucine</t>
  </si>
  <si>
    <t>Leu</t>
  </si>
  <si>
    <t>Methionine</t>
  </si>
  <si>
    <t>Met</t>
  </si>
  <si>
    <t>Phenylalanine</t>
  </si>
  <si>
    <t>Phe</t>
  </si>
  <si>
    <t>Valine</t>
  </si>
  <si>
    <t>Val</t>
  </si>
  <si>
    <t>Proline</t>
  </si>
  <si>
    <t>Pro</t>
  </si>
  <si>
    <t>Mon</t>
  </si>
  <si>
    <t>High range</t>
  </si>
  <si>
    <t>Sample</t>
  </si>
  <si>
    <t>Cell Content</t>
  </si>
  <si>
    <t>Solution A</t>
  </si>
  <si>
    <t>Solution B</t>
  </si>
  <si>
    <t>Volume (mL)</t>
  </si>
  <si>
    <t>Low range</t>
  </si>
  <si>
    <t>Total</t>
  </si>
  <si>
    <t>Waste generated</t>
  </si>
  <si>
    <t>Feed Analysis</t>
  </si>
  <si>
    <t>Product Analysis</t>
  </si>
  <si>
    <t>Weekly Analysis</t>
  </si>
  <si>
    <t>Annual Analysis (L)</t>
  </si>
  <si>
    <t>Product Analysis overall Plant</t>
  </si>
  <si>
    <t>WWTP with 8 treatment steps</t>
  </si>
  <si>
    <t>Total volume of chemical waste generated (L)</t>
  </si>
  <si>
    <t>Chemical Oxygen Demand (COD)</t>
  </si>
  <si>
    <t>HIGH RANGE</t>
  </si>
  <si>
    <t>500 - 10000</t>
  </si>
  <si>
    <t>Range (mg/L)</t>
  </si>
  <si>
    <t>Content</t>
  </si>
  <si>
    <t>Sulfuric acid, Potassium dichromate</t>
  </si>
  <si>
    <t>LOW RANGE</t>
  </si>
  <si>
    <t>PSW</t>
  </si>
  <si>
    <t>Mercury (II) Sulphate</t>
  </si>
  <si>
    <t>Sulfuric acid, Mercury (III) Sulphate</t>
  </si>
  <si>
    <t xml:space="preserve"> 100 - 1500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</si>
</sst>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3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5"/>
      <name val="Calibri"/>
      <family val="2"/>
      <scheme val="minor"/>
    </font>
    <font>
      <vertAlign val="superscript"/>
      <sz val="7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vertAlign val="subscript"/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5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vertAlign val="superscript"/>
      <sz val="8"/>
      <color theme="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sz val="11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10"/>
      <color rgb="FF000000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Calibri"/>
      <family val="2"/>
    </font>
    <font>
      <b/>
      <sz val="11"/>
      <color rgb="FFFFFFFF"/>
      <name val="Arial"/>
      <family val="2"/>
    </font>
    <font>
      <sz val="12"/>
      <color rgb="FF00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EDEDED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/>
      <right style="thick">
        <color rgb="FFFF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rgb="FFFF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rgb="FFFF0000"/>
      </left>
      <right/>
      <top/>
      <bottom style="thin">
        <color indexed="64"/>
      </bottom>
      <diagonal/>
    </border>
    <border>
      <left style="thick">
        <color rgb="FFFF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rgb="FFFF0000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/>
      <top style="thick">
        <color rgb="FFFF0000"/>
      </top>
      <bottom/>
      <diagonal/>
    </border>
    <border>
      <left/>
      <right/>
      <top/>
      <bottom style="thick">
        <color rgb="FFFF0000"/>
      </bottom>
      <diagonal/>
    </border>
    <border>
      <left style="thick">
        <color rgb="FFFF0000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rgb="FFFF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/>
      <top/>
      <bottom style="thick">
        <color indexed="64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A5A5A5"/>
      </left>
      <right/>
      <top style="medium">
        <color rgb="FFA5A5A5"/>
      </top>
      <bottom style="medium">
        <color rgb="FFA5A5A5"/>
      </bottom>
      <diagonal/>
    </border>
    <border>
      <left/>
      <right/>
      <top style="medium">
        <color rgb="FFA5A5A5"/>
      </top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C9C9C9"/>
      </left>
      <right style="medium">
        <color rgb="FFC9C9C9"/>
      </right>
      <top/>
      <bottom style="medium">
        <color rgb="FFC9C9C9"/>
      </bottom>
      <diagonal/>
    </border>
    <border>
      <left style="medium">
        <color rgb="FFC9C9C9"/>
      </left>
      <right style="medium">
        <color rgb="FFC9C9C9"/>
      </right>
      <top/>
      <bottom/>
      <diagonal/>
    </border>
    <border>
      <left/>
      <right style="medium">
        <color rgb="FFC9C9C9"/>
      </right>
      <top/>
      <bottom style="medium">
        <color rgb="FFC9C9C9"/>
      </bottom>
      <diagonal/>
    </border>
    <border>
      <left style="medium">
        <color rgb="FFC9C9C9"/>
      </left>
      <right style="medium">
        <color rgb="FFC9C9C9"/>
      </right>
      <top style="medium">
        <color rgb="FFA5A5A5"/>
      </top>
      <bottom/>
      <diagonal/>
    </border>
    <border>
      <left style="medium">
        <color rgb="FFC9C9C9"/>
      </left>
      <right style="medium">
        <color rgb="FFC9C9C9"/>
      </right>
      <top style="medium">
        <color rgb="FFC9C9C9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09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2" fontId="0" fillId="0" borderId="0" xfId="0" applyNumberFormat="1"/>
    <xf numFmtId="2" fontId="3" fillId="0" borderId="0" xfId="0" applyNumberFormat="1" applyFont="1"/>
    <xf numFmtId="2" fontId="3" fillId="0" borderId="2" xfId="0" applyNumberFormat="1" applyFont="1" applyBorder="1"/>
    <xf numFmtId="164" fontId="0" fillId="0" borderId="0" xfId="0" applyNumberFormat="1"/>
    <xf numFmtId="164" fontId="3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left"/>
    </xf>
    <xf numFmtId="0" fontId="3" fillId="0" borderId="3" xfId="0" applyFont="1" applyBorder="1" applyAlignment="1">
      <alignment horizontal="left"/>
    </xf>
    <xf numFmtId="1" fontId="3" fillId="0" borderId="4" xfId="0" applyNumberFormat="1" applyFont="1" applyBorder="1" applyAlignment="1">
      <alignment horizontal="left"/>
    </xf>
    <xf numFmtId="0" fontId="3" fillId="0" borderId="2" xfId="0" applyFont="1" applyBorder="1" applyAlignment="1">
      <alignment horizontal="left"/>
    </xf>
    <xf numFmtId="2" fontId="3" fillId="0" borderId="0" xfId="0" applyNumberFormat="1" applyFont="1" applyAlignment="1">
      <alignment horizontal="left"/>
    </xf>
    <xf numFmtId="2" fontId="3" fillId="0" borderId="2" xfId="0" applyNumberFormat="1" applyFont="1" applyBorder="1" applyAlignment="1">
      <alignment horizontal="left"/>
    </xf>
    <xf numFmtId="0" fontId="0" fillId="0" borderId="4" xfId="0" applyBorder="1"/>
    <xf numFmtId="0" fontId="0" fillId="0" borderId="6" xfId="0" applyBorder="1"/>
    <xf numFmtId="0" fontId="0" fillId="0" borderId="14" xfId="0" applyBorder="1"/>
    <xf numFmtId="0" fontId="2" fillId="0" borderId="15" xfId="0" applyFont="1" applyBorder="1"/>
    <xf numFmtId="0" fontId="3" fillId="0" borderId="13" xfId="0" applyFont="1" applyBorder="1" applyAlignment="1">
      <alignment horizontal="left"/>
    </xf>
    <xf numFmtId="164" fontId="0" fillId="0" borderId="1" xfId="0" applyNumberFormat="1" applyBorder="1"/>
    <xf numFmtId="164" fontId="3" fillId="0" borderId="1" xfId="0" applyNumberFormat="1" applyFont="1" applyBorder="1"/>
    <xf numFmtId="164" fontId="3" fillId="0" borderId="10" xfId="0" applyNumberFormat="1" applyFont="1" applyBorder="1"/>
    <xf numFmtId="0" fontId="0" fillId="0" borderId="10" xfId="0" applyBorder="1"/>
    <xf numFmtId="0" fontId="3" fillId="0" borderId="10" xfId="0" applyFont="1" applyBorder="1"/>
    <xf numFmtId="0" fontId="0" fillId="0" borderId="1" xfId="0" applyBorder="1"/>
    <xf numFmtId="164" fontId="3" fillId="0" borderId="2" xfId="0" applyNumberFormat="1" applyFont="1" applyBorder="1"/>
    <xf numFmtId="2" fontId="0" fillId="0" borderId="10" xfId="0" applyNumberFormat="1" applyBorder="1"/>
    <xf numFmtId="2" fontId="3" fillId="0" borderId="10" xfId="0" applyNumberFormat="1" applyFont="1" applyBorder="1"/>
    <xf numFmtId="0" fontId="7" fillId="0" borderId="10" xfId="0" applyFont="1" applyBorder="1"/>
    <xf numFmtId="2" fontId="0" fillId="0" borderId="1" xfId="0" applyNumberFormat="1" applyBorder="1"/>
    <xf numFmtId="2" fontId="3" fillId="0" borderId="1" xfId="0" applyNumberFormat="1" applyFont="1" applyBorder="1"/>
    <xf numFmtId="0" fontId="7" fillId="0" borderId="1" xfId="0" applyFont="1" applyBorder="1"/>
    <xf numFmtId="2" fontId="0" fillId="0" borderId="4" xfId="0" applyNumberFormat="1" applyBorder="1"/>
    <xf numFmtId="2" fontId="3" fillId="0" borderId="4" xfId="0" applyNumberFormat="1" applyFont="1" applyBorder="1"/>
    <xf numFmtId="2" fontId="0" fillId="0" borderId="16" xfId="0" applyNumberFormat="1" applyBorder="1"/>
    <xf numFmtId="2" fontId="3" fillId="0" borderId="16" xfId="0" applyNumberFormat="1" applyFont="1" applyBorder="1"/>
    <xf numFmtId="2" fontId="0" fillId="0" borderId="12" xfId="0" applyNumberFormat="1" applyBorder="1"/>
    <xf numFmtId="2" fontId="3" fillId="0" borderId="12" xfId="0" applyNumberFormat="1" applyFont="1" applyBorder="1"/>
    <xf numFmtId="2" fontId="3" fillId="0" borderId="3" xfId="0" applyNumberFormat="1" applyFont="1" applyBorder="1"/>
    <xf numFmtId="2" fontId="3" fillId="0" borderId="17" xfId="0" applyNumberFormat="1" applyFont="1" applyBorder="1"/>
    <xf numFmtId="0" fontId="3" fillId="0" borderId="4" xfId="0" applyFont="1" applyBorder="1"/>
    <xf numFmtId="0" fontId="0" fillId="0" borderId="12" xfId="0" applyBorder="1"/>
    <xf numFmtId="0" fontId="3" fillId="0" borderId="12" xfId="0" applyFont="1" applyBorder="1"/>
    <xf numFmtId="0" fontId="0" fillId="0" borderId="16" xfId="0" applyBorder="1"/>
    <xf numFmtId="0" fontId="3" fillId="0" borderId="16" xfId="0" applyFont="1" applyBorder="1"/>
    <xf numFmtId="0" fontId="3" fillId="0" borderId="3" xfId="0" applyFont="1" applyBorder="1"/>
    <xf numFmtId="0" fontId="3" fillId="0" borderId="5" xfId="0" applyFont="1" applyBorder="1" applyAlignment="1">
      <alignment horizontal="left"/>
    </xf>
    <xf numFmtId="1" fontId="0" fillId="0" borderId="6" xfId="0" applyNumberFormat="1" applyBorder="1"/>
    <xf numFmtId="1" fontId="3" fillId="0" borderId="6" xfId="0" applyNumberFormat="1" applyFont="1" applyBorder="1"/>
    <xf numFmtId="0" fontId="7" fillId="0" borderId="6" xfId="0" applyFont="1" applyBorder="1"/>
    <xf numFmtId="0" fontId="0" fillId="0" borderId="8" xfId="0" applyBorder="1"/>
    <xf numFmtId="0" fontId="3" fillId="0" borderId="8" xfId="0" applyFont="1" applyBorder="1"/>
    <xf numFmtId="0" fontId="0" fillId="0" borderId="9" xfId="0" applyBorder="1"/>
    <xf numFmtId="0" fontId="3" fillId="0" borderId="9" xfId="0" applyFont="1" applyBorder="1"/>
    <xf numFmtId="0" fontId="3" fillId="0" borderId="6" xfId="0" applyFont="1" applyBorder="1"/>
    <xf numFmtId="0" fontId="7" fillId="0" borderId="7" xfId="0" applyFont="1" applyBorder="1"/>
    <xf numFmtId="1" fontId="0" fillId="0" borderId="0" xfId="0" applyNumberFormat="1"/>
    <xf numFmtId="1" fontId="3" fillId="0" borderId="0" xfId="0" applyNumberFormat="1" applyFont="1"/>
    <xf numFmtId="1" fontId="0" fillId="0" borderId="9" xfId="0" applyNumberFormat="1" applyBorder="1"/>
    <xf numFmtId="1" fontId="3" fillId="0" borderId="9" xfId="0" applyNumberFormat="1" applyFont="1" applyBorder="1"/>
    <xf numFmtId="0" fontId="3" fillId="0" borderId="7" xfId="0" applyFont="1" applyBorder="1"/>
    <xf numFmtId="0" fontId="7" fillId="0" borderId="9" xfId="0" applyFont="1" applyBorder="1"/>
    <xf numFmtId="0" fontId="7" fillId="0" borderId="2" xfId="0" applyFont="1" applyBorder="1"/>
    <xf numFmtId="1" fontId="7" fillId="0" borderId="0" xfId="0" applyNumberFormat="1" applyFont="1"/>
    <xf numFmtId="0" fontId="3" fillId="0" borderId="11" xfId="0" applyFont="1" applyBorder="1" applyAlignment="1">
      <alignment horizontal="left"/>
    </xf>
    <xf numFmtId="1" fontId="0" fillId="0" borderId="4" xfId="0" applyNumberFormat="1" applyBorder="1"/>
    <xf numFmtId="1" fontId="3" fillId="0" borderId="4" xfId="0" applyNumberFormat="1" applyFont="1" applyBorder="1"/>
    <xf numFmtId="2" fontId="7" fillId="0" borderId="4" xfId="0" applyNumberFormat="1" applyFont="1" applyBorder="1"/>
    <xf numFmtId="1" fontId="0" fillId="0" borderId="10" xfId="0" applyNumberFormat="1" applyBorder="1"/>
    <xf numFmtId="1" fontId="3" fillId="0" borderId="10" xfId="0" applyNumberFormat="1" applyFont="1" applyBorder="1"/>
    <xf numFmtId="0" fontId="7" fillId="0" borderId="8" xfId="0" applyFont="1" applyBorder="1"/>
    <xf numFmtId="164" fontId="3" fillId="0" borderId="16" xfId="0" applyNumberFormat="1" applyFont="1" applyBorder="1"/>
    <xf numFmtId="1" fontId="7" fillId="0" borderId="10" xfId="0" applyNumberFormat="1" applyFont="1" applyBorder="1"/>
    <xf numFmtId="0" fontId="2" fillId="0" borderId="1" xfId="0" applyFont="1" applyBorder="1"/>
    <xf numFmtId="0" fontId="3" fillId="0" borderId="18" xfId="0" applyFont="1" applyBorder="1"/>
    <xf numFmtId="2" fontId="3" fillId="0" borderId="18" xfId="0" applyNumberFormat="1" applyFont="1" applyBorder="1"/>
    <xf numFmtId="1" fontId="0" fillId="0" borderId="1" xfId="0" applyNumberFormat="1" applyBorder="1"/>
    <xf numFmtId="1" fontId="3" fillId="0" borderId="1" xfId="0" applyNumberFormat="1" applyFont="1" applyBorder="1"/>
    <xf numFmtId="1" fontId="3" fillId="0" borderId="2" xfId="0" applyNumberFormat="1" applyFont="1" applyBorder="1"/>
    <xf numFmtId="1" fontId="0" fillId="0" borderId="8" xfId="0" applyNumberFormat="1" applyBorder="1"/>
    <xf numFmtId="1" fontId="3" fillId="0" borderId="8" xfId="0" applyNumberFormat="1" applyFont="1" applyBorder="1"/>
    <xf numFmtId="164" fontId="3" fillId="0" borderId="8" xfId="0" applyNumberFormat="1" applyFont="1" applyBorder="1"/>
    <xf numFmtId="164" fontId="3" fillId="0" borderId="9" xfId="0" applyNumberFormat="1" applyFont="1" applyBorder="1"/>
    <xf numFmtId="164" fontId="3" fillId="0" borderId="6" xfId="0" applyNumberFormat="1" applyFont="1" applyBorder="1"/>
    <xf numFmtId="164" fontId="3" fillId="0" borderId="7" xfId="0" applyNumberFormat="1" applyFont="1" applyBorder="1"/>
    <xf numFmtId="1" fontId="2" fillId="0" borderId="0" xfId="0" applyNumberFormat="1" applyFont="1"/>
    <xf numFmtId="1" fontId="2" fillId="0" borderId="10" xfId="0" applyNumberFormat="1" applyFont="1" applyBorder="1"/>
    <xf numFmtId="1" fontId="8" fillId="0" borderId="1" xfId="0" applyNumberFormat="1" applyFont="1" applyBorder="1"/>
    <xf numFmtId="1" fontId="8" fillId="0" borderId="2" xfId="0" applyNumberFormat="1" applyFont="1" applyBorder="1"/>
    <xf numFmtId="1" fontId="8" fillId="0" borderId="10" xfId="0" applyNumberFormat="1" applyFont="1" applyBorder="1"/>
    <xf numFmtId="0" fontId="2" fillId="0" borderId="10" xfId="0" applyFont="1" applyBorder="1"/>
    <xf numFmtId="1" fontId="2" fillId="0" borderId="2" xfId="0" applyNumberFormat="1" applyFont="1" applyBorder="1"/>
    <xf numFmtId="1" fontId="2" fillId="0" borderId="1" xfId="0" applyNumberFormat="1" applyFont="1" applyBorder="1"/>
    <xf numFmtId="0" fontId="2" fillId="0" borderId="2" xfId="0" applyFont="1" applyBorder="1"/>
    <xf numFmtId="1" fontId="0" fillId="0" borderId="0" xfId="0" applyNumberFormat="1" applyAlignment="1">
      <alignment horizontal="right"/>
    </xf>
    <xf numFmtId="1" fontId="2" fillId="0" borderId="0" xfId="0" applyNumberFormat="1" applyFont="1" applyAlignment="1">
      <alignment horizontal="right"/>
    </xf>
    <xf numFmtId="164" fontId="2" fillId="0" borderId="2" xfId="0" applyNumberFormat="1" applyFont="1" applyBorder="1"/>
    <xf numFmtId="164" fontId="3" fillId="0" borderId="4" xfId="0" applyNumberFormat="1" applyFont="1" applyBorder="1"/>
    <xf numFmtId="164" fontId="3" fillId="0" borderId="3" xfId="0" applyNumberFormat="1" applyFont="1" applyBorder="1"/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right"/>
    </xf>
    <xf numFmtId="1" fontId="3" fillId="0" borderId="0" xfId="0" applyNumberFormat="1" applyFont="1" applyAlignment="1">
      <alignment horizontal="right"/>
    </xf>
    <xf numFmtId="1" fontId="3" fillId="0" borderId="3" xfId="0" applyNumberFormat="1" applyFont="1" applyBorder="1"/>
    <xf numFmtId="1" fontId="0" fillId="0" borderId="16" xfId="0" applyNumberFormat="1" applyBorder="1"/>
    <xf numFmtId="1" fontId="3" fillId="0" borderId="16" xfId="0" applyNumberFormat="1" applyFont="1" applyBorder="1"/>
    <xf numFmtId="164" fontId="0" fillId="0" borderId="4" xfId="0" applyNumberFormat="1" applyBorder="1"/>
    <xf numFmtId="1" fontId="0" fillId="0" borderId="12" xfId="0" applyNumberFormat="1" applyBorder="1"/>
    <xf numFmtId="1" fontId="3" fillId="0" borderId="12" xfId="0" applyNumberFormat="1" applyFont="1" applyBorder="1"/>
    <xf numFmtId="164" fontId="3" fillId="0" borderId="6" xfId="0" applyNumberFormat="1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164" fontId="7" fillId="0" borderId="10" xfId="0" applyNumberFormat="1" applyFont="1" applyBorder="1"/>
    <xf numFmtId="164" fontId="7" fillId="0" borderId="0" xfId="0" applyNumberFormat="1" applyFont="1"/>
    <xf numFmtId="1" fontId="7" fillId="0" borderId="2" xfId="0" applyNumberFormat="1" applyFont="1" applyBorder="1"/>
    <xf numFmtId="0" fontId="3" fillId="0" borderId="19" xfId="0" applyFont="1" applyBorder="1" applyAlignment="1">
      <alignment horizontal="left"/>
    </xf>
    <xf numFmtId="1" fontId="2" fillId="0" borderId="20" xfId="0" applyNumberFormat="1" applyFont="1" applyBorder="1"/>
    <xf numFmtId="0" fontId="2" fillId="0" borderId="20" xfId="0" applyFont="1" applyBorder="1"/>
    <xf numFmtId="0" fontId="2" fillId="0" borderId="23" xfId="0" applyFont="1" applyBorder="1"/>
    <xf numFmtId="0" fontId="3" fillId="0" borderId="24" xfId="0" applyFont="1" applyBorder="1"/>
    <xf numFmtId="1" fontId="3" fillId="0" borderId="24" xfId="0" applyNumberFormat="1" applyFont="1" applyBorder="1"/>
    <xf numFmtId="0" fontId="3" fillId="0" borderId="25" xfId="0" applyFont="1" applyBorder="1"/>
    <xf numFmtId="1" fontId="3" fillId="0" borderId="25" xfId="0" applyNumberFormat="1" applyFont="1" applyBorder="1"/>
    <xf numFmtId="0" fontId="0" fillId="0" borderId="15" xfId="0" applyBorder="1"/>
    <xf numFmtId="0" fontId="0" fillId="0" borderId="41" xfId="0" applyBorder="1"/>
    <xf numFmtId="0" fontId="0" fillId="0" borderId="42" xfId="0" applyBorder="1"/>
    <xf numFmtId="0" fontId="0" fillId="9" borderId="43" xfId="0" applyFill="1" applyBorder="1"/>
    <xf numFmtId="0" fontId="0" fillId="0" borderId="44" xfId="0" applyBorder="1"/>
    <xf numFmtId="0" fontId="0" fillId="9" borderId="0" xfId="0" applyFill="1"/>
    <xf numFmtId="0" fontId="0" fillId="0" borderId="27" xfId="0" applyBorder="1"/>
    <xf numFmtId="0" fontId="0" fillId="8" borderId="44" xfId="0" applyFill="1" applyBorder="1"/>
    <xf numFmtId="0" fontId="0" fillId="8" borderId="0" xfId="0" applyFill="1"/>
    <xf numFmtId="0" fontId="0" fillId="0" borderId="45" xfId="0" applyBorder="1"/>
    <xf numFmtId="0" fontId="0" fillId="0" borderId="46" xfId="0" applyBorder="1"/>
    <xf numFmtId="0" fontId="11" fillId="0" borderId="0" xfId="0" applyFont="1"/>
    <xf numFmtId="0" fontId="3" fillId="14" borderId="0" xfId="0" applyFont="1" applyFill="1"/>
    <xf numFmtId="2" fontId="3" fillId="14" borderId="0" xfId="0" applyNumberFormat="1" applyFont="1" applyFill="1"/>
    <xf numFmtId="0" fontId="3" fillId="15" borderId="0" xfId="0" applyFont="1" applyFill="1"/>
    <xf numFmtId="2" fontId="3" fillId="15" borderId="0" xfId="0" applyNumberFormat="1" applyFont="1" applyFill="1"/>
    <xf numFmtId="2" fontId="3" fillId="14" borderId="2" xfId="0" applyNumberFormat="1" applyFont="1" applyFill="1" applyBorder="1"/>
    <xf numFmtId="0" fontId="4" fillId="0" borderId="18" xfId="0" applyFont="1" applyBorder="1"/>
    <xf numFmtId="0" fontId="4" fillId="0" borderId="0" xfId="0" applyFont="1"/>
    <xf numFmtId="0" fontId="3" fillId="16" borderId="0" xfId="0" applyFont="1" applyFill="1"/>
    <xf numFmtId="2" fontId="3" fillId="16" borderId="2" xfId="0" applyNumberFormat="1" applyFont="1" applyFill="1" applyBorder="1"/>
    <xf numFmtId="0" fontId="2" fillId="14" borderId="0" xfId="0" applyFont="1" applyFill="1" applyAlignment="1">
      <alignment horizontal="right"/>
    </xf>
    <xf numFmtId="0" fontId="2" fillId="14" borderId="0" xfId="0" applyFont="1" applyFill="1"/>
    <xf numFmtId="2" fontId="2" fillId="0" borderId="18" xfId="0" applyNumberFormat="1" applyFont="1" applyBorder="1"/>
    <xf numFmtId="0" fontId="5" fillId="3" borderId="0" xfId="0" applyFont="1" applyFill="1"/>
    <xf numFmtId="0" fontId="5" fillId="3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2" fontId="2" fillId="0" borderId="0" xfId="0" applyNumberFormat="1" applyFont="1"/>
    <xf numFmtId="0" fontId="3" fillId="17" borderId="0" xfId="0" applyFont="1" applyFill="1"/>
    <xf numFmtId="2" fontId="3" fillId="17" borderId="2" xfId="0" applyNumberFormat="1" applyFont="1" applyFill="1" applyBorder="1"/>
    <xf numFmtId="1" fontId="3" fillId="18" borderId="0" xfId="0" applyNumberFormat="1" applyFont="1" applyFill="1"/>
    <xf numFmtId="2" fontId="3" fillId="18" borderId="0" xfId="0" applyNumberFormat="1" applyFont="1" applyFill="1"/>
    <xf numFmtId="0" fontId="3" fillId="18" borderId="0" xfId="0" applyFont="1" applyFill="1"/>
    <xf numFmtId="2" fontId="3" fillId="3" borderId="0" xfId="0" applyNumberFormat="1" applyFont="1" applyFill="1" applyAlignment="1">
      <alignment horizontal="left"/>
    </xf>
    <xf numFmtId="0" fontId="0" fillId="19" borderId="0" xfId="0" applyFill="1"/>
    <xf numFmtId="2" fontId="3" fillId="19" borderId="0" xfId="0" applyNumberFormat="1" applyFont="1" applyFill="1"/>
    <xf numFmtId="0" fontId="3" fillId="19" borderId="0" xfId="0" applyFont="1" applyFill="1"/>
    <xf numFmtId="2" fontId="3" fillId="19" borderId="2" xfId="0" applyNumberFormat="1" applyFont="1" applyFill="1" applyBorder="1"/>
    <xf numFmtId="2" fontId="3" fillId="4" borderId="0" xfId="0" applyNumberFormat="1" applyFont="1" applyFill="1"/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3" fillId="3" borderId="0" xfId="0" applyFont="1" applyFill="1"/>
    <xf numFmtId="0" fontId="2" fillId="0" borderId="0" xfId="0" applyFont="1" applyAlignment="1">
      <alignment horizontal="center"/>
    </xf>
    <xf numFmtId="0" fontId="2" fillId="5" borderId="5" xfId="0" applyFont="1" applyFill="1" applyBorder="1" applyAlignment="1">
      <alignment horizontal="left"/>
    </xf>
    <xf numFmtId="0" fontId="2" fillId="5" borderId="6" xfId="0" applyFont="1" applyFill="1" applyBorder="1"/>
    <xf numFmtId="15" fontId="2" fillId="5" borderId="7" xfId="0" applyNumberFormat="1" applyFont="1" applyFill="1" applyBorder="1" applyAlignment="1">
      <alignment horizontal="center"/>
    </xf>
    <xf numFmtId="1" fontId="2" fillId="5" borderId="6" xfId="0" applyNumberFormat="1" applyFont="1" applyFill="1" applyBorder="1" applyAlignment="1">
      <alignment horizontal="center"/>
    </xf>
    <xf numFmtId="15" fontId="2" fillId="5" borderId="6" xfId="0" applyNumberFormat="1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15" fontId="2" fillId="5" borderId="9" xfId="0" applyNumberFormat="1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8" xfId="0" applyFont="1" applyFill="1" applyBorder="1"/>
    <xf numFmtId="14" fontId="2" fillId="5" borderId="9" xfId="0" applyNumberFormat="1" applyFont="1" applyFill="1" applyBorder="1"/>
    <xf numFmtId="14" fontId="2" fillId="5" borderId="7" xfId="0" applyNumberFormat="1" applyFont="1" applyFill="1" applyBorder="1"/>
    <xf numFmtId="14" fontId="2" fillId="5" borderId="10" xfId="0" applyNumberFormat="1" applyFont="1" applyFill="1" applyBorder="1"/>
    <xf numFmtId="0" fontId="2" fillId="5" borderId="0" xfId="0" applyFont="1" applyFill="1"/>
    <xf numFmtId="0" fontId="2" fillId="5" borderId="1" xfId="0" applyFont="1" applyFill="1" applyBorder="1"/>
    <xf numFmtId="14" fontId="2" fillId="5" borderId="6" xfId="0" applyNumberFormat="1" applyFont="1" applyFill="1" applyBorder="1"/>
    <xf numFmtId="0" fontId="2" fillId="5" borderId="9" xfId="0" applyFont="1" applyFill="1" applyBorder="1"/>
    <xf numFmtId="0" fontId="2" fillId="5" borderId="7" xfId="0" applyFont="1" applyFill="1" applyBorder="1"/>
    <xf numFmtId="0" fontId="12" fillId="0" borderId="0" xfId="0" applyFont="1"/>
    <xf numFmtId="0" fontId="12" fillId="20" borderId="6" xfId="0" applyFont="1" applyFill="1" applyBorder="1"/>
    <xf numFmtId="0" fontId="3" fillId="3" borderId="0" xfId="0" applyFont="1" applyFill="1" applyAlignment="1">
      <alignment horizontal="left"/>
    </xf>
    <xf numFmtId="0" fontId="2" fillId="20" borderId="11" xfId="0" applyFont="1" applyFill="1" applyBorder="1"/>
    <xf numFmtId="0" fontId="12" fillId="20" borderId="4" xfId="0" applyFont="1" applyFill="1" applyBorder="1"/>
    <xf numFmtId="0" fontId="2" fillId="20" borderId="8" xfId="0" applyFont="1" applyFill="1" applyBorder="1"/>
    <xf numFmtId="0" fontId="2" fillId="20" borderId="13" xfId="0" applyFont="1" applyFill="1" applyBorder="1"/>
    <xf numFmtId="0" fontId="2" fillId="20" borderId="1" xfId="0" applyFont="1" applyFill="1" applyBorder="1"/>
    <xf numFmtId="0" fontId="3" fillId="20" borderId="13" xfId="0" applyFont="1" applyFill="1" applyBorder="1"/>
    <xf numFmtId="0" fontId="3" fillId="20" borderId="1" xfId="0" applyFont="1" applyFill="1" applyBorder="1"/>
    <xf numFmtId="0" fontId="2" fillId="0" borderId="14" xfId="0" applyFont="1" applyBorder="1"/>
    <xf numFmtId="0" fontId="2" fillId="0" borderId="48" xfId="0" applyFont="1" applyBorder="1" applyAlignment="1">
      <alignment horizontal="center"/>
    </xf>
    <xf numFmtId="0" fontId="2" fillId="0" borderId="49" xfId="0" applyFont="1" applyBorder="1" applyAlignment="1">
      <alignment horizontal="center"/>
    </xf>
    <xf numFmtId="1" fontId="2" fillId="0" borderId="48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2" fillId="3" borderId="48" xfId="0" applyFont="1" applyFill="1" applyBorder="1" applyAlignment="1">
      <alignment horizontal="center"/>
    </xf>
    <xf numFmtId="0" fontId="2" fillId="3" borderId="50" xfId="0" applyFont="1" applyFill="1" applyBorder="1" applyAlignment="1">
      <alignment horizontal="center"/>
    </xf>
    <xf numFmtId="0" fontId="12" fillId="0" borderId="4" xfId="0" applyFont="1" applyBorder="1"/>
    <xf numFmtId="0" fontId="3" fillId="0" borderId="1" xfId="0" applyFont="1" applyBorder="1" applyAlignment="1">
      <alignment horizontal="left"/>
    </xf>
    <xf numFmtId="164" fontId="13" fillId="0" borderId="0" xfId="0" applyNumberFormat="1" applyFont="1"/>
    <xf numFmtId="164" fontId="13" fillId="0" borderId="2" xfId="0" applyNumberFormat="1" applyFont="1" applyBorder="1"/>
    <xf numFmtId="0" fontId="3" fillId="7" borderId="8" xfId="0" applyFont="1" applyFill="1" applyBorder="1"/>
    <xf numFmtId="0" fontId="3" fillId="7" borderId="9" xfId="0" applyFont="1" applyFill="1" applyBorder="1"/>
    <xf numFmtId="0" fontId="3" fillId="7" borderId="0" xfId="0" applyFont="1" applyFill="1"/>
    <xf numFmtId="0" fontId="3" fillId="7" borderId="10" xfId="0" applyFont="1" applyFill="1" applyBorder="1"/>
    <xf numFmtId="0" fontId="13" fillId="0" borderId="0" xfId="0" applyFont="1"/>
    <xf numFmtId="0" fontId="13" fillId="0" borderId="2" xfId="0" applyFont="1" applyBorder="1"/>
    <xf numFmtId="0" fontId="3" fillId="7" borderId="1" xfId="0" applyFont="1" applyFill="1" applyBorder="1"/>
    <xf numFmtId="0" fontId="3" fillId="26" borderId="1" xfId="0" applyFont="1" applyFill="1" applyBorder="1" applyAlignment="1">
      <alignment horizontal="left"/>
    </xf>
    <xf numFmtId="0" fontId="7" fillId="3" borderId="10" xfId="0" applyFont="1" applyFill="1" applyBorder="1"/>
    <xf numFmtId="0" fontId="7" fillId="0" borderId="0" xfId="0" applyFont="1"/>
    <xf numFmtId="0" fontId="3" fillId="3" borderId="10" xfId="0" applyFont="1" applyFill="1" applyBorder="1"/>
    <xf numFmtId="0" fontId="2" fillId="0" borderId="13" xfId="0" applyFont="1" applyBorder="1"/>
    <xf numFmtId="0" fontId="2" fillId="7" borderId="13" xfId="0" applyFont="1" applyFill="1" applyBorder="1" applyAlignment="1">
      <alignment horizontal="left"/>
    </xf>
    <xf numFmtId="2" fontId="14" fillId="7" borderId="0" xfId="0" applyNumberFormat="1" applyFont="1" applyFill="1"/>
    <xf numFmtId="2" fontId="14" fillId="7" borderId="2" xfId="0" applyNumberFormat="1" applyFont="1" applyFill="1" applyBorder="1"/>
    <xf numFmtId="2" fontId="2" fillId="7" borderId="0" xfId="0" applyNumberFormat="1" applyFont="1" applyFill="1"/>
    <xf numFmtId="0" fontId="2" fillId="7" borderId="1" xfId="0" applyFont="1" applyFill="1" applyBorder="1"/>
    <xf numFmtId="2" fontId="2" fillId="7" borderId="10" xfId="0" applyNumberFormat="1" applyFont="1" applyFill="1" applyBorder="1"/>
    <xf numFmtId="2" fontId="8" fillId="7" borderId="1" xfId="0" applyNumberFormat="1" applyFont="1" applyFill="1" applyBorder="1"/>
    <xf numFmtId="2" fontId="8" fillId="7" borderId="10" xfId="0" applyNumberFormat="1" applyFont="1" applyFill="1" applyBorder="1"/>
    <xf numFmtId="0" fontId="2" fillId="7" borderId="0" xfId="0" applyFont="1" applyFill="1"/>
    <xf numFmtId="2" fontId="2" fillId="7" borderId="1" xfId="0" applyNumberFormat="1" applyFont="1" applyFill="1" applyBorder="1"/>
    <xf numFmtId="2" fontId="2" fillId="7" borderId="2" xfId="0" applyNumberFormat="1" applyFont="1" applyFill="1" applyBorder="1"/>
    <xf numFmtId="0" fontId="2" fillId="7" borderId="10" xfId="0" applyFont="1" applyFill="1" applyBorder="1"/>
    <xf numFmtId="2" fontId="8" fillId="7" borderId="0" xfId="0" applyNumberFormat="1" applyFont="1" applyFill="1"/>
    <xf numFmtId="0" fontId="2" fillId="7" borderId="2" xfId="0" applyFont="1" applyFill="1" applyBorder="1"/>
    <xf numFmtId="0" fontId="12" fillId="7" borderId="0" xfId="0" applyFont="1" applyFill="1"/>
    <xf numFmtId="0" fontId="2" fillId="0" borderId="11" xfId="0" applyFont="1" applyBorder="1"/>
    <xf numFmtId="2" fontId="13" fillId="0" borderId="0" xfId="0" applyNumberFormat="1" applyFont="1"/>
    <xf numFmtId="2" fontId="13" fillId="0" borderId="2" xfId="0" applyNumberFormat="1" applyFont="1" applyBorder="1"/>
    <xf numFmtId="0" fontId="3" fillId="7" borderId="12" xfId="0" applyFont="1" applyFill="1" applyBorder="1"/>
    <xf numFmtId="0" fontId="3" fillId="7" borderId="16" xfId="0" applyFont="1" applyFill="1" applyBorder="1"/>
    <xf numFmtId="0" fontId="3" fillId="7" borderId="4" xfId="0" applyFont="1" applyFill="1" applyBorder="1"/>
    <xf numFmtId="0" fontId="3" fillId="0" borderId="8" xfId="0" applyFont="1" applyBorder="1" applyAlignment="1">
      <alignment horizontal="left"/>
    </xf>
    <xf numFmtId="0" fontId="13" fillId="0" borderId="6" xfId="0" applyFont="1" applyBorder="1"/>
    <xf numFmtId="0" fontId="13" fillId="0" borderId="7" xfId="0" applyFont="1" applyBorder="1"/>
    <xf numFmtId="0" fontId="2" fillId="0" borderId="1" xfId="0" applyFont="1" applyBorder="1" applyAlignment="1">
      <alignment horizontal="left"/>
    </xf>
    <xf numFmtId="1" fontId="14" fillId="7" borderId="0" xfId="0" applyNumberFormat="1" applyFont="1" applyFill="1"/>
    <xf numFmtId="0" fontId="14" fillId="7" borderId="2" xfId="0" applyFont="1" applyFill="1" applyBorder="1"/>
    <xf numFmtId="1" fontId="8" fillId="7" borderId="0" xfId="0" applyNumberFormat="1" applyFont="1" applyFill="1"/>
    <xf numFmtId="1" fontId="2" fillId="7" borderId="1" xfId="0" applyNumberFormat="1" applyFont="1" applyFill="1" applyBorder="1"/>
    <xf numFmtId="1" fontId="8" fillId="7" borderId="10" xfId="0" applyNumberFormat="1" applyFont="1" applyFill="1" applyBorder="1"/>
    <xf numFmtId="1" fontId="8" fillId="7" borderId="1" xfId="0" applyNumberFormat="1" applyFont="1" applyFill="1" applyBorder="1"/>
    <xf numFmtId="0" fontId="8" fillId="7" borderId="10" xfId="0" applyFont="1" applyFill="1" applyBorder="1"/>
    <xf numFmtId="0" fontId="8" fillId="7" borderId="0" xfId="0" applyFont="1" applyFill="1"/>
    <xf numFmtId="1" fontId="2" fillId="7" borderId="0" xfId="0" applyNumberFormat="1" applyFont="1" applyFill="1"/>
    <xf numFmtId="1" fontId="8" fillId="7" borderId="2" xfId="0" applyNumberFormat="1" applyFont="1" applyFill="1" applyBorder="1"/>
    <xf numFmtId="1" fontId="2" fillId="7" borderId="10" xfId="0" applyNumberFormat="1" applyFont="1" applyFill="1" applyBorder="1"/>
    <xf numFmtId="0" fontId="8" fillId="7" borderId="1" xfId="0" applyFont="1" applyFill="1" applyBorder="1"/>
    <xf numFmtId="1" fontId="2" fillId="7" borderId="2" xfId="0" applyNumberFormat="1" applyFont="1" applyFill="1" applyBorder="1"/>
    <xf numFmtId="0" fontId="3" fillId="0" borderId="12" xfId="0" applyFont="1" applyBorder="1" applyAlignment="1">
      <alignment horizontal="left"/>
    </xf>
    <xf numFmtId="2" fontId="13" fillId="0" borderId="4" xfId="0" applyNumberFormat="1" applyFont="1" applyBorder="1"/>
    <xf numFmtId="2" fontId="13" fillId="0" borderId="3" xfId="0" applyNumberFormat="1" applyFont="1" applyBorder="1"/>
    <xf numFmtId="2" fontId="3" fillId="7" borderId="12" xfId="0" applyNumberFormat="1" applyFont="1" applyFill="1" applyBorder="1"/>
    <xf numFmtId="2" fontId="3" fillId="7" borderId="16" xfId="0" applyNumberFormat="1" applyFont="1" applyFill="1" applyBorder="1"/>
    <xf numFmtId="2" fontId="3" fillId="7" borderId="4" xfId="0" applyNumberFormat="1" applyFont="1" applyFill="1" applyBorder="1"/>
    <xf numFmtId="0" fontId="7" fillId="0" borderId="18" xfId="0" applyFont="1" applyBorder="1"/>
    <xf numFmtId="2" fontId="7" fillId="7" borderId="1" xfId="0" applyNumberFormat="1" applyFont="1" applyFill="1" applyBorder="1"/>
    <xf numFmtId="2" fontId="7" fillId="7" borderId="10" xfId="0" applyNumberFormat="1" applyFont="1" applyFill="1" applyBorder="1"/>
    <xf numFmtId="2" fontId="3" fillId="7" borderId="0" xfId="0" applyNumberFormat="1" applyFont="1" applyFill="1"/>
    <xf numFmtId="2" fontId="3" fillId="7" borderId="10" xfId="0" applyNumberFormat="1" applyFont="1" applyFill="1" applyBorder="1"/>
    <xf numFmtId="0" fontId="3" fillId="0" borderId="26" xfId="0" applyFont="1" applyBorder="1"/>
    <xf numFmtId="0" fontId="3" fillId="7" borderId="6" xfId="0" applyFont="1" applyFill="1" applyBorder="1"/>
    <xf numFmtId="1" fontId="3" fillId="0" borderId="26" xfId="0" applyNumberFormat="1" applyFont="1" applyBorder="1"/>
    <xf numFmtId="1" fontId="7" fillId="0" borderId="18" xfId="0" applyNumberFormat="1" applyFont="1" applyBorder="1"/>
    <xf numFmtId="1" fontId="2" fillId="7" borderId="18" xfId="0" applyNumberFormat="1" applyFont="1" applyFill="1" applyBorder="1"/>
    <xf numFmtId="0" fontId="2" fillId="7" borderId="18" xfId="0" applyFont="1" applyFill="1" applyBorder="1"/>
    <xf numFmtId="1" fontId="8" fillId="7" borderId="18" xfId="0" applyNumberFormat="1" applyFont="1" applyFill="1" applyBorder="1"/>
    <xf numFmtId="0" fontId="13" fillId="0" borderId="3" xfId="0" applyFont="1" applyBorder="1"/>
    <xf numFmtId="2" fontId="3" fillId="7" borderId="1" xfId="0" applyNumberFormat="1" applyFont="1" applyFill="1" applyBorder="1"/>
    <xf numFmtId="2" fontId="3" fillId="0" borderId="7" xfId="0" applyNumberFormat="1" applyFont="1" applyBorder="1"/>
    <xf numFmtId="2" fontId="3" fillId="0" borderId="9" xfId="0" applyNumberFormat="1" applyFont="1" applyBorder="1"/>
    <xf numFmtId="1" fontId="7" fillId="0" borderId="26" xfId="0" applyNumberFormat="1" applyFont="1" applyBorder="1"/>
    <xf numFmtId="1" fontId="3" fillId="0" borderId="18" xfId="0" applyNumberFormat="1" applyFont="1" applyBorder="1"/>
    <xf numFmtId="164" fontId="14" fillId="7" borderId="0" xfId="0" applyNumberFormat="1" applyFont="1" applyFill="1"/>
    <xf numFmtId="164" fontId="14" fillId="7" borderId="2" xfId="0" applyNumberFormat="1" applyFont="1" applyFill="1" applyBorder="1"/>
    <xf numFmtId="164" fontId="2" fillId="7" borderId="10" xfId="0" applyNumberFormat="1" applyFont="1" applyFill="1" applyBorder="1"/>
    <xf numFmtId="164" fontId="2" fillId="7" borderId="0" xfId="0" applyNumberFormat="1" applyFont="1" applyFill="1"/>
    <xf numFmtId="164" fontId="8" fillId="7" borderId="0" xfId="0" applyNumberFormat="1" applyFont="1" applyFill="1"/>
    <xf numFmtId="2" fontId="8" fillId="7" borderId="2" xfId="0" applyNumberFormat="1" applyFont="1" applyFill="1" applyBorder="1"/>
    <xf numFmtId="164" fontId="8" fillId="7" borderId="10" xfId="0" applyNumberFormat="1" applyFont="1" applyFill="1" applyBorder="1"/>
    <xf numFmtId="164" fontId="2" fillId="7" borderId="2" xfId="0" applyNumberFormat="1" applyFont="1" applyFill="1" applyBorder="1"/>
    <xf numFmtId="0" fontId="3" fillId="7" borderId="7" xfId="0" applyFont="1" applyFill="1" applyBorder="1"/>
    <xf numFmtId="1" fontId="3" fillId="0" borderId="7" xfId="0" applyNumberFormat="1" applyFont="1" applyBorder="1"/>
    <xf numFmtId="164" fontId="3" fillId="7" borderId="8" xfId="0" applyNumberFormat="1" applyFont="1" applyFill="1" applyBorder="1"/>
    <xf numFmtId="164" fontId="3" fillId="7" borderId="6" xfId="0" applyNumberFormat="1" applyFont="1" applyFill="1" applyBorder="1"/>
    <xf numFmtId="164" fontId="3" fillId="7" borderId="9" xfId="0" applyNumberFormat="1" applyFont="1" applyFill="1" applyBorder="1"/>
    <xf numFmtId="0" fontId="3" fillId="7" borderId="2" xfId="0" applyFont="1" applyFill="1" applyBorder="1"/>
    <xf numFmtId="164" fontId="3" fillId="7" borderId="1" xfId="0" applyNumberFormat="1" applyFont="1" applyFill="1" applyBorder="1"/>
    <xf numFmtId="164" fontId="3" fillId="7" borderId="0" xfId="0" applyNumberFormat="1" applyFont="1" applyFill="1"/>
    <xf numFmtId="164" fontId="3" fillId="7" borderId="10" xfId="0" applyNumberFormat="1" applyFont="1" applyFill="1" applyBorder="1"/>
    <xf numFmtId="0" fontId="3" fillId="27" borderId="13" xfId="0" applyFont="1" applyFill="1" applyBorder="1" applyAlignment="1">
      <alignment horizontal="left"/>
    </xf>
    <xf numFmtId="1" fontId="2" fillId="27" borderId="0" xfId="0" applyNumberFormat="1" applyFont="1" applyFill="1"/>
    <xf numFmtId="1" fontId="8" fillId="27" borderId="1" xfId="0" applyNumberFormat="1" applyFont="1" applyFill="1" applyBorder="1"/>
    <xf numFmtId="1" fontId="2" fillId="27" borderId="10" xfId="0" applyNumberFormat="1" applyFont="1" applyFill="1" applyBorder="1"/>
    <xf numFmtId="1" fontId="8" fillId="27" borderId="2" xfId="0" applyNumberFormat="1" applyFont="1" applyFill="1" applyBorder="1"/>
    <xf numFmtId="1" fontId="8" fillId="27" borderId="0" xfId="0" applyNumberFormat="1" applyFont="1" applyFill="1"/>
    <xf numFmtId="1" fontId="8" fillId="27" borderId="10" xfId="0" applyNumberFormat="1" applyFont="1" applyFill="1" applyBorder="1"/>
    <xf numFmtId="1" fontId="2" fillId="27" borderId="1" xfId="0" applyNumberFormat="1" applyFont="1" applyFill="1" applyBorder="1"/>
    <xf numFmtId="0" fontId="8" fillId="27" borderId="0" xfId="0" applyFont="1" applyFill="1"/>
    <xf numFmtId="0" fontId="8" fillId="27" borderId="2" xfId="0" applyFont="1" applyFill="1" applyBorder="1"/>
    <xf numFmtId="0" fontId="2" fillId="27" borderId="1" xfId="0" applyFont="1" applyFill="1" applyBorder="1"/>
    <xf numFmtId="0" fontId="2" fillId="27" borderId="10" xfId="0" applyFont="1" applyFill="1" applyBorder="1"/>
    <xf numFmtId="0" fontId="2" fillId="27" borderId="2" xfId="0" applyFont="1" applyFill="1" applyBorder="1"/>
    <xf numFmtId="1" fontId="2" fillId="27" borderId="2" xfId="0" applyNumberFormat="1" applyFont="1" applyFill="1" applyBorder="1"/>
    <xf numFmtId="0" fontId="2" fillId="27" borderId="0" xfId="0" applyFont="1" applyFill="1"/>
    <xf numFmtId="165" fontId="2" fillId="7" borderId="0" xfId="0" applyNumberFormat="1" applyFont="1" applyFill="1"/>
    <xf numFmtId="164" fontId="2" fillId="27" borderId="1" xfId="0" applyNumberFormat="1" applyFont="1" applyFill="1" applyBorder="1"/>
    <xf numFmtId="164" fontId="2" fillId="27" borderId="10" xfId="0" applyNumberFormat="1" applyFont="1" applyFill="1" applyBorder="1"/>
    <xf numFmtId="164" fontId="2" fillId="7" borderId="1" xfId="0" applyNumberFormat="1" applyFont="1" applyFill="1" applyBorder="1"/>
    <xf numFmtId="0" fontId="2" fillId="28" borderId="13" xfId="0" applyFont="1" applyFill="1" applyBorder="1" applyAlignment="1">
      <alignment horizontal="left"/>
    </xf>
    <xf numFmtId="0" fontId="2" fillId="7" borderId="4" xfId="0" applyFont="1" applyFill="1" applyBorder="1"/>
    <xf numFmtId="0" fontId="2" fillId="7" borderId="16" xfId="0" applyFont="1" applyFill="1" applyBorder="1"/>
    <xf numFmtId="0" fontId="2" fillId="7" borderId="12" xfId="0" applyFont="1" applyFill="1" applyBorder="1"/>
    <xf numFmtId="1" fontId="2" fillId="7" borderId="4" xfId="0" applyNumberFormat="1" applyFont="1" applyFill="1" applyBorder="1" applyAlignment="1">
      <alignment horizontal="center"/>
    </xf>
    <xf numFmtId="1" fontId="2" fillId="7" borderId="16" xfId="0" applyNumberFormat="1" applyFont="1" applyFill="1" applyBorder="1" applyAlignment="1">
      <alignment horizontal="center"/>
    </xf>
    <xf numFmtId="1" fontId="3" fillId="7" borderId="6" xfId="0" applyNumberFormat="1" applyFont="1" applyFill="1" applyBorder="1"/>
    <xf numFmtId="1" fontId="8" fillId="0" borderId="0" xfId="0" applyNumberFormat="1" applyFont="1"/>
    <xf numFmtId="1" fontId="3" fillId="7" borderId="1" xfId="0" applyNumberFormat="1" applyFont="1" applyFill="1" applyBorder="1"/>
    <xf numFmtId="1" fontId="3" fillId="7" borderId="10" xfId="0" applyNumberFormat="1" applyFont="1" applyFill="1" applyBorder="1"/>
    <xf numFmtId="1" fontId="2" fillId="4" borderId="0" xfId="0" applyNumberFormat="1" applyFont="1" applyFill="1"/>
    <xf numFmtId="1" fontId="3" fillId="7" borderId="0" xfId="0" applyNumberFormat="1" applyFont="1" applyFill="1"/>
    <xf numFmtId="164" fontId="2" fillId="0" borderId="0" xfId="0" applyNumberFormat="1" applyFont="1"/>
    <xf numFmtId="1" fontId="2" fillId="4" borderId="10" xfId="0" applyNumberFormat="1" applyFont="1" applyFill="1" applyBorder="1"/>
    <xf numFmtId="0" fontId="3" fillId="0" borderId="17" xfId="0" applyFont="1" applyBorder="1"/>
    <xf numFmtId="164" fontId="3" fillId="0" borderId="12" xfId="0" applyNumberFormat="1" applyFont="1" applyBorder="1"/>
    <xf numFmtId="0" fontId="7" fillId="7" borderId="8" xfId="0" applyFont="1" applyFill="1" applyBorder="1"/>
    <xf numFmtId="0" fontId="7" fillId="7" borderId="1" xfId="0" applyFont="1" applyFill="1" applyBorder="1"/>
    <xf numFmtId="1" fontId="2" fillId="3" borderId="1" xfId="0" applyNumberFormat="1" applyFont="1" applyFill="1" applyBorder="1"/>
    <xf numFmtId="0" fontId="3" fillId="7" borderId="0" xfId="0" applyFont="1" applyFill="1" applyAlignment="1">
      <alignment horizontal="right"/>
    </xf>
    <xf numFmtId="0" fontId="2" fillId="7" borderId="0" xfId="0" applyFont="1" applyFill="1" applyAlignment="1">
      <alignment horizontal="right"/>
    </xf>
    <xf numFmtId="1" fontId="2" fillId="7" borderId="0" xfId="0" applyNumberFormat="1" applyFont="1" applyFill="1" applyAlignment="1">
      <alignment horizontal="right"/>
    </xf>
    <xf numFmtId="0" fontId="2" fillId="7" borderId="1" xfId="0" applyFont="1" applyFill="1" applyBorder="1" applyAlignment="1">
      <alignment horizontal="right"/>
    </xf>
    <xf numFmtId="1" fontId="2" fillId="7" borderId="1" xfId="0" applyNumberFormat="1" applyFont="1" applyFill="1" applyBorder="1" applyAlignment="1">
      <alignment horizontal="right"/>
    </xf>
    <xf numFmtId="0" fontId="2" fillId="3" borderId="10" xfId="0" applyFont="1" applyFill="1" applyBorder="1"/>
    <xf numFmtId="2" fontId="2" fillId="7" borderId="12" xfId="0" applyNumberFormat="1" applyFont="1" applyFill="1" applyBorder="1"/>
    <xf numFmtId="1" fontId="3" fillId="0" borderId="6" xfId="0" applyNumberFormat="1" applyFont="1" applyBorder="1" applyAlignment="1">
      <alignment horizontal="right"/>
    </xf>
    <xf numFmtId="0" fontId="7" fillId="0" borderId="6" xfId="0" applyFont="1" applyBorder="1" applyAlignment="1">
      <alignment horizontal="right"/>
    </xf>
    <xf numFmtId="0" fontId="2" fillId="3" borderId="2" xfId="0" applyFont="1" applyFill="1" applyBorder="1"/>
    <xf numFmtId="1" fontId="7" fillId="0" borderId="0" xfId="0" applyNumberFormat="1" applyFont="1" applyAlignment="1">
      <alignment horizontal="right"/>
    </xf>
    <xf numFmtId="0" fontId="8" fillId="3" borderId="2" xfId="0" applyFont="1" applyFill="1" applyBorder="1"/>
    <xf numFmtId="0" fontId="7" fillId="0" borderId="0" xfId="0" applyFont="1" applyAlignment="1">
      <alignment horizontal="right"/>
    </xf>
    <xf numFmtId="0" fontId="2" fillId="3" borderId="1" xfId="0" applyFont="1" applyFill="1" applyBorder="1"/>
    <xf numFmtId="1" fontId="8" fillId="7" borderId="0" xfId="0" applyNumberFormat="1" applyFont="1" applyFill="1" applyAlignment="1">
      <alignment horizontal="right"/>
    </xf>
    <xf numFmtId="1" fontId="3" fillId="0" borderId="17" xfId="0" applyNumberFormat="1" applyFont="1" applyBorder="1"/>
    <xf numFmtId="164" fontId="3" fillId="7" borderId="12" xfId="0" applyNumberFormat="1" applyFont="1" applyFill="1" applyBorder="1"/>
    <xf numFmtId="164" fontId="3" fillId="7" borderId="16" xfId="0" applyNumberFormat="1" applyFont="1" applyFill="1" applyBorder="1"/>
    <xf numFmtId="1" fontId="3" fillId="7" borderId="12" xfId="0" applyNumberFormat="1" applyFont="1" applyFill="1" applyBorder="1"/>
    <xf numFmtId="1" fontId="3" fillId="7" borderId="16" xfId="0" applyNumberFormat="1" applyFont="1" applyFill="1" applyBorder="1"/>
    <xf numFmtId="0" fontId="10" fillId="0" borderId="0" xfId="0" applyFont="1"/>
    <xf numFmtId="0" fontId="7" fillId="7" borderId="1" xfId="0" applyFont="1" applyFill="1" applyBorder="1" applyAlignment="1">
      <alignment horizontal="left"/>
    </xf>
    <xf numFmtId="0" fontId="7" fillId="7" borderId="10" xfId="0" applyFont="1" applyFill="1" applyBorder="1" applyAlignment="1">
      <alignment horizontal="left"/>
    </xf>
    <xf numFmtId="164" fontId="7" fillId="0" borderId="7" xfId="0" applyNumberFormat="1" applyFont="1" applyBorder="1"/>
    <xf numFmtId="0" fontId="3" fillId="3" borderId="6" xfId="0" applyFont="1" applyFill="1" applyBorder="1"/>
    <xf numFmtId="0" fontId="7" fillId="7" borderId="9" xfId="0" applyFont="1" applyFill="1" applyBorder="1"/>
    <xf numFmtId="164" fontId="3" fillId="0" borderId="0" xfId="0" applyNumberFormat="1" applyFont="1" applyAlignment="1">
      <alignment horizontal="right"/>
    </xf>
    <xf numFmtId="164" fontId="7" fillId="0" borderId="1" xfId="0" applyNumberFormat="1" applyFont="1" applyBorder="1"/>
    <xf numFmtId="0" fontId="7" fillId="7" borderId="10" xfId="0" applyFont="1" applyFill="1" applyBorder="1"/>
    <xf numFmtId="164" fontId="2" fillId="7" borderId="0" xfId="0" applyNumberFormat="1" applyFont="1" applyFill="1" applyAlignment="1">
      <alignment horizontal="right"/>
    </xf>
    <xf numFmtId="164" fontId="8" fillId="7" borderId="2" xfId="0" applyNumberFormat="1" applyFont="1" applyFill="1" applyBorder="1"/>
    <xf numFmtId="164" fontId="8" fillId="7" borderId="1" xfId="0" applyNumberFormat="1" applyFont="1" applyFill="1" applyBorder="1"/>
    <xf numFmtId="0" fontId="2" fillId="7" borderId="1" xfId="0" applyFont="1" applyFill="1" applyBorder="1" applyAlignment="1">
      <alignment horizontal="left"/>
    </xf>
    <xf numFmtId="0" fontId="2" fillId="7" borderId="10" xfId="0" applyFont="1" applyFill="1" applyBorder="1" applyAlignment="1">
      <alignment horizontal="left"/>
    </xf>
    <xf numFmtId="0" fontId="8" fillId="7" borderId="1" xfId="0" applyFont="1" applyFill="1" applyBorder="1" applyAlignment="1">
      <alignment horizontal="left"/>
    </xf>
    <xf numFmtId="0" fontId="8" fillId="7" borderId="10" xfId="0" applyFont="1" applyFill="1" applyBorder="1" applyAlignment="1">
      <alignment horizontal="left"/>
    </xf>
    <xf numFmtId="0" fontId="3" fillId="7" borderId="3" xfId="0" applyFont="1" applyFill="1" applyBorder="1"/>
    <xf numFmtId="0" fontId="3" fillId="3" borderId="2" xfId="0" applyFont="1" applyFill="1" applyBorder="1"/>
    <xf numFmtId="0" fontId="2" fillId="7" borderId="20" xfId="0" applyFont="1" applyFill="1" applyBorder="1"/>
    <xf numFmtId="0" fontId="2" fillId="7" borderId="21" xfId="0" applyFont="1" applyFill="1" applyBorder="1"/>
    <xf numFmtId="0" fontId="2" fillId="7" borderId="22" xfId="0" applyFont="1" applyFill="1" applyBorder="1"/>
    <xf numFmtId="0" fontId="2" fillId="7" borderId="23" xfId="0" applyFont="1" applyFill="1" applyBorder="1"/>
    <xf numFmtId="0" fontId="2" fillId="0" borderId="22" xfId="0" applyFont="1" applyBorder="1"/>
    <xf numFmtId="164" fontId="2" fillId="29" borderId="22" xfId="0" applyNumberFormat="1" applyFont="1" applyFill="1" applyBorder="1"/>
    <xf numFmtId="164" fontId="2" fillId="29" borderId="21" xfId="0" applyNumberFormat="1" applyFont="1" applyFill="1" applyBorder="1"/>
    <xf numFmtId="0" fontId="2" fillId="0" borderId="51" xfId="0" applyFont="1" applyBorder="1"/>
    <xf numFmtId="2" fontId="2" fillId="29" borderId="20" xfId="0" applyNumberFormat="1" applyFont="1" applyFill="1" applyBorder="1"/>
    <xf numFmtId="2" fontId="2" fillId="29" borderId="21" xfId="0" applyNumberFormat="1" applyFont="1" applyFill="1" applyBorder="1"/>
    <xf numFmtId="2" fontId="2" fillId="29" borderId="22" xfId="0" applyNumberFormat="1" applyFont="1" applyFill="1" applyBorder="1"/>
    <xf numFmtId="0" fontId="2" fillId="7" borderId="51" xfId="0" applyFont="1" applyFill="1" applyBorder="1"/>
    <xf numFmtId="0" fontId="2" fillId="29" borderId="22" xfId="0" applyFont="1" applyFill="1" applyBorder="1"/>
    <xf numFmtId="0" fontId="2" fillId="29" borderId="21" xfId="0" applyFont="1" applyFill="1" applyBorder="1"/>
    <xf numFmtId="1" fontId="2" fillId="29" borderId="20" xfId="0" applyNumberFormat="1" applyFont="1" applyFill="1" applyBorder="1"/>
    <xf numFmtId="1" fontId="2" fillId="29" borderId="21" xfId="0" applyNumberFormat="1" applyFont="1" applyFill="1" applyBorder="1"/>
    <xf numFmtId="164" fontId="2" fillId="29" borderId="20" xfId="0" applyNumberFormat="1" applyFont="1" applyFill="1" applyBorder="1"/>
    <xf numFmtId="0" fontId="2" fillId="29" borderId="20" xfId="0" applyFont="1" applyFill="1" applyBorder="1"/>
    <xf numFmtId="0" fontId="3" fillId="0" borderId="52" xfId="0" applyFont="1" applyBorder="1"/>
    <xf numFmtId="0" fontId="3" fillId="29" borderId="24" xfId="0" applyFont="1" applyFill="1" applyBorder="1"/>
    <xf numFmtId="0" fontId="3" fillId="29" borderId="0" xfId="0" applyFont="1" applyFill="1"/>
    <xf numFmtId="0" fontId="3" fillId="0" borderId="53" xfId="0" applyFont="1" applyBorder="1"/>
    <xf numFmtId="0" fontId="3" fillId="29" borderId="25" xfId="0" applyFont="1" applyFill="1" applyBorder="1"/>
    <xf numFmtId="2" fontId="7" fillId="0" borderId="0" xfId="0" applyNumberFormat="1" applyFont="1"/>
    <xf numFmtId="14" fontId="0" fillId="0" borderId="0" xfId="0" applyNumberFormat="1" applyAlignment="1">
      <alignment horizontal="left"/>
    </xf>
    <xf numFmtId="0" fontId="15" fillId="30" borderId="0" xfId="0" applyFont="1" applyFill="1"/>
    <xf numFmtId="0" fontId="16" fillId="0" borderId="0" xfId="0" applyFont="1"/>
    <xf numFmtId="2" fontId="17" fillId="0" borderId="0" xfId="0" applyNumberFormat="1" applyFont="1"/>
    <xf numFmtId="0" fontId="18" fillId="0" borderId="0" xfId="0" applyFont="1"/>
    <xf numFmtId="14" fontId="17" fillId="0" borderId="0" xfId="0" applyNumberFormat="1" applyFont="1" applyAlignment="1">
      <alignment horizontal="left"/>
    </xf>
    <xf numFmtId="0" fontId="17" fillId="3" borderId="4" xfId="0" applyFont="1" applyFill="1" applyBorder="1"/>
    <xf numFmtId="164" fontId="17" fillId="3" borderId="4" xfId="0" applyNumberFormat="1" applyFont="1" applyFill="1" applyBorder="1"/>
    <xf numFmtId="2" fontId="17" fillId="3" borderId="4" xfId="0" applyNumberFormat="1" applyFont="1" applyFill="1" applyBorder="1"/>
    <xf numFmtId="1" fontId="17" fillId="3" borderId="4" xfId="0" applyNumberFormat="1" applyFont="1" applyFill="1" applyBorder="1"/>
    <xf numFmtId="0" fontId="17" fillId="3" borderId="0" xfId="0" applyFont="1" applyFill="1"/>
    <xf numFmtId="1" fontId="17" fillId="3" borderId="0" xfId="0" applyNumberFormat="1" applyFont="1" applyFill="1"/>
    <xf numFmtId="2" fontId="17" fillId="3" borderId="0" xfId="0" applyNumberFormat="1" applyFont="1" applyFill="1"/>
    <xf numFmtId="2" fontId="17" fillId="3" borderId="0" xfId="0" applyNumberFormat="1" applyFont="1" applyFill="1" applyAlignment="1">
      <alignment horizontal="right"/>
    </xf>
    <xf numFmtId="164" fontId="17" fillId="3" borderId="0" xfId="0" applyNumberFormat="1" applyFont="1" applyFill="1"/>
    <xf numFmtId="0" fontId="19" fillId="0" borderId="0" xfId="0" applyFont="1"/>
    <xf numFmtId="0" fontId="12" fillId="7" borderId="13" xfId="0" applyFont="1" applyFill="1" applyBorder="1"/>
    <xf numFmtId="0" fontId="12" fillId="7" borderId="5" xfId="0" applyFont="1" applyFill="1" applyBorder="1"/>
    <xf numFmtId="0" fontId="12" fillId="31" borderId="14" xfId="0" applyFont="1" applyFill="1" applyBorder="1"/>
    <xf numFmtId="0" fontId="12" fillId="31" borderId="50" xfId="0" applyFont="1" applyFill="1" applyBorder="1"/>
    <xf numFmtId="0" fontId="12" fillId="22" borderId="5" xfId="0" applyFont="1" applyFill="1" applyBorder="1" applyAlignment="1">
      <alignment horizontal="center" wrapText="1"/>
    </xf>
    <xf numFmtId="0" fontId="12" fillId="26" borderId="8" xfId="0" applyFont="1" applyFill="1" applyBorder="1"/>
    <xf numFmtId="0" fontId="12" fillId="26" borderId="9" xfId="0" applyFont="1" applyFill="1" applyBorder="1"/>
    <xf numFmtId="0" fontId="12" fillId="30" borderId="14" xfId="0" applyFont="1" applyFill="1" applyBorder="1"/>
    <xf numFmtId="0" fontId="12" fillId="30" borderId="50" xfId="0" applyFont="1" applyFill="1" applyBorder="1"/>
    <xf numFmtId="0" fontId="12" fillId="30" borderId="14" xfId="0" applyFont="1" applyFill="1" applyBorder="1" applyAlignment="1">
      <alignment horizontal="center"/>
    </xf>
    <xf numFmtId="0" fontId="12" fillId="30" borderId="50" xfId="0" applyFont="1" applyFill="1" applyBorder="1" applyAlignment="1">
      <alignment horizontal="center"/>
    </xf>
    <xf numFmtId="0" fontId="12" fillId="32" borderId="5" xfId="0" applyFont="1" applyFill="1" applyBorder="1" applyAlignment="1">
      <alignment vertical="center" wrapText="1"/>
    </xf>
    <xf numFmtId="0" fontId="12" fillId="33" borderId="8" xfId="0" applyFont="1" applyFill="1" applyBorder="1" applyAlignment="1">
      <alignment horizontal="center"/>
    </xf>
    <xf numFmtId="0" fontId="12" fillId="33" borderId="6" xfId="0" applyFont="1" applyFill="1" applyBorder="1" applyAlignment="1">
      <alignment horizontal="center"/>
    </xf>
    <xf numFmtId="0" fontId="12" fillId="33" borderId="8" xfId="0" applyFont="1" applyFill="1" applyBorder="1" applyAlignment="1">
      <alignment horizontal="left"/>
    </xf>
    <xf numFmtId="0" fontId="12" fillId="33" borderId="9" xfId="0" applyFont="1" applyFill="1" applyBorder="1" applyAlignment="1">
      <alignment horizontal="center"/>
    </xf>
    <xf numFmtId="0" fontId="12" fillId="20" borderId="9" xfId="0" applyFont="1" applyFill="1" applyBorder="1" applyAlignment="1">
      <alignment horizontal="center" vertical="center" wrapText="1"/>
    </xf>
    <xf numFmtId="0" fontId="12" fillId="33" borderId="14" xfId="0" applyFont="1" applyFill="1" applyBorder="1" applyAlignment="1">
      <alignment horizontal="left"/>
    </xf>
    <xf numFmtId="0" fontId="12" fillId="33" borderId="50" xfId="0" applyFont="1" applyFill="1" applyBorder="1" applyAlignment="1">
      <alignment horizontal="left"/>
    </xf>
    <xf numFmtId="0" fontId="12" fillId="7" borderId="14" xfId="0" applyFont="1" applyFill="1" applyBorder="1"/>
    <xf numFmtId="0" fontId="12" fillId="7" borderId="50" xfId="0" applyFont="1" applyFill="1" applyBorder="1"/>
    <xf numFmtId="0" fontId="12" fillId="9" borderId="9" xfId="0" applyFont="1" applyFill="1" applyBorder="1" applyAlignment="1">
      <alignment vertical="center" wrapText="1"/>
    </xf>
    <xf numFmtId="0" fontId="0" fillId="0" borderId="48" xfId="0" applyBorder="1"/>
    <xf numFmtId="0" fontId="0" fillId="0" borderId="50" xfId="0" applyBorder="1"/>
    <xf numFmtId="0" fontId="0" fillId="3" borderId="48" xfId="0" applyFill="1" applyBorder="1" applyAlignment="1">
      <alignment horizontal="right"/>
    </xf>
    <xf numFmtId="1" fontId="0" fillId="3" borderId="48" xfId="0" applyNumberFormat="1" applyFill="1" applyBorder="1"/>
    <xf numFmtId="2" fontId="0" fillId="3" borderId="50" xfId="0" applyNumberFormat="1" applyFill="1" applyBorder="1"/>
    <xf numFmtId="14" fontId="12" fillId="0" borderId="14" xfId="0" applyNumberFormat="1" applyFont="1" applyBorder="1" applyAlignment="1">
      <alignment horizontal="left"/>
    </xf>
    <xf numFmtId="0" fontId="12" fillId="0" borderId="15" xfId="0" applyFont="1" applyBorder="1"/>
    <xf numFmtId="0" fontId="12" fillId="0" borderId="14" xfId="0" applyFont="1" applyBorder="1"/>
    <xf numFmtId="0" fontId="12" fillId="27" borderId="50" xfId="0" applyFont="1" applyFill="1" applyBorder="1"/>
    <xf numFmtId="0" fontId="12" fillId="27" borderId="48" xfId="0" applyFont="1" applyFill="1" applyBorder="1"/>
    <xf numFmtId="0" fontId="12" fillId="0" borderId="48" xfId="0" applyFont="1" applyBorder="1"/>
    <xf numFmtId="14" fontId="12" fillId="0" borderId="15" xfId="0" applyNumberFormat="1" applyFont="1" applyBorder="1" applyAlignment="1">
      <alignment horizontal="left"/>
    </xf>
    <xf numFmtId="0" fontId="12" fillId="0" borderId="8" xfId="0" applyFont="1" applyBorder="1"/>
    <xf numFmtId="0" fontId="12" fillId="27" borderId="6" xfId="0" applyFont="1" applyFill="1" applyBorder="1"/>
    <xf numFmtId="0" fontId="12" fillId="22" borderId="13" xfId="0" applyFont="1" applyFill="1" applyBorder="1" applyAlignment="1">
      <alignment horizontal="center" wrapText="1"/>
    </xf>
    <xf numFmtId="0" fontId="12" fillId="0" borderId="6" xfId="0" applyFont="1" applyBorder="1"/>
    <xf numFmtId="0" fontId="12" fillId="27" borderId="9" xfId="0" applyFont="1" applyFill="1" applyBorder="1"/>
    <xf numFmtId="0" fontId="12" fillId="22" borderId="12" xfId="0" applyFont="1" applyFill="1" applyBorder="1" applyAlignment="1">
      <alignment horizontal="center" wrapText="1"/>
    </xf>
    <xf numFmtId="0" fontId="12" fillId="27" borderId="15" xfId="0" applyFont="1" applyFill="1" applyBorder="1"/>
    <xf numFmtId="14" fontId="12" fillId="0" borderId="50" xfId="0" applyNumberFormat="1" applyFont="1" applyBorder="1" applyAlignment="1">
      <alignment horizontal="left"/>
    </xf>
    <xf numFmtId="0" fontId="12" fillId="0" borderId="50" xfId="0" applyFont="1" applyBorder="1"/>
    <xf numFmtId="0" fontId="12" fillId="32" borderId="11" xfId="0" applyFont="1" applyFill="1" applyBorder="1" applyAlignment="1">
      <alignment vertical="center" wrapText="1"/>
    </xf>
    <xf numFmtId="0" fontId="12" fillId="20" borderId="48" xfId="0" applyFont="1" applyFill="1" applyBorder="1"/>
    <xf numFmtId="0" fontId="12" fillId="20" borderId="50" xfId="0" applyFont="1" applyFill="1" applyBorder="1"/>
    <xf numFmtId="0" fontId="12" fillId="20" borderId="16" xfId="0" applyFont="1" applyFill="1" applyBorder="1" applyAlignment="1">
      <alignment horizontal="center" vertical="center" wrapText="1"/>
    </xf>
    <xf numFmtId="0" fontId="12" fillId="9" borderId="16" xfId="0" applyFont="1" applyFill="1" applyBorder="1" applyAlignment="1">
      <alignment vertical="center" wrapText="1"/>
    </xf>
    <xf numFmtId="14" fontId="3" fillId="34" borderId="5" xfId="0" applyNumberFormat="1" applyFont="1" applyFill="1" applyBorder="1" applyAlignment="1">
      <alignment horizontal="left"/>
    </xf>
    <xf numFmtId="0" fontId="3" fillId="34" borderId="5" xfId="0" applyFont="1" applyFill="1" applyBorder="1"/>
    <xf numFmtId="164" fontId="3" fillId="34" borderId="8" xfId="0" applyNumberFormat="1" applyFont="1" applyFill="1" applyBorder="1"/>
    <xf numFmtId="164" fontId="3" fillId="34" borderId="9" xfId="0" applyNumberFormat="1" applyFont="1" applyFill="1" applyBorder="1"/>
    <xf numFmtId="2" fontId="3" fillId="34" borderId="8" xfId="0" applyNumberFormat="1" applyFont="1" applyFill="1" applyBorder="1"/>
    <xf numFmtId="2" fontId="3" fillId="34" borderId="6" xfId="0" applyNumberFormat="1" applyFont="1" applyFill="1" applyBorder="1"/>
    <xf numFmtId="1" fontId="3" fillId="34" borderId="8" xfId="0" applyNumberFormat="1" applyFont="1" applyFill="1" applyBorder="1"/>
    <xf numFmtId="1" fontId="3" fillId="34" borderId="6" xfId="0" applyNumberFormat="1" applyFont="1" applyFill="1" applyBorder="1"/>
    <xf numFmtId="1" fontId="3" fillId="34" borderId="9" xfId="0" applyNumberFormat="1" applyFont="1" applyFill="1" applyBorder="1"/>
    <xf numFmtId="0" fontId="3" fillId="34" borderId="9" xfId="0" applyFont="1" applyFill="1" applyBorder="1"/>
    <xf numFmtId="2" fontId="3" fillId="34" borderId="9" xfId="0" applyNumberFormat="1" applyFont="1" applyFill="1" applyBorder="1"/>
    <xf numFmtId="14" fontId="3" fillId="0" borderId="5" xfId="0" applyNumberFormat="1" applyFont="1" applyBorder="1" applyAlignment="1">
      <alignment horizontal="left"/>
    </xf>
    <xf numFmtId="0" fontId="3" fillId="0" borderId="5" xfId="0" applyFont="1" applyBorder="1"/>
    <xf numFmtId="1" fontId="3" fillId="34" borderId="5" xfId="0" applyNumberFormat="1" applyFont="1" applyFill="1" applyBorder="1" applyAlignment="1">
      <alignment horizontal="center"/>
    </xf>
    <xf numFmtId="1" fontId="7" fillId="34" borderId="6" xfId="0" applyNumberFormat="1" applyFont="1" applyFill="1" applyBorder="1"/>
    <xf numFmtId="1" fontId="7" fillId="34" borderId="9" xfId="0" applyNumberFormat="1" applyFont="1" applyFill="1" applyBorder="1"/>
    <xf numFmtId="1" fontId="7" fillId="34" borderId="8" xfId="0" applyNumberFormat="1" applyFont="1" applyFill="1" applyBorder="1" applyAlignment="1">
      <alignment horizontal="center"/>
    </xf>
    <xf numFmtId="1" fontId="3" fillId="34" borderId="13" xfId="0" applyNumberFormat="1" applyFont="1" applyFill="1" applyBorder="1"/>
    <xf numFmtId="1" fontId="0" fillId="34" borderId="10" xfId="0" applyNumberFormat="1" applyFill="1" applyBorder="1"/>
    <xf numFmtId="1" fontId="3" fillId="34" borderId="6" xfId="0" applyNumberFormat="1" applyFont="1" applyFill="1" applyBorder="1" applyAlignment="1">
      <alignment horizontal="center"/>
    </xf>
    <xf numFmtId="1" fontId="3" fillId="34" borderId="8" xfId="0" applyNumberFormat="1" applyFont="1" applyFill="1" applyBorder="1" applyAlignment="1">
      <alignment horizontal="right"/>
    </xf>
    <xf numFmtId="1" fontId="3" fillId="34" borderId="9" xfId="0" applyNumberFormat="1" applyFont="1" applyFill="1" applyBorder="1" applyAlignment="1">
      <alignment horizontal="right"/>
    </xf>
    <xf numFmtId="0" fontId="3" fillId="27" borderId="5" xfId="0" applyFont="1" applyFill="1" applyBorder="1"/>
    <xf numFmtId="14" fontId="3" fillId="0" borderId="9" xfId="0" applyNumberFormat="1" applyFont="1" applyBorder="1" applyAlignment="1">
      <alignment horizontal="left"/>
    </xf>
    <xf numFmtId="164" fontId="3" fillId="0" borderId="13" xfId="0" applyNumberFormat="1" applyFont="1" applyBorder="1"/>
    <xf numFmtId="2" fontId="3" fillId="0" borderId="5" xfId="0" applyNumberFormat="1" applyFont="1" applyBorder="1"/>
    <xf numFmtId="164" fontId="3" fillId="32" borderId="5" xfId="0" applyNumberFormat="1" applyFont="1" applyFill="1" applyBorder="1" applyAlignment="1">
      <alignment horizontal="center"/>
    </xf>
    <xf numFmtId="0" fontId="3" fillId="20" borderId="6" xfId="0" applyFont="1" applyFill="1" applyBorder="1"/>
    <xf numFmtId="0" fontId="3" fillId="20" borderId="9" xfId="0" applyFont="1" applyFill="1" applyBorder="1"/>
    <xf numFmtId="1" fontId="3" fillId="32" borderId="5" xfId="0" applyNumberFormat="1" applyFont="1" applyFill="1" applyBorder="1" applyAlignment="1">
      <alignment horizontal="center"/>
    </xf>
    <xf numFmtId="1" fontId="3" fillId="32" borderId="9" xfId="0" applyNumberFormat="1" applyFont="1" applyFill="1" applyBorder="1" applyAlignment="1">
      <alignment horizontal="center"/>
    </xf>
    <xf numFmtId="1" fontId="3" fillId="0" borderId="8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1" fontId="3" fillId="0" borderId="9" xfId="0" applyNumberFormat="1" applyFont="1" applyBorder="1" applyAlignment="1">
      <alignment horizontal="center"/>
    </xf>
    <xf numFmtId="14" fontId="3" fillId="0" borderId="13" xfId="0" applyNumberFormat="1" applyFont="1" applyBorder="1" applyAlignment="1">
      <alignment horizontal="left"/>
    </xf>
    <xf numFmtId="0" fontId="3" fillId="0" borderId="13" xfId="0" applyFont="1" applyBorder="1"/>
    <xf numFmtId="1" fontId="3" fillId="0" borderId="13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0" borderId="13" xfId="0" applyNumberFormat="1" applyFont="1" applyBorder="1"/>
    <xf numFmtId="1" fontId="3" fillId="0" borderId="0" xfId="0" applyNumberFormat="1" applyFont="1" applyAlignment="1">
      <alignment horizontal="center"/>
    </xf>
    <xf numFmtId="0" fontId="3" fillId="27" borderId="13" xfId="0" applyFont="1" applyFill="1" applyBorder="1"/>
    <xf numFmtId="14" fontId="3" fillId="0" borderId="10" xfId="0" applyNumberFormat="1" applyFont="1" applyBorder="1" applyAlignment="1">
      <alignment horizontal="left"/>
    </xf>
    <xf numFmtId="2" fontId="3" fillId="0" borderId="13" xfId="0" applyNumberFormat="1" applyFont="1" applyBorder="1"/>
    <xf numFmtId="164" fontId="3" fillId="32" borderId="13" xfId="0" applyNumberFormat="1" applyFont="1" applyFill="1" applyBorder="1" applyAlignment="1">
      <alignment horizontal="center"/>
    </xf>
    <xf numFmtId="0" fontId="3" fillId="20" borderId="0" xfId="0" applyFont="1" applyFill="1"/>
    <xf numFmtId="0" fontId="3" fillId="20" borderId="10" xfId="0" applyFont="1" applyFill="1" applyBorder="1"/>
    <xf numFmtId="1" fontId="3" fillId="32" borderId="13" xfId="0" applyNumberFormat="1" applyFont="1" applyFill="1" applyBorder="1" applyAlignment="1">
      <alignment horizontal="center"/>
    </xf>
    <xf numFmtId="1" fontId="3" fillId="32" borderId="10" xfId="0" applyNumberFormat="1" applyFont="1" applyFill="1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14" fontId="3" fillId="0" borderId="11" xfId="0" applyNumberFormat="1" applyFont="1" applyBorder="1" applyAlignment="1">
      <alignment horizontal="left"/>
    </xf>
    <xf numFmtId="0" fontId="3" fillId="0" borderId="11" xfId="0" applyFont="1" applyBorder="1"/>
    <xf numFmtId="1" fontId="3" fillId="0" borderId="11" xfId="0" applyNumberFormat="1" applyFont="1" applyBorder="1" applyAlignment="1">
      <alignment horizontal="center"/>
    </xf>
    <xf numFmtId="1" fontId="3" fillId="0" borderId="12" xfId="0" applyNumberFormat="1" applyFont="1" applyBorder="1" applyAlignment="1">
      <alignment horizontal="center"/>
    </xf>
    <xf numFmtId="1" fontId="3" fillId="0" borderId="11" xfId="0" applyNumberFormat="1" applyFont="1" applyBorder="1"/>
    <xf numFmtId="1" fontId="3" fillId="0" borderId="4" xfId="0" applyNumberFormat="1" applyFont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1" fontId="3" fillId="0" borderId="5" xfId="0" applyNumberFormat="1" applyFont="1" applyBorder="1"/>
    <xf numFmtId="1" fontId="3" fillId="0" borderId="8" xfId="0" applyNumberFormat="1" applyFont="1" applyBorder="1" applyAlignment="1">
      <alignment horizontal="right"/>
    </xf>
    <xf numFmtId="1" fontId="3" fillId="0" borderId="9" xfId="0" applyNumberFormat="1" applyFont="1" applyBorder="1" applyAlignment="1">
      <alignment horizontal="right"/>
    </xf>
    <xf numFmtId="2" fontId="3" fillId="0" borderId="8" xfId="0" applyNumberFormat="1" applyFont="1" applyBorder="1"/>
    <xf numFmtId="1" fontId="3" fillId="0" borderId="5" xfId="0" applyNumberFormat="1" applyFont="1" applyBorder="1" applyAlignment="1">
      <alignment horizontal="center"/>
    </xf>
    <xf numFmtId="0" fontId="3" fillId="27" borderId="11" xfId="0" applyFont="1" applyFill="1" applyBorder="1"/>
    <xf numFmtId="14" fontId="3" fillId="0" borderId="16" xfId="0" applyNumberFormat="1" applyFont="1" applyBorder="1" applyAlignment="1">
      <alignment horizontal="left"/>
    </xf>
    <xf numFmtId="2" fontId="3" fillId="0" borderId="11" xfId="0" applyNumberFormat="1" applyFont="1" applyBorder="1"/>
    <xf numFmtId="164" fontId="3" fillId="32" borderId="11" xfId="0" applyNumberFormat="1" applyFont="1" applyFill="1" applyBorder="1" applyAlignment="1">
      <alignment horizontal="center"/>
    </xf>
    <xf numFmtId="0" fontId="3" fillId="20" borderId="4" xfId="0" applyFont="1" applyFill="1" applyBorder="1"/>
    <xf numFmtId="0" fontId="3" fillId="20" borderId="16" xfId="0" applyFont="1" applyFill="1" applyBorder="1"/>
    <xf numFmtId="1" fontId="3" fillId="32" borderId="11" xfId="0" applyNumberFormat="1" applyFont="1" applyFill="1" applyBorder="1" applyAlignment="1">
      <alignment horizontal="center"/>
    </xf>
    <xf numFmtId="1" fontId="3" fillId="32" borderId="16" xfId="0" applyNumberFormat="1" applyFont="1" applyFill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164" fontId="3" fillId="0" borderId="5" xfId="0" applyNumberFormat="1" applyFont="1" applyBorder="1"/>
    <xf numFmtId="2" fontId="3" fillId="0" borderId="6" xfId="0" applyNumberFormat="1" applyFont="1" applyBorder="1"/>
    <xf numFmtId="14" fontId="3" fillId="0" borderId="1" xfId="0" applyNumberFormat="1" applyFont="1" applyBorder="1" applyAlignment="1">
      <alignment horizontal="left"/>
    </xf>
    <xf numFmtId="2" fontId="3" fillId="0" borderId="8" xfId="0" applyNumberFormat="1" applyFont="1" applyBorder="1" applyAlignment="1">
      <alignment horizontal="right"/>
    </xf>
    <xf numFmtId="2" fontId="3" fillId="0" borderId="9" xfId="0" applyNumberFormat="1" applyFont="1" applyBorder="1" applyAlignment="1">
      <alignment horizontal="right"/>
    </xf>
    <xf numFmtId="2" fontId="3" fillId="0" borderId="1" xfId="0" applyNumberFormat="1" applyFont="1" applyBorder="1" applyAlignment="1">
      <alignment horizontal="right"/>
    </xf>
    <xf numFmtId="2" fontId="3" fillId="0" borderId="10" xfId="0" applyNumberFormat="1" applyFont="1" applyBorder="1" applyAlignment="1">
      <alignment horizontal="right"/>
    </xf>
    <xf numFmtId="0" fontId="7" fillId="0" borderId="12" xfId="0" applyFont="1" applyBorder="1"/>
    <xf numFmtId="164" fontId="7" fillId="0" borderId="13" xfId="0" applyNumberFormat="1" applyFont="1" applyBorder="1"/>
    <xf numFmtId="2" fontId="7" fillId="0" borderId="11" xfId="0" applyNumberFormat="1" applyFont="1" applyBorder="1"/>
    <xf numFmtId="0" fontId="7" fillId="0" borderId="16" xfId="0" applyFont="1" applyBorder="1"/>
    <xf numFmtId="0" fontId="7" fillId="3" borderId="16" xfId="0" applyFont="1" applyFill="1" applyBorder="1"/>
    <xf numFmtId="1" fontId="3" fillId="19" borderId="4" xfId="0" applyNumberFormat="1" applyFont="1" applyFill="1" applyBorder="1"/>
    <xf numFmtId="0" fontId="8" fillId="0" borderId="12" xfId="0" applyFont="1" applyBorder="1"/>
    <xf numFmtId="0" fontId="8" fillId="20" borderId="4" xfId="0" applyFont="1" applyFill="1" applyBorder="1"/>
    <xf numFmtId="0" fontId="8" fillId="20" borderId="16" xfId="0" applyFont="1" applyFill="1" applyBorder="1"/>
    <xf numFmtId="164" fontId="8" fillId="0" borderId="16" xfId="0" applyNumberFormat="1" applyFont="1" applyBorder="1"/>
    <xf numFmtId="0" fontId="7" fillId="0" borderId="4" xfId="0" applyFont="1" applyBorder="1"/>
    <xf numFmtId="1" fontId="7" fillId="32" borderId="11" xfId="0" applyNumberFormat="1" applyFont="1" applyFill="1" applyBorder="1" applyAlignment="1">
      <alignment horizontal="center"/>
    </xf>
    <xf numFmtId="164" fontId="7" fillId="32" borderId="11" xfId="0" applyNumberFormat="1" applyFont="1" applyFill="1" applyBorder="1" applyAlignment="1">
      <alignment horizontal="center"/>
    </xf>
    <xf numFmtId="1" fontId="3" fillId="3" borderId="0" xfId="0" applyNumberFormat="1" applyFont="1" applyFill="1"/>
    <xf numFmtId="1" fontId="3" fillId="3" borderId="10" xfId="0" applyNumberFormat="1" applyFont="1" applyFill="1" applyBorder="1"/>
    <xf numFmtId="0" fontId="3" fillId="27" borderId="4" xfId="0" applyFont="1" applyFill="1" applyBorder="1"/>
    <xf numFmtId="1" fontId="3" fillId="27" borderId="12" xfId="0" applyNumberFormat="1" applyFont="1" applyFill="1" applyBorder="1" applyAlignment="1">
      <alignment horizontal="center"/>
    </xf>
    <xf numFmtId="1" fontId="3" fillId="27" borderId="4" xfId="0" applyNumberFormat="1" applyFont="1" applyFill="1" applyBorder="1" applyAlignment="1">
      <alignment horizontal="center"/>
    </xf>
    <xf numFmtId="1" fontId="3" fillId="27" borderId="16" xfId="0" applyNumberFormat="1" applyFont="1" applyFill="1" applyBorder="1" applyAlignment="1">
      <alignment horizontal="center"/>
    </xf>
    <xf numFmtId="164" fontId="3" fillId="27" borderId="4" xfId="0" applyNumberFormat="1" applyFont="1" applyFill="1" applyBorder="1"/>
    <xf numFmtId="2" fontId="3" fillId="27" borderId="16" xfId="0" applyNumberFormat="1" applyFont="1" applyFill="1" applyBorder="1"/>
    <xf numFmtId="2" fontId="3" fillId="0" borderId="12" xfId="0" applyNumberFormat="1" applyFont="1" applyBorder="1" applyAlignment="1">
      <alignment horizontal="right"/>
    </xf>
    <xf numFmtId="2" fontId="3" fillId="0" borderId="16" xfId="0" applyNumberFormat="1" applyFont="1" applyBorder="1" applyAlignment="1">
      <alignment horizontal="right"/>
    </xf>
    <xf numFmtId="164" fontId="7" fillId="0" borderId="5" xfId="0" applyNumberFormat="1" applyFont="1" applyBorder="1"/>
    <xf numFmtId="2" fontId="7" fillId="0" borderId="5" xfId="0" applyNumberFormat="1" applyFont="1" applyBorder="1"/>
    <xf numFmtId="0" fontId="7" fillId="3" borderId="9" xfId="0" applyFont="1" applyFill="1" applyBorder="1"/>
    <xf numFmtId="0" fontId="8" fillId="0" borderId="8" xfId="0" applyFont="1" applyBorder="1"/>
    <xf numFmtId="0" fontId="8" fillId="20" borderId="6" xfId="0" applyFont="1" applyFill="1" applyBorder="1"/>
    <xf numFmtId="0" fontId="8" fillId="20" borderId="9" xfId="0" applyFont="1" applyFill="1" applyBorder="1"/>
    <xf numFmtId="164" fontId="8" fillId="0" borderId="9" xfId="0" applyNumberFormat="1" applyFont="1" applyBorder="1"/>
    <xf numFmtId="1" fontId="7" fillId="32" borderId="5" xfId="0" applyNumberFormat="1" applyFont="1" applyFill="1" applyBorder="1" applyAlignment="1">
      <alignment horizontal="center"/>
    </xf>
    <xf numFmtId="164" fontId="7" fillId="32" borderId="5" xfId="0" applyNumberFormat="1" applyFont="1" applyFill="1" applyBorder="1" applyAlignment="1">
      <alignment horizontal="center"/>
    </xf>
    <xf numFmtId="14" fontId="3" fillId="0" borderId="12" xfId="0" applyNumberFormat="1" applyFont="1" applyBorder="1" applyAlignment="1">
      <alignment horizontal="left"/>
    </xf>
    <xf numFmtId="2" fontId="7" fillId="0" borderId="13" xfId="0" applyNumberFormat="1" applyFont="1" applyBorder="1"/>
    <xf numFmtId="0" fontId="8" fillId="0" borderId="1" xfId="0" applyFont="1" applyBorder="1"/>
    <xf numFmtId="0" fontId="8" fillId="20" borderId="0" xfId="0" applyFont="1" applyFill="1"/>
    <xf numFmtId="0" fontId="8" fillId="20" borderId="10" xfId="0" applyFont="1" applyFill="1" applyBorder="1"/>
    <xf numFmtId="164" fontId="8" fillId="0" borderId="10" xfId="0" applyNumberFormat="1" applyFont="1" applyBorder="1"/>
    <xf numFmtId="1" fontId="7" fillId="32" borderId="13" xfId="0" applyNumberFormat="1" applyFont="1" applyFill="1" applyBorder="1" applyAlignment="1">
      <alignment horizontal="center"/>
    </xf>
    <xf numFmtId="164" fontId="7" fillId="32" borderId="13" xfId="0" applyNumberFormat="1" applyFont="1" applyFill="1" applyBorder="1" applyAlignment="1">
      <alignment horizontal="center"/>
    </xf>
    <xf numFmtId="14" fontId="3" fillId="0" borderId="8" xfId="0" applyNumberFormat="1" applyFont="1" applyBorder="1" applyAlignment="1">
      <alignment horizontal="left"/>
    </xf>
    <xf numFmtId="0" fontId="3" fillId="26" borderId="0" xfId="0" applyFont="1" applyFill="1"/>
    <xf numFmtId="14" fontId="3" fillId="26" borderId="1" xfId="0" applyNumberFormat="1" applyFont="1" applyFill="1" applyBorder="1" applyAlignment="1">
      <alignment horizontal="left"/>
    </xf>
    <xf numFmtId="0" fontId="3" fillId="26" borderId="13" xfId="0" applyFont="1" applyFill="1" applyBorder="1"/>
    <xf numFmtId="0" fontId="3" fillId="26" borderId="1" xfId="0" applyFont="1" applyFill="1" applyBorder="1"/>
    <xf numFmtId="0" fontId="3" fillId="26" borderId="1" xfId="0" applyFont="1" applyFill="1" applyBorder="1" applyAlignment="1">
      <alignment horizontal="right"/>
    </xf>
    <xf numFmtId="0" fontId="3" fillId="26" borderId="10" xfId="0" applyFont="1" applyFill="1" applyBorder="1" applyAlignment="1">
      <alignment horizontal="right"/>
    </xf>
    <xf numFmtId="0" fontId="3" fillId="26" borderId="0" xfId="0" applyFont="1" applyFill="1" applyAlignment="1">
      <alignment horizontal="right"/>
    </xf>
    <xf numFmtId="1" fontId="3" fillId="26" borderId="0" xfId="0" applyNumberFormat="1" applyFont="1" applyFill="1" applyAlignment="1">
      <alignment horizontal="right"/>
    </xf>
    <xf numFmtId="1" fontId="3" fillId="26" borderId="10" xfId="0" applyNumberFormat="1" applyFont="1" applyFill="1" applyBorder="1" applyAlignment="1">
      <alignment horizontal="right"/>
    </xf>
    <xf numFmtId="2" fontId="3" fillId="26" borderId="10" xfId="0" applyNumberFormat="1" applyFont="1" applyFill="1" applyBorder="1" applyAlignment="1">
      <alignment horizontal="right"/>
    </xf>
    <xf numFmtId="164" fontId="3" fillId="0" borderId="11" xfId="0" applyNumberFormat="1" applyFont="1" applyBorder="1"/>
    <xf numFmtId="0" fontId="3" fillId="3" borderId="16" xfId="0" applyFont="1" applyFill="1" applyBorder="1"/>
    <xf numFmtId="0" fontId="3" fillId="3" borderId="9" xfId="0" applyFont="1" applyFill="1" applyBorder="1"/>
    <xf numFmtId="1" fontId="3" fillId="3" borderId="4" xfId="0" applyNumberFormat="1" applyFont="1" applyFill="1" applyBorder="1"/>
    <xf numFmtId="1" fontId="3" fillId="3" borderId="16" xfId="0" applyNumberFormat="1" applyFont="1" applyFill="1" applyBorder="1"/>
    <xf numFmtId="1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center"/>
    </xf>
    <xf numFmtId="0" fontId="3" fillId="3" borderId="11" xfId="0" applyFont="1" applyFill="1" applyBorder="1"/>
    <xf numFmtId="14" fontId="3" fillId="0" borderId="15" xfId="0" applyNumberFormat="1" applyFont="1" applyBorder="1" applyAlignment="1">
      <alignment horizontal="left"/>
    </xf>
    <xf numFmtId="0" fontId="3" fillId="3" borderId="15" xfId="0" applyFont="1" applyFill="1" applyBorder="1"/>
    <xf numFmtId="0" fontId="3" fillId="0" borderId="14" xfId="0" applyFont="1" applyBorder="1"/>
    <xf numFmtId="0" fontId="3" fillId="0" borderId="48" xfId="0" applyFont="1" applyBorder="1"/>
    <xf numFmtId="1" fontId="3" fillId="0" borderId="14" xfId="0" applyNumberFormat="1" applyFont="1" applyBorder="1" applyAlignment="1">
      <alignment horizontal="center"/>
    </xf>
    <xf numFmtId="2" fontId="3" fillId="0" borderId="14" xfId="0" applyNumberFormat="1" applyFont="1" applyBorder="1"/>
    <xf numFmtId="2" fontId="3" fillId="0" borderId="50" xfId="0" applyNumberFormat="1" applyFont="1" applyBorder="1"/>
    <xf numFmtId="1" fontId="3" fillId="0" borderId="15" xfId="0" applyNumberFormat="1" applyFont="1" applyBorder="1" applyAlignment="1">
      <alignment horizontal="center"/>
    </xf>
    <xf numFmtId="0" fontId="3" fillId="3" borderId="13" xfId="0" applyFont="1" applyFill="1" applyBorder="1"/>
    <xf numFmtId="0" fontId="3" fillId="3" borderId="5" xfId="0" applyFont="1" applyFill="1" applyBorder="1"/>
    <xf numFmtId="2" fontId="3" fillId="26" borderId="0" xfId="0" applyNumberFormat="1" applyFont="1" applyFill="1" applyAlignment="1">
      <alignment horizontal="right"/>
    </xf>
    <xf numFmtId="1" fontId="3" fillId="26" borderId="1" xfId="0" applyNumberFormat="1" applyFont="1" applyFill="1" applyBorder="1" applyAlignment="1">
      <alignment horizontal="right"/>
    </xf>
    <xf numFmtId="2" fontId="3" fillId="0" borderId="0" xfId="0" applyNumberFormat="1" applyFont="1" applyAlignment="1">
      <alignment horizontal="right"/>
    </xf>
    <xf numFmtId="14" fontId="3" fillId="3" borderId="1" xfId="0" applyNumberFormat="1" applyFont="1" applyFill="1" applyBorder="1" applyAlignment="1">
      <alignment horizontal="left"/>
    </xf>
    <xf numFmtId="14" fontId="3" fillId="3" borderId="12" xfId="0" applyNumberFormat="1" applyFont="1" applyFill="1" applyBorder="1" applyAlignment="1">
      <alignment horizontal="left"/>
    </xf>
    <xf numFmtId="14" fontId="3" fillId="3" borderId="48" xfId="0" applyNumberFormat="1" applyFont="1" applyFill="1" applyBorder="1" applyAlignment="1">
      <alignment horizontal="left"/>
    </xf>
    <xf numFmtId="0" fontId="3" fillId="0" borderId="15" xfId="0" applyFont="1" applyBorder="1"/>
    <xf numFmtId="0" fontId="3" fillId="0" borderId="50" xfId="0" applyFont="1" applyBorder="1"/>
    <xf numFmtId="2" fontId="3" fillId="7" borderId="14" xfId="0" applyNumberFormat="1" applyFont="1" applyFill="1" applyBorder="1"/>
    <xf numFmtId="2" fontId="3" fillId="7" borderId="50" xfId="0" applyNumberFormat="1" applyFont="1" applyFill="1" applyBorder="1"/>
    <xf numFmtId="1" fontId="3" fillId="0" borderId="14" xfId="0" applyNumberFormat="1" applyFont="1" applyBorder="1"/>
    <xf numFmtId="1" fontId="3" fillId="0" borderId="50" xfId="0" applyNumberFormat="1" applyFont="1" applyBorder="1"/>
    <xf numFmtId="14" fontId="3" fillId="3" borderId="8" xfId="0" applyNumberFormat="1" applyFont="1" applyFill="1" applyBorder="1" applyAlignment="1">
      <alignment horizontal="left"/>
    </xf>
    <xf numFmtId="1" fontId="0" fillId="0" borderId="5" xfId="0" applyNumberFormat="1" applyBorder="1"/>
    <xf numFmtId="1" fontId="0" fillId="0" borderId="13" xfId="0" applyNumberFormat="1" applyBorder="1"/>
    <xf numFmtId="2" fontId="3" fillId="7" borderId="8" xfId="0" applyNumberFormat="1" applyFont="1" applyFill="1" applyBorder="1"/>
    <xf numFmtId="2" fontId="3" fillId="7" borderId="6" xfId="0" applyNumberFormat="1" applyFont="1" applyFill="1" applyBorder="1"/>
    <xf numFmtId="164" fontId="3" fillId="0" borderId="13" xfId="0" applyNumberFormat="1" applyFont="1" applyBorder="1" applyAlignment="1">
      <alignment horizontal="center"/>
    </xf>
    <xf numFmtId="1" fontId="3" fillId="3" borderId="13" xfId="0" applyNumberFormat="1" applyFont="1" applyFill="1" applyBorder="1" applyAlignment="1">
      <alignment horizontal="center"/>
    </xf>
    <xf numFmtId="1" fontId="7" fillId="0" borderId="0" xfId="0" applyNumberFormat="1" applyFont="1" applyAlignment="1">
      <alignment horizontal="center"/>
    </xf>
    <xf numFmtId="1" fontId="0" fillId="0" borderId="11" xfId="0" applyNumberFormat="1" applyBorder="1"/>
    <xf numFmtId="1" fontId="3" fillId="3" borderId="5" xfId="0" applyNumberFormat="1" applyFont="1" applyFill="1" applyBorder="1" applyAlignment="1">
      <alignment horizontal="center"/>
    </xf>
    <xf numFmtId="0" fontId="8" fillId="0" borderId="0" xfId="0" applyFont="1"/>
    <xf numFmtId="164" fontId="0" fillId="0" borderId="8" xfId="0" applyNumberFormat="1" applyBorder="1"/>
    <xf numFmtId="164" fontId="0" fillId="0" borderId="6" xfId="0" applyNumberFormat="1" applyBorder="1"/>
    <xf numFmtId="2" fontId="0" fillId="0" borderId="8" xfId="0" applyNumberFormat="1" applyBorder="1"/>
    <xf numFmtId="2" fontId="0" fillId="0" borderId="6" xfId="0" applyNumberFormat="1" applyBorder="1"/>
    <xf numFmtId="0" fontId="3" fillId="3" borderId="1" xfId="0" applyFont="1" applyFill="1" applyBorder="1"/>
    <xf numFmtId="2" fontId="3" fillId="3" borderId="0" xfId="0" applyNumberFormat="1" applyFont="1" applyFill="1"/>
    <xf numFmtId="2" fontId="3" fillId="3" borderId="10" xfId="0" applyNumberFormat="1" applyFont="1" applyFill="1" applyBorder="1"/>
    <xf numFmtId="14" fontId="3" fillId="3" borderId="0" xfId="0" applyNumberFormat="1" applyFont="1" applyFill="1" applyAlignment="1">
      <alignment horizontal="left"/>
    </xf>
    <xf numFmtId="1" fontId="0" fillId="0" borderId="48" xfId="0" applyNumberFormat="1" applyBorder="1"/>
    <xf numFmtId="2" fontId="0" fillId="0" borderId="13" xfId="0" applyNumberFormat="1" applyBorder="1"/>
    <xf numFmtId="0" fontId="0" fillId="0" borderId="13" xfId="0" applyBorder="1"/>
    <xf numFmtId="2" fontId="0" fillId="0" borderId="5" xfId="0" applyNumberFormat="1" applyBorder="1"/>
    <xf numFmtId="1" fontId="0" fillId="0" borderId="0" xfId="0" applyNumberFormat="1" applyAlignment="1">
      <alignment horizontal="center"/>
    </xf>
    <xf numFmtId="164" fontId="0" fillId="0" borderId="12" xfId="0" applyNumberFormat="1" applyBorder="1"/>
    <xf numFmtId="164" fontId="0" fillId="0" borderId="11" xfId="0" applyNumberFormat="1" applyBorder="1"/>
    <xf numFmtId="2" fontId="0" fillId="0" borderId="50" xfId="0" applyNumberFormat="1" applyBorder="1"/>
    <xf numFmtId="0" fontId="0" fillId="0" borderId="11" xfId="0" applyBorder="1"/>
    <xf numFmtId="1" fontId="21" fillId="0" borderId="0" xfId="0" applyNumberFormat="1" applyFont="1"/>
    <xf numFmtId="0" fontId="22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" fontId="26" fillId="0" borderId="43" xfId="0" applyNumberFormat="1" applyFont="1" applyBorder="1" applyAlignment="1">
      <alignment horizontal="center" vertical="center"/>
    </xf>
    <xf numFmtId="0" fontId="25" fillId="0" borderId="57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2" fillId="7" borderId="5" xfId="0" applyFont="1" applyFill="1" applyBorder="1" applyAlignment="1">
      <alignment horizontal="center" vertical="center"/>
    </xf>
    <xf numFmtId="0" fontId="12" fillId="27" borderId="5" xfId="0" applyFont="1" applyFill="1" applyBorder="1" applyAlignment="1">
      <alignment horizontal="center" vertical="center"/>
    </xf>
    <xf numFmtId="0" fontId="3" fillId="27" borderId="5" xfId="0" applyFont="1" applyFill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27" borderId="13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27" borderId="11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12" fillId="27" borderId="15" xfId="0" applyFont="1" applyFill="1" applyBorder="1" applyAlignment="1">
      <alignment horizontal="center" vertical="center"/>
    </xf>
    <xf numFmtId="14" fontId="12" fillId="0" borderId="50" xfId="0" applyNumberFormat="1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20" borderId="48" xfId="0" applyFont="1" applyFill="1" applyBorder="1" applyAlignment="1">
      <alignment horizontal="center" vertical="center"/>
    </xf>
    <xf numFmtId="0" fontId="12" fillId="20" borderId="50" xfId="0" applyFont="1" applyFill="1" applyBorder="1" applyAlignment="1">
      <alignment horizontal="center" vertical="center"/>
    </xf>
    <xf numFmtId="0" fontId="12" fillId="27" borderId="50" xfId="0" applyFont="1" applyFill="1" applyBorder="1" applyAlignment="1">
      <alignment horizontal="center" vertical="center"/>
    </xf>
    <xf numFmtId="0" fontId="12" fillId="27" borderId="48" xfId="0" applyFont="1" applyFill="1" applyBorder="1" applyAlignment="1">
      <alignment horizontal="center" vertical="center"/>
    </xf>
    <xf numFmtId="14" fontId="3" fillId="0" borderId="9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0" fontId="3" fillId="20" borderId="6" xfId="0" applyFont="1" applyFill="1" applyBorder="1" applyAlignment="1">
      <alignment horizontal="center" vertical="center"/>
    </xf>
    <xf numFmtId="0" fontId="3" fillId="20" borderId="9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3" fillId="0" borderId="13" xfId="0" applyNumberFormat="1" applyFont="1" applyBorder="1" applyAlignment="1">
      <alignment horizontal="center" vertical="center"/>
    </xf>
    <xf numFmtId="0" fontId="3" fillId="20" borderId="0" xfId="0" applyFont="1" applyFill="1" applyAlignment="1">
      <alignment horizontal="center" vertical="center"/>
    </xf>
    <xf numFmtId="0" fontId="3" fillId="20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4" fontId="3" fillId="0" borderId="16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3" fillId="20" borderId="4" xfId="0" applyFont="1" applyFill="1" applyBorder="1" applyAlignment="1">
      <alignment horizontal="center" vertical="center"/>
    </xf>
    <xf numFmtId="0" fontId="3" fillId="20" borderId="16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0" borderId="12" xfId="0" applyNumberFormat="1" applyFont="1" applyBorder="1" applyAlignment="1">
      <alignment horizontal="center" vertical="center"/>
    </xf>
    <xf numFmtId="1" fontId="3" fillId="0" borderId="16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164" fontId="7" fillId="0" borderId="13" xfId="0" applyNumberFormat="1" applyFont="1" applyBorder="1" applyAlignment="1">
      <alignment horizontal="center" vertical="center"/>
    </xf>
    <xf numFmtId="2" fontId="7" fillId="0" borderId="11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20" borderId="4" xfId="0" applyFont="1" applyFill="1" applyBorder="1" applyAlignment="1">
      <alignment horizontal="center" vertical="center"/>
    </xf>
    <xf numFmtId="0" fontId="8" fillId="20" borderId="16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" fontId="3" fillId="19" borderId="4" xfId="0" applyNumberFormat="1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20" borderId="6" xfId="0" applyFont="1" applyFill="1" applyBorder="1" applyAlignment="1">
      <alignment horizontal="center" vertical="center"/>
    </xf>
    <xf numFmtId="0" fontId="8" fillId="20" borderId="9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3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20" borderId="0" xfId="0" applyFont="1" applyFill="1" applyAlignment="1">
      <alignment horizontal="center" vertical="center"/>
    </xf>
    <xf numFmtId="0" fontId="8" fillId="20" borderId="10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12" fillId="33" borderId="48" xfId="0" applyFont="1" applyFill="1" applyBorder="1" applyAlignment="1">
      <alignment horizontal="center" vertical="center"/>
    </xf>
    <xf numFmtId="0" fontId="12" fillId="7" borderId="48" xfId="0" applyFont="1" applyFill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0" fontId="12" fillId="27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14" fontId="3" fillId="0" borderId="11" xfId="0" applyNumberFormat="1" applyFon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9" fillId="0" borderId="0" xfId="0" applyFont="1"/>
    <xf numFmtId="0" fontId="22" fillId="0" borderId="0" xfId="0" applyFont="1"/>
    <xf numFmtId="0" fontId="30" fillId="0" borderId="0" xfId="0" applyFont="1"/>
    <xf numFmtId="0" fontId="27" fillId="0" borderId="1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6" xfId="0" applyBorder="1" applyAlignment="1">
      <alignment horizontal="center"/>
    </xf>
    <xf numFmtId="0" fontId="3" fillId="27" borderId="0" xfId="0" applyFont="1" applyFill="1" applyAlignment="1">
      <alignment horizontal="center" vertical="center"/>
    </xf>
    <xf numFmtId="16" fontId="26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/>
    </xf>
    <xf numFmtId="164" fontId="3" fillId="0" borderId="48" xfId="0" applyNumberFormat="1" applyFon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164" fontId="0" fillId="0" borderId="8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2" fontId="0" fillId="0" borderId="4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8" xfId="0" applyBorder="1"/>
    <xf numFmtId="0" fontId="0" fillId="0" borderId="59" xfId="0" applyBorder="1"/>
    <xf numFmtId="0" fontId="0" fillId="35" borderId="60" xfId="0" applyFill="1" applyBorder="1"/>
    <xf numFmtId="0" fontId="0" fillId="35" borderId="61" xfId="0" applyFill="1" applyBorder="1"/>
    <xf numFmtId="0" fontId="0" fillId="35" borderId="62" xfId="0" applyFill="1" applyBorder="1"/>
    <xf numFmtId="0" fontId="0" fillId="0" borderId="63" xfId="0" applyBorder="1"/>
    <xf numFmtId="0" fontId="0" fillId="0" borderId="64" xfId="0" applyBorder="1"/>
    <xf numFmtId="0" fontId="0" fillId="0" borderId="43" xfId="0" applyBorder="1"/>
    <xf numFmtId="11" fontId="0" fillId="0" borderId="15" xfId="0" applyNumberFormat="1" applyBorder="1"/>
    <xf numFmtId="0" fontId="0" fillId="0" borderId="65" xfId="0" applyBorder="1"/>
    <xf numFmtId="0" fontId="0" fillId="0" borderId="66" xfId="0" applyBorder="1"/>
    <xf numFmtId="0" fontId="0" fillId="0" borderId="57" xfId="0" applyBorder="1"/>
    <xf numFmtId="0" fontId="0" fillId="0" borderId="5" xfId="0" applyBorder="1"/>
    <xf numFmtId="0" fontId="0" fillId="0" borderId="67" xfId="0" applyBorder="1"/>
    <xf numFmtId="0" fontId="0" fillId="8" borderId="58" xfId="0" applyFill="1" applyBorder="1"/>
    <xf numFmtId="0" fontId="12" fillId="27" borderId="68" xfId="0" applyFont="1" applyFill="1" applyBorder="1"/>
    <xf numFmtId="0" fontId="12" fillId="27" borderId="59" xfId="0" applyFont="1" applyFill="1" applyBorder="1"/>
    <xf numFmtId="0" fontId="0" fillId="28" borderId="60" xfId="0" applyFill="1" applyBorder="1"/>
    <xf numFmtId="0" fontId="0" fillId="28" borderId="61" xfId="0" applyFill="1" applyBorder="1"/>
    <xf numFmtId="0" fontId="0" fillId="28" borderId="62" xfId="0" applyFill="1" applyBorder="1"/>
    <xf numFmtId="0" fontId="0" fillId="20" borderId="65" xfId="0" applyFill="1" applyBorder="1"/>
    <xf numFmtId="0" fontId="0" fillId="20" borderId="69" xfId="0" applyFill="1" applyBorder="1"/>
    <xf numFmtId="0" fontId="0" fillId="20" borderId="66" xfId="0" applyFill="1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22" fillId="36" borderId="0" xfId="0" applyFont="1" applyFill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37" borderId="0" xfId="0" applyFont="1" applyFill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16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33" fillId="38" borderId="70" xfId="0" applyFont="1" applyFill="1" applyBorder="1" applyAlignment="1">
      <alignment horizontal="center" vertical="center" wrapText="1"/>
    </xf>
    <xf numFmtId="0" fontId="33" fillId="38" borderId="71" xfId="0" applyFont="1" applyFill="1" applyBorder="1" applyAlignment="1">
      <alignment horizontal="center" vertical="center" wrapText="1"/>
    </xf>
    <xf numFmtId="0" fontId="33" fillId="38" borderId="72" xfId="0" applyFont="1" applyFill="1" applyBorder="1" applyAlignment="1">
      <alignment horizontal="center" vertical="center" wrapText="1"/>
    </xf>
    <xf numFmtId="0" fontId="22" fillId="39" borderId="75" xfId="0" applyFont="1" applyFill="1" applyBorder="1" applyAlignment="1">
      <alignment horizontal="center" vertical="center" wrapText="1"/>
    </xf>
    <xf numFmtId="0" fontId="22" fillId="0" borderId="75" xfId="0" applyFont="1" applyBorder="1" applyAlignment="1">
      <alignment horizontal="center" vertical="center" wrapText="1"/>
    </xf>
    <xf numFmtId="0" fontId="0" fillId="0" borderId="33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78" xfId="0" applyBorder="1" applyAlignment="1">
      <alignment vertical="center"/>
    </xf>
    <xf numFmtId="0" fontId="0" fillId="0" borderId="79" xfId="0" applyBorder="1" applyAlignment="1">
      <alignment horizontal="center" vertical="center"/>
    </xf>
    <xf numFmtId="0" fontId="0" fillId="0" borderId="79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34" fillId="0" borderId="32" xfId="0" applyFont="1" applyBorder="1" applyAlignment="1">
      <alignment horizontal="center" vertical="center"/>
    </xf>
    <xf numFmtId="0" fontId="22" fillId="0" borderId="28" xfId="0" applyFont="1" applyBorder="1"/>
    <xf numFmtId="0" fontId="22" fillId="0" borderId="29" xfId="0" applyFont="1" applyBorder="1"/>
    <xf numFmtId="0" fontId="22" fillId="0" borderId="30" xfId="0" applyFont="1" applyBorder="1"/>
    <xf numFmtId="0" fontId="22" fillId="0" borderId="47" xfId="0" applyFont="1" applyBorder="1"/>
    <xf numFmtId="0" fontId="22" fillId="0" borderId="27" xfId="0" applyFont="1" applyBorder="1"/>
    <xf numFmtId="0" fontId="22" fillId="0" borderId="32" xfId="0" applyFont="1" applyBorder="1"/>
    <xf numFmtId="0" fontId="22" fillId="0" borderId="33" xfId="0" applyFont="1" applyBorder="1"/>
    <xf numFmtId="0" fontId="22" fillId="0" borderId="31" xfId="0" applyFont="1" applyBorder="1"/>
    <xf numFmtId="0" fontId="0" fillId="7" borderId="34" xfId="0" applyFill="1" applyBorder="1" applyAlignment="1">
      <alignment horizontal="center"/>
    </xf>
    <xf numFmtId="0" fontId="0" fillId="7" borderId="35" xfId="0" applyFill="1" applyBorder="1" applyAlignment="1">
      <alignment horizontal="center"/>
    </xf>
    <xf numFmtId="0" fontId="0" fillId="7" borderId="36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8" borderId="39" xfId="0" applyFill="1" applyBorder="1" applyAlignment="1">
      <alignment horizontal="center"/>
    </xf>
    <xf numFmtId="0" fontId="0" fillId="8" borderId="40" xfId="0" applyFill="1" applyBorder="1" applyAlignment="1">
      <alignment horizontal="center"/>
    </xf>
    <xf numFmtId="0" fontId="0" fillId="8" borderId="34" xfId="0" applyFill="1" applyBorder="1" applyAlignment="1">
      <alignment horizontal="center"/>
    </xf>
    <xf numFmtId="0" fontId="0" fillId="8" borderId="35" xfId="0" applyFill="1" applyBorder="1" applyAlignment="1">
      <alignment horizontal="center"/>
    </xf>
    <xf numFmtId="0" fontId="0" fillId="8" borderId="56" xfId="0" applyFill="1" applyBorder="1" applyAlignment="1">
      <alignment horizontal="center"/>
    </xf>
    <xf numFmtId="0" fontId="0" fillId="8" borderId="80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1" borderId="39" xfId="0" applyFill="1" applyBorder="1" applyAlignment="1">
      <alignment horizontal="center"/>
    </xf>
    <xf numFmtId="0" fontId="0" fillId="11" borderId="40" xfId="0" applyFill="1" applyBorder="1" applyAlignment="1">
      <alignment horizontal="center"/>
    </xf>
    <xf numFmtId="0" fontId="0" fillId="12" borderId="39" xfId="0" applyFill="1" applyBorder="1" applyAlignment="1">
      <alignment horizontal="center"/>
    </xf>
    <xf numFmtId="0" fontId="0" fillId="12" borderId="40" xfId="0" applyFill="1" applyBorder="1" applyAlignment="1">
      <alignment horizontal="center"/>
    </xf>
    <xf numFmtId="0" fontId="0" fillId="13" borderId="39" xfId="0" applyFill="1" applyBorder="1" applyAlignment="1">
      <alignment horizontal="center"/>
    </xf>
    <xf numFmtId="0" fontId="0" fillId="13" borderId="40" xfId="0" applyFill="1" applyBorder="1" applyAlignment="1">
      <alignment horizontal="center"/>
    </xf>
    <xf numFmtId="0" fontId="0" fillId="6" borderId="54" xfId="0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1" xfId="0" applyBorder="1" applyAlignment="1">
      <alignment horizontal="center"/>
    </xf>
    <xf numFmtId="0" fontId="2" fillId="20" borderId="12" xfId="0" applyFont="1" applyFill="1" applyBorder="1" applyAlignment="1">
      <alignment horizontal="center"/>
    </xf>
    <xf numFmtId="0" fontId="2" fillId="20" borderId="16" xfId="0" applyFont="1" applyFill="1" applyBorder="1" applyAlignment="1">
      <alignment horizontal="center"/>
    </xf>
    <xf numFmtId="0" fontId="3" fillId="20" borderId="12" xfId="0" applyFont="1" applyFill="1" applyBorder="1" applyAlignment="1">
      <alignment horizontal="center"/>
    </xf>
    <xf numFmtId="0" fontId="3" fillId="20" borderId="3" xfId="0" applyFont="1" applyFill="1" applyBorder="1" applyAlignment="1">
      <alignment horizontal="center"/>
    </xf>
    <xf numFmtId="0" fontId="2" fillId="20" borderId="4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left"/>
    </xf>
    <xf numFmtId="0" fontId="2" fillId="3" borderId="0" xfId="0" applyFont="1" applyFill="1" applyAlignment="1">
      <alignment horizontal="left"/>
    </xf>
    <xf numFmtId="1" fontId="3" fillId="3" borderId="4" xfId="0" applyNumberFormat="1" applyFont="1" applyFill="1" applyBorder="1" applyAlignment="1">
      <alignment horizontal="center"/>
    </xf>
    <xf numFmtId="0" fontId="2" fillId="20" borderId="3" xfId="0" applyFont="1" applyFill="1" applyBorder="1" applyAlignment="1">
      <alignment horizontal="center"/>
    </xf>
    <xf numFmtId="0" fontId="2" fillId="14" borderId="8" xfId="0" applyFont="1" applyFill="1" applyBorder="1" applyAlignment="1">
      <alignment horizontal="center"/>
    </xf>
    <xf numFmtId="0" fontId="2" fillId="14" borderId="7" xfId="0" applyFont="1" applyFill="1" applyBorder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4" borderId="9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7" xfId="0" applyFont="1" applyFill="1" applyBorder="1" applyAlignment="1">
      <alignment horizontal="center"/>
    </xf>
    <xf numFmtId="0" fontId="2" fillId="16" borderId="9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18" borderId="6" xfId="0" applyFont="1" applyFill="1" applyBorder="1" applyAlignment="1">
      <alignment horizontal="center"/>
    </xf>
    <xf numFmtId="0" fontId="2" fillId="18" borderId="9" xfId="0" applyFont="1" applyFill="1" applyBorder="1" applyAlignment="1">
      <alignment horizontal="center"/>
    </xf>
    <xf numFmtId="0" fontId="2" fillId="18" borderId="7" xfId="0" applyFont="1" applyFill="1" applyBorder="1" applyAlignment="1">
      <alignment horizontal="center"/>
    </xf>
    <xf numFmtId="0" fontId="2" fillId="21" borderId="8" xfId="0" applyFont="1" applyFill="1" applyBorder="1" applyAlignment="1">
      <alignment horizontal="center"/>
    </xf>
    <xf numFmtId="0" fontId="2" fillId="21" borderId="7" xfId="0" applyFont="1" applyFill="1" applyBorder="1" applyAlignment="1">
      <alignment horizontal="center"/>
    </xf>
    <xf numFmtId="2" fontId="3" fillId="22" borderId="1" xfId="0" applyNumberFormat="1" applyFont="1" applyFill="1" applyBorder="1" applyAlignment="1">
      <alignment horizontal="center"/>
    </xf>
    <xf numFmtId="2" fontId="3" fillId="22" borderId="2" xfId="0" applyNumberFormat="1" applyFont="1" applyFill="1" applyBorder="1" applyAlignment="1">
      <alignment horizontal="center"/>
    </xf>
    <xf numFmtId="2" fontId="3" fillId="22" borderId="0" xfId="0" applyNumberFormat="1" applyFont="1" applyFill="1" applyAlignment="1">
      <alignment horizontal="center"/>
    </xf>
    <xf numFmtId="2" fontId="3" fillId="22" borderId="10" xfId="0" applyNumberFormat="1" applyFont="1" applyFill="1" applyBorder="1" applyAlignment="1">
      <alignment horizontal="center"/>
    </xf>
    <xf numFmtId="0" fontId="2" fillId="21" borderId="6" xfId="0" applyFont="1" applyFill="1" applyBorder="1" applyAlignment="1">
      <alignment horizontal="center"/>
    </xf>
    <xf numFmtId="0" fontId="2" fillId="21" borderId="9" xfId="0" applyFont="1" applyFill="1" applyBorder="1" applyAlignment="1">
      <alignment horizontal="center"/>
    </xf>
    <xf numFmtId="0" fontId="2" fillId="18" borderId="8" xfId="0" applyFont="1" applyFill="1" applyBorder="1" applyAlignment="1">
      <alignment horizontal="center"/>
    </xf>
    <xf numFmtId="0" fontId="3" fillId="22" borderId="1" xfId="0" applyFont="1" applyFill="1" applyBorder="1" applyAlignment="1">
      <alignment horizontal="center"/>
    </xf>
    <xf numFmtId="0" fontId="3" fillId="22" borderId="10" xfId="0" applyFont="1" applyFill="1" applyBorder="1" applyAlignment="1">
      <alignment horizontal="center"/>
    </xf>
    <xf numFmtId="0" fontId="3" fillId="22" borderId="2" xfId="0" applyFont="1" applyFill="1" applyBorder="1" applyAlignment="1">
      <alignment horizontal="center"/>
    </xf>
    <xf numFmtId="0" fontId="3" fillId="22" borderId="0" xfId="0" applyFont="1" applyFill="1" applyAlignment="1">
      <alignment horizontal="center"/>
    </xf>
    <xf numFmtId="0" fontId="3" fillId="23" borderId="0" xfId="0" applyFont="1" applyFill="1" applyAlignment="1">
      <alignment horizontal="center"/>
    </xf>
    <xf numFmtId="0" fontId="3" fillId="23" borderId="10" xfId="0" applyFont="1" applyFill="1" applyBorder="1" applyAlignment="1">
      <alignment horizontal="center"/>
    </xf>
    <xf numFmtId="0" fontId="3" fillId="23" borderId="1" xfId="0" applyFont="1" applyFill="1" applyBorder="1" applyAlignment="1">
      <alignment horizontal="center"/>
    </xf>
    <xf numFmtId="0" fontId="3" fillId="23" borderId="2" xfId="0" applyFont="1" applyFill="1" applyBorder="1" applyAlignment="1">
      <alignment horizontal="center"/>
    </xf>
    <xf numFmtId="0" fontId="3" fillId="17" borderId="1" xfId="0" applyFont="1" applyFill="1" applyBorder="1" applyAlignment="1">
      <alignment horizontal="center"/>
    </xf>
    <xf numFmtId="0" fontId="3" fillId="17" borderId="10" xfId="0" applyFont="1" applyFill="1" applyBorder="1" applyAlignment="1">
      <alignment horizontal="center"/>
    </xf>
    <xf numFmtId="0" fontId="3" fillId="17" borderId="2" xfId="0" applyFont="1" applyFill="1" applyBorder="1" applyAlignment="1">
      <alignment horizontal="center"/>
    </xf>
    <xf numFmtId="0" fontId="3" fillId="17" borderId="0" xfId="0" applyFont="1" applyFill="1" applyAlignment="1">
      <alignment horizontal="center"/>
    </xf>
    <xf numFmtId="0" fontId="3" fillId="24" borderId="0" xfId="0" applyFont="1" applyFill="1" applyAlignment="1">
      <alignment horizontal="center"/>
    </xf>
    <xf numFmtId="0" fontId="3" fillId="24" borderId="10" xfId="0" applyFont="1" applyFill="1" applyBorder="1" applyAlignment="1">
      <alignment horizontal="center"/>
    </xf>
    <xf numFmtId="0" fontId="3" fillId="24" borderId="1" xfId="0" applyFont="1" applyFill="1" applyBorder="1" applyAlignment="1">
      <alignment horizontal="center"/>
    </xf>
    <xf numFmtId="0" fontId="3" fillId="24" borderId="2" xfId="0" applyFont="1" applyFill="1" applyBorder="1" applyAlignment="1">
      <alignment horizontal="center"/>
    </xf>
    <xf numFmtId="0" fontId="3" fillId="25" borderId="0" xfId="0" applyFont="1" applyFill="1" applyAlignment="1">
      <alignment horizontal="center"/>
    </xf>
    <xf numFmtId="0" fontId="3" fillId="25" borderId="10" xfId="0" applyFont="1" applyFill="1" applyBorder="1" applyAlignment="1">
      <alignment horizontal="center"/>
    </xf>
    <xf numFmtId="0" fontId="3" fillId="25" borderId="1" xfId="0" applyFont="1" applyFill="1" applyBorder="1" applyAlignment="1">
      <alignment horizontal="center"/>
    </xf>
    <xf numFmtId="0" fontId="3" fillId="25" borderId="2" xfId="0" applyFont="1" applyFill="1" applyBorder="1" applyAlignment="1">
      <alignment horizontal="center"/>
    </xf>
    <xf numFmtId="2" fontId="2" fillId="14" borderId="0" xfId="0" applyNumberFormat="1" applyFont="1" applyFill="1" applyAlignment="1">
      <alignment horizontal="center"/>
    </xf>
    <xf numFmtId="2" fontId="2" fillId="14" borderId="10" xfId="0" applyNumberFormat="1" applyFont="1" applyFill="1" applyBorder="1" applyAlignment="1">
      <alignment horizontal="center"/>
    </xf>
    <xf numFmtId="0" fontId="2" fillId="22" borderId="1" xfId="0" applyFont="1" applyFill="1" applyBorder="1" applyAlignment="1">
      <alignment horizontal="center"/>
    </xf>
    <xf numFmtId="0" fontId="2" fillId="22" borderId="10" xfId="0" applyFont="1" applyFill="1" applyBorder="1" applyAlignment="1">
      <alignment horizontal="center"/>
    </xf>
    <xf numFmtId="2" fontId="2" fillId="14" borderId="1" xfId="0" applyNumberFormat="1" applyFont="1" applyFill="1" applyBorder="1" applyAlignment="1">
      <alignment horizontal="center"/>
    </xf>
    <xf numFmtId="2" fontId="2" fillId="14" borderId="2" xfId="0" applyNumberFormat="1" applyFont="1" applyFill="1" applyBorder="1" applyAlignment="1">
      <alignment horizontal="center"/>
    </xf>
    <xf numFmtId="0" fontId="2" fillId="22" borderId="2" xfId="0" applyFont="1" applyFill="1" applyBorder="1" applyAlignment="1">
      <alignment horizontal="center"/>
    </xf>
    <xf numFmtId="2" fontId="2" fillId="16" borderId="0" xfId="0" applyNumberFormat="1" applyFont="1" applyFill="1" applyAlignment="1">
      <alignment horizontal="center"/>
    </xf>
    <xf numFmtId="2" fontId="2" fillId="16" borderId="10" xfId="0" applyNumberFormat="1" applyFont="1" applyFill="1" applyBorder="1" applyAlignment="1">
      <alignment horizontal="center"/>
    </xf>
    <xf numFmtId="2" fontId="2" fillId="16" borderId="2" xfId="0" applyNumberFormat="1" applyFont="1" applyFill="1" applyBorder="1" applyAlignment="1">
      <alignment horizontal="center"/>
    </xf>
    <xf numFmtId="2" fontId="2" fillId="3" borderId="0" xfId="0" applyNumberFormat="1" applyFont="1" applyFill="1" applyAlignment="1">
      <alignment horizontal="center"/>
    </xf>
    <xf numFmtId="2" fontId="2" fillId="3" borderId="10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2" fontId="2" fillId="2" borderId="0" xfId="0" applyNumberFormat="1" applyFont="1" applyFill="1" applyAlignment="1">
      <alignment horizontal="center"/>
    </xf>
    <xf numFmtId="2" fontId="2" fillId="2" borderId="10" xfId="0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2" fontId="2" fillId="2" borderId="2" xfId="0" applyNumberFormat="1" applyFont="1" applyFill="1" applyBorder="1" applyAlignment="1">
      <alignment horizontal="center"/>
    </xf>
    <xf numFmtId="2" fontId="2" fillId="18" borderId="0" xfId="0" applyNumberFormat="1" applyFont="1" applyFill="1" applyAlignment="1">
      <alignment horizontal="center"/>
    </xf>
    <xf numFmtId="2" fontId="2" fillId="18" borderId="10" xfId="0" applyNumberFormat="1" applyFont="1" applyFill="1" applyBorder="1" applyAlignment="1">
      <alignment horizontal="center"/>
    </xf>
    <xf numFmtId="0" fontId="3" fillId="18" borderId="1" xfId="0" applyFont="1" applyFill="1" applyBorder="1" applyAlignment="1">
      <alignment horizontal="center"/>
    </xf>
    <xf numFmtId="0" fontId="3" fillId="18" borderId="10" xfId="0" applyFont="1" applyFill="1" applyBorder="1" applyAlignment="1">
      <alignment horizontal="center"/>
    </xf>
    <xf numFmtId="2" fontId="2" fillId="18" borderId="1" xfId="0" applyNumberFormat="1" applyFont="1" applyFill="1" applyBorder="1" applyAlignment="1">
      <alignment horizontal="center"/>
    </xf>
    <xf numFmtId="2" fontId="2" fillId="18" borderId="2" xfId="0" applyNumberFormat="1" applyFont="1" applyFill="1" applyBorder="1" applyAlignment="1">
      <alignment horizontal="center"/>
    </xf>
    <xf numFmtId="2" fontId="2" fillId="21" borderId="0" xfId="0" applyNumberFormat="1" applyFont="1" applyFill="1" applyAlignment="1">
      <alignment horizontal="center"/>
    </xf>
    <xf numFmtId="2" fontId="2" fillId="21" borderId="10" xfId="0" applyNumberFormat="1" applyFont="1" applyFill="1" applyBorder="1" applyAlignment="1">
      <alignment horizontal="center"/>
    </xf>
    <xf numFmtId="0" fontId="3" fillId="21" borderId="1" xfId="0" applyFont="1" applyFill="1" applyBorder="1" applyAlignment="1">
      <alignment horizontal="center"/>
    </xf>
    <xf numFmtId="0" fontId="3" fillId="21" borderId="10" xfId="0" applyFont="1" applyFill="1" applyBorder="1" applyAlignment="1">
      <alignment horizontal="center"/>
    </xf>
    <xf numFmtId="2" fontId="2" fillId="21" borderId="1" xfId="0" applyNumberFormat="1" applyFont="1" applyFill="1" applyBorder="1" applyAlignment="1">
      <alignment horizontal="center"/>
    </xf>
    <xf numFmtId="2" fontId="2" fillId="21" borderId="2" xfId="0" applyNumberFormat="1" applyFont="1" applyFill="1" applyBorder="1" applyAlignment="1">
      <alignment horizontal="center"/>
    </xf>
    <xf numFmtId="0" fontId="3" fillId="22" borderId="12" xfId="0" applyFont="1" applyFill="1" applyBorder="1" applyAlignment="1">
      <alignment horizontal="center"/>
    </xf>
    <xf numFmtId="0" fontId="3" fillId="22" borderId="3" xfId="0" applyFont="1" applyFill="1" applyBorder="1" applyAlignment="1">
      <alignment horizontal="center"/>
    </xf>
    <xf numFmtId="0" fontId="3" fillId="22" borderId="4" xfId="0" applyFont="1" applyFill="1" applyBorder="1" applyAlignment="1">
      <alignment horizontal="center"/>
    </xf>
    <xf numFmtId="0" fontId="3" fillId="22" borderId="16" xfId="0" applyFont="1" applyFill="1" applyBorder="1" applyAlignment="1">
      <alignment horizontal="center"/>
    </xf>
    <xf numFmtId="0" fontId="3" fillId="23" borderId="4" xfId="0" applyFont="1" applyFill="1" applyBorder="1" applyAlignment="1">
      <alignment horizontal="center"/>
    </xf>
    <xf numFmtId="0" fontId="3" fillId="23" borderId="16" xfId="0" applyFont="1" applyFill="1" applyBorder="1" applyAlignment="1">
      <alignment horizontal="center"/>
    </xf>
    <xf numFmtId="0" fontId="3" fillId="23" borderId="12" xfId="0" applyFont="1" applyFill="1" applyBorder="1" applyAlignment="1">
      <alignment horizontal="center"/>
    </xf>
    <xf numFmtId="0" fontId="3" fillId="23" borderId="3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23" borderId="4" xfId="0" applyFont="1" applyFill="1" applyBorder="1" applyAlignment="1">
      <alignment horizontal="center"/>
    </xf>
    <xf numFmtId="0" fontId="2" fillId="23" borderId="16" xfId="0" applyFont="1" applyFill="1" applyBorder="1" applyAlignment="1">
      <alignment horizontal="center"/>
    </xf>
    <xf numFmtId="0" fontId="3" fillId="17" borderId="4" xfId="0" applyFont="1" applyFill="1" applyBorder="1" applyAlignment="1">
      <alignment horizontal="center"/>
    </xf>
    <xf numFmtId="0" fontId="3" fillId="17" borderId="16" xfId="0" applyFont="1" applyFill="1" applyBorder="1" applyAlignment="1">
      <alignment horizontal="center"/>
    </xf>
    <xf numFmtId="0" fontId="3" fillId="17" borderId="12" xfId="0" applyFont="1" applyFill="1" applyBorder="1" applyAlignment="1">
      <alignment horizontal="center"/>
    </xf>
    <xf numFmtId="0" fontId="3" fillId="17" borderId="3" xfId="0" applyFont="1" applyFill="1" applyBorder="1" applyAlignment="1">
      <alignment horizontal="center"/>
    </xf>
    <xf numFmtId="0" fontId="3" fillId="24" borderId="4" xfId="0" applyFont="1" applyFill="1" applyBorder="1" applyAlignment="1">
      <alignment horizontal="center"/>
    </xf>
    <xf numFmtId="0" fontId="3" fillId="24" borderId="16" xfId="0" applyFont="1" applyFill="1" applyBorder="1" applyAlignment="1">
      <alignment horizontal="center"/>
    </xf>
    <xf numFmtId="0" fontId="3" fillId="24" borderId="12" xfId="0" applyFont="1" applyFill="1" applyBorder="1" applyAlignment="1">
      <alignment horizontal="center"/>
    </xf>
    <xf numFmtId="0" fontId="3" fillId="24" borderId="3" xfId="0" applyFont="1" applyFill="1" applyBorder="1" applyAlignment="1">
      <alignment horizontal="center"/>
    </xf>
    <xf numFmtId="0" fontId="3" fillId="25" borderId="4" xfId="0" applyFont="1" applyFill="1" applyBorder="1" applyAlignment="1">
      <alignment horizontal="center"/>
    </xf>
    <xf numFmtId="0" fontId="3" fillId="25" borderId="16" xfId="0" applyFont="1" applyFill="1" applyBorder="1" applyAlignment="1">
      <alignment horizontal="center"/>
    </xf>
    <xf numFmtId="0" fontId="3" fillId="25" borderId="12" xfId="0" applyFont="1" applyFill="1" applyBorder="1" applyAlignment="1">
      <alignment horizontal="center"/>
    </xf>
    <xf numFmtId="0" fontId="3" fillId="25" borderId="3" xfId="0" applyFont="1" applyFill="1" applyBorder="1" applyAlignment="1">
      <alignment horizontal="center"/>
    </xf>
    <xf numFmtId="2" fontId="2" fillId="28" borderId="4" xfId="0" applyNumberFormat="1" applyFont="1" applyFill="1" applyBorder="1" applyAlignment="1">
      <alignment horizontal="center"/>
    </xf>
    <xf numFmtId="2" fontId="2" fillId="28" borderId="16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2" fontId="2" fillId="4" borderId="10" xfId="0" applyNumberFormat="1" applyFont="1" applyFill="1" applyBorder="1" applyAlignment="1">
      <alignment horizontal="center"/>
    </xf>
    <xf numFmtId="2" fontId="2" fillId="28" borderId="12" xfId="0" applyNumberFormat="1" applyFont="1" applyFill="1" applyBorder="1" applyAlignment="1">
      <alignment horizontal="center"/>
    </xf>
    <xf numFmtId="2" fontId="2" fillId="28" borderId="3" xfId="0" applyNumberFormat="1" applyFont="1" applyFill="1" applyBorder="1" applyAlignment="1">
      <alignment horizontal="center"/>
    </xf>
    <xf numFmtId="2" fontId="2" fillId="28" borderId="17" xfId="0" applyNumberFormat="1" applyFont="1" applyFill="1" applyBorder="1" applyAlignment="1">
      <alignment horizontal="center"/>
    </xf>
    <xf numFmtId="0" fontId="2" fillId="7" borderId="1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2" fontId="2" fillId="7" borderId="12" xfId="0" applyNumberFormat="1" applyFont="1" applyFill="1" applyBorder="1" applyAlignment="1">
      <alignment horizontal="center"/>
    </xf>
    <xf numFmtId="2" fontId="2" fillId="7" borderId="16" xfId="0" applyNumberFormat="1" applyFont="1" applyFill="1" applyBorder="1" applyAlignment="1">
      <alignment horizontal="center"/>
    </xf>
    <xf numFmtId="2" fontId="2" fillId="4" borderId="17" xfId="0" applyNumberFormat="1" applyFont="1" applyFill="1" applyBorder="1" applyAlignment="1">
      <alignment horizontal="center"/>
    </xf>
    <xf numFmtId="2" fontId="2" fillId="4" borderId="16" xfId="0" applyNumberFormat="1" applyFont="1" applyFill="1" applyBorder="1" applyAlignment="1">
      <alignment horizontal="center"/>
    </xf>
    <xf numFmtId="2" fontId="2" fillId="28" borderId="1" xfId="0" applyNumberFormat="1" applyFont="1" applyFill="1" applyBorder="1" applyAlignment="1">
      <alignment horizontal="center"/>
    </xf>
    <xf numFmtId="2" fontId="2" fillId="28" borderId="10" xfId="0" applyNumberFormat="1" applyFont="1" applyFill="1" applyBorder="1" applyAlignment="1">
      <alignment horizontal="center"/>
    </xf>
    <xf numFmtId="2" fontId="2" fillId="4" borderId="12" xfId="0" applyNumberFormat="1" applyFont="1" applyFill="1" applyBorder="1" applyAlignment="1">
      <alignment horizontal="center"/>
    </xf>
    <xf numFmtId="2" fontId="2" fillId="4" borderId="3" xfId="0" applyNumberFormat="1" applyFont="1" applyFill="1" applyBorder="1" applyAlignment="1">
      <alignment horizontal="center"/>
    </xf>
    <xf numFmtId="164" fontId="2" fillId="28" borderId="4" xfId="0" applyNumberFormat="1" applyFont="1" applyFill="1" applyBorder="1" applyAlignment="1">
      <alignment horizontal="center"/>
    </xf>
    <xf numFmtId="164" fontId="2" fillId="28" borderId="16" xfId="0" applyNumberFormat="1" applyFont="1" applyFill="1" applyBorder="1" applyAlignment="1">
      <alignment horizontal="center"/>
    </xf>
    <xf numFmtId="1" fontId="2" fillId="7" borderId="12" xfId="0" applyNumberFormat="1" applyFont="1" applyFill="1" applyBorder="1" applyAlignment="1">
      <alignment horizontal="center"/>
    </xf>
    <xf numFmtId="1" fontId="2" fillId="7" borderId="16" xfId="0" applyNumberFormat="1" applyFont="1" applyFill="1" applyBorder="1" applyAlignment="1">
      <alignment horizontal="center"/>
    </xf>
    <xf numFmtId="2" fontId="2" fillId="3" borderId="17" xfId="0" applyNumberFormat="1" applyFont="1" applyFill="1" applyBorder="1" applyAlignment="1">
      <alignment horizontal="center"/>
    </xf>
    <xf numFmtId="2" fontId="2" fillId="3" borderId="16" xfId="0" applyNumberFormat="1" applyFont="1" applyFill="1" applyBorder="1" applyAlignment="1">
      <alignment horizontal="center"/>
    </xf>
    <xf numFmtId="0" fontId="12" fillId="22" borderId="5" xfId="0" applyFont="1" applyFill="1" applyBorder="1" applyAlignment="1">
      <alignment horizontal="center" wrapText="1"/>
    </xf>
    <xf numFmtId="0" fontId="12" fillId="22" borderId="16" xfId="0" applyFont="1" applyFill="1" applyBorder="1" applyAlignment="1">
      <alignment horizontal="center" wrapText="1"/>
    </xf>
    <xf numFmtId="0" fontId="12" fillId="22" borderId="11" xfId="0" applyFont="1" applyFill="1" applyBorder="1" applyAlignment="1">
      <alignment horizontal="center" wrapText="1"/>
    </xf>
    <xf numFmtId="0" fontId="12" fillId="0" borderId="14" xfId="0" applyFont="1" applyBorder="1" applyAlignment="1">
      <alignment horizontal="center"/>
    </xf>
    <xf numFmtId="0" fontId="12" fillId="0" borderId="48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8" xfId="0" applyBorder="1" applyAlignment="1">
      <alignment horizontal="center"/>
    </xf>
    <xf numFmtId="0" fontId="3" fillId="7" borderId="2" xfId="0" applyFont="1" applyFill="1" applyBorder="1" applyAlignment="1">
      <alignment horizontal="center" vertical="center" wrapText="1"/>
    </xf>
    <xf numFmtId="0" fontId="15" fillId="30" borderId="0" xfId="0" applyFont="1" applyFill="1" applyAlignment="1">
      <alignment horizontal="center"/>
    </xf>
    <xf numFmtId="0" fontId="12" fillId="7" borderId="12" xfId="0" applyFont="1" applyFill="1" applyBorder="1" applyAlignment="1">
      <alignment horizontal="center"/>
    </xf>
    <xf numFmtId="0" fontId="12" fillId="7" borderId="16" xfId="0" applyFont="1" applyFill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2" fillId="33" borderId="14" xfId="0" applyFont="1" applyFill="1" applyBorder="1" applyAlignment="1">
      <alignment horizontal="center" vertical="center"/>
    </xf>
    <xf numFmtId="0" fontId="12" fillId="33" borderId="50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7" borderId="14" xfId="0" applyFont="1" applyFill="1" applyBorder="1" applyAlignment="1">
      <alignment horizontal="center" vertical="center"/>
    </xf>
    <xf numFmtId="0" fontId="12" fillId="7" borderId="50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2" fillId="30" borderId="14" xfId="0" applyFont="1" applyFill="1" applyBorder="1" applyAlignment="1">
      <alignment horizontal="center" vertical="center"/>
    </xf>
    <xf numFmtId="0" fontId="12" fillId="30" borderId="50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8" fillId="39" borderId="76" xfId="0" applyFont="1" applyFill="1" applyBorder="1" applyAlignment="1">
      <alignment horizontal="center" vertical="center" wrapText="1"/>
    </xf>
    <xf numFmtId="0" fontId="28" fillId="39" borderId="73" xfId="0" applyFont="1" applyFill="1" applyBorder="1" applyAlignment="1">
      <alignment horizontal="center" vertical="center" wrapText="1"/>
    </xf>
    <xf numFmtId="0" fontId="28" fillId="39" borderId="77" xfId="0" applyFont="1" applyFill="1" applyBorder="1" applyAlignment="1">
      <alignment horizontal="center" vertical="center" wrapText="1"/>
    </xf>
    <xf numFmtId="0" fontId="28" fillId="39" borderId="74" xfId="0" applyFont="1" applyFill="1" applyBorder="1" applyAlignment="1">
      <alignment horizontal="center" vertical="center" wrapText="1"/>
    </xf>
    <xf numFmtId="0" fontId="0" fillId="0" borderId="78" xfId="0" applyBorder="1" applyAlignment="1">
      <alignment horizontal="center" vertical="center"/>
    </xf>
    <xf numFmtId="0" fontId="0" fillId="0" borderId="50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5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05945685360758"/>
          <c:y val="0.13546144569766616"/>
          <c:w val="0.80918720874176442"/>
          <c:h val="0.65507010947955835"/>
        </c:manualLayout>
      </c:layout>
      <c:scatterChart>
        <c:scatterStyle val="lineMarker"/>
        <c:varyColors val="0"/>
        <c:ser>
          <c:idx val="0"/>
          <c:order val="0"/>
          <c:tx>
            <c:v>Biogas production </c:v>
          </c:tx>
          <c:spPr>
            <a:ln w="19050" cap="rnd">
              <a:solidFill>
                <a:schemeClr val="tx2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'[1]Data from CCT'!$E$2:$CR$2</c:f>
              <c:numCache>
                <c:formatCode>General</c:formatCode>
                <c:ptCount val="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</c:numCache>
            </c:numRef>
          </c:xVal>
          <c:yVal>
            <c:numRef>
              <c:f>'[1]Data from CCT'!$E$3:$CR$3</c:f>
              <c:numCache>
                <c:formatCode>General</c:formatCode>
                <c:ptCount val="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79-8440-B673-C7BFC8FCE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2245840"/>
        <c:axId val="1405568144"/>
      </c:scatterChart>
      <c:scatterChart>
        <c:scatterStyle val="lineMarker"/>
        <c:varyColors val="0"/>
        <c:ser>
          <c:idx val="1"/>
          <c:order val="1"/>
          <c:tx>
            <c:v>HRT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'[1]Data from CCT'!$E$2:$CR$2</c:f>
              <c:numCache>
                <c:formatCode>General</c:formatCode>
                <c:ptCount val="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</c:numCache>
            </c:numRef>
          </c:xVal>
          <c:yVal>
            <c:numRef>
              <c:f>'[1]Data from CCT'!$E$4:$CR$4</c:f>
              <c:numCache>
                <c:formatCode>General</c:formatCode>
                <c:ptCount val="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79-8440-B673-C7BFC8FCE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886384"/>
        <c:axId val="1377986256"/>
      </c:scatterChart>
      <c:valAx>
        <c:axId val="1402245840"/>
        <c:scaling>
          <c:orientation val="minMax"/>
          <c:max val="10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Operating</a:t>
                </a:r>
                <a:r>
                  <a:rPr lang="en-US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time (Day)</a:t>
                </a:r>
                <a:endParaRPr lang="en-US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568144"/>
        <c:crosses val="autoZero"/>
        <c:crossBetween val="midCat"/>
        <c:majorUnit val="5"/>
      </c:valAx>
      <c:valAx>
        <c:axId val="14055681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Biogas</a:t>
                </a:r>
                <a:r>
                  <a:rPr lang="en-US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produced (mL)</a:t>
                </a:r>
                <a:endParaRPr lang="en-US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245840"/>
        <c:crosses val="autoZero"/>
        <c:crossBetween val="midCat"/>
      </c:valAx>
      <c:valAx>
        <c:axId val="137798625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HRT</a:t>
                </a:r>
                <a:r>
                  <a:rPr lang="en-US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(Day)</a:t>
                </a:r>
                <a:endParaRPr lang="en-US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886384"/>
        <c:crosses val="max"/>
        <c:crossBetween val="midCat"/>
      </c:valAx>
      <c:valAx>
        <c:axId val="14078863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77986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0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1620459207305"/>
          <c:y val="0.1335676625659051"/>
          <c:w val="0.77483557202408526"/>
          <c:h val="0.6359802388497573"/>
        </c:manualLayout>
      </c:layout>
      <c:scatterChart>
        <c:scatterStyle val="lineMarker"/>
        <c:varyColors val="0"/>
        <c:ser>
          <c:idx val="0"/>
          <c:order val="0"/>
          <c:tx>
            <c:v>COD inlet </c:v>
          </c:tx>
          <c:spPr>
            <a:ln w="19050" cap="rnd">
              <a:solidFill>
                <a:schemeClr val="tx2">
                  <a:lumMod val="40000"/>
                  <a:lumOff val="60000"/>
                </a:schemeClr>
              </a:solidFill>
              <a:prstDash val="sysDot"/>
              <a:round/>
            </a:ln>
            <a:effectLst/>
          </c:spPr>
          <c:marker>
            <c:symbol val="triang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'[1]Data from CCT'!$E$7:$AH$7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xVal>
          <c:yVal>
            <c:numRef>
              <c:f>'[1]Data from CCT'!$E$10:$AH$10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D5-C240-8C88-B857F49808B7}"/>
            </c:ext>
          </c:extLst>
        </c:ser>
        <c:ser>
          <c:idx val="1"/>
          <c:order val="1"/>
          <c:tx>
            <c:v>COD outlet 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'[1]Data from CCT'!$E$7:$AH$7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xVal>
          <c:yVal>
            <c:numRef>
              <c:f>'[1]Data from CCT'!$E$11:$AH$11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D5-C240-8C88-B857F4980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430960"/>
        <c:axId val="1434766112"/>
      </c:scatterChart>
      <c:scatterChart>
        <c:scatterStyle val="lineMarker"/>
        <c:varyColors val="0"/>
        <c:ser>
          <c:idx val="2"/>
          <c:order val="2"/>
          <c:tx>
            <c:v>COD removal %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'[1]Data from CCT'!$E$7:$AH$7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xVal>
          <c:yVal>
            <c:numRef>
              <c:f>'[1]Data from CCT'!$E$12:$AH$12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4D5-C240-8C88-B857F4980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9383280"/>
        <c:axId val="1437531424"/>
      </c:scatterChart>
      <c:valAx>
        <c:axId val="1435430960"/>
        <c:scaling>
          <c:orientation val="minMax"/>
          <c:max val="10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Operating</a:t>
                </a:r>
                <a:r>
                  <a:rPr lang="en-US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time (Day)</a:t>
                </a:r>
                <a:endParaRPr lang="en-US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766112"/>
        <c:crosses val="autoZero"/>
        <c:crossBetween val="midCat"/>
        <c:majorUnit val="7"/>
        <c:minorUnit val="1"/>
      </c:valAx>
      <c:valAx>
        <c:axId val="14347661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Chemical</a:t>
                </a:r>
                <a:r>
                  <a:rPr lang="en-US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oxygen demand (COD)</a:t>
                </a:r>
                <a:endParaRPr lang="en-US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430960"/>
        <c:crosses val="autoZero"/>
        <c:crossBetween val="midCat"/>
      </c:valAx>
      <c:valAx>
        <c:axId val="1437531424"/>
        <c:scaling>
          <c:orientation val="minMax"/>
          <c:max val="100"/>
          <c:min val="6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COD</a:t>
                </a:r>
                <a:r>
                  <a:rPr lang="en-US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removal percentage (%)</a:t>
                </a:r>
                <a:endParaRPr lang="en-US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383280"/>
        <c:crosses val="max"/>
        <c:crossBetween val="midCat"/>
      </c:valAx>
      <c:valAx>
        <c:axId val="14393832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37531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67583954469757"/>
          <c:y val="0.14366729678638943"/>
          <c:w val="0.80340183349771221"/>
          <c:h val="0.60845511513329265"/>
        </c:manualLayout>
      </c:layout>
      <c:scatterChart>
        <c:scatterStyle val="lineMarker"/>
        <c:varyColors val="0"/>
        <c:ser>
          <c:idx val="0"/>
          <c:order val="0"/>
          <c:tx>
            <c:v>COD removal </c:v>
          </c:tx>
          <c:spPr>
            <a:ln w="19050" cap="rnd">
              <a:solidFill>
                <a:schemeClr val="tx2">
                  <a:lumMod val="40000"/>
                  <a:lumOff val="6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'[1]Data from CCT'!$E$7:$AH$7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xVal>
          <c:yVal>
            <c:numRef>
              <c:f>'[1]Data from CCT'!$E$12:$AH$12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EF-1348-82CA-C38AB45F356E}"/>
            </c:ext>
          </c:extLst>
        </c:ser>
        <c:ser>
          <c:idx val="1"/>
          <c:order val="1"/>
          <c:tx>
            <c:v>BOD5 removal 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'[1]Data from CCT'!$E$7:$AH$7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xVal>
          <c:yVal>
            <c:numRef>
              <c:f>'[1]Data from CCT'!$E$16:$AH$16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EF-1348-82CA-C38AB45F356E}"/>
            </c:ext>
          </c:extLst>
        </c:ser>
        <c:ser>
          <c:idx val="2"/>
          <c:order val="2"/>
          <c:tx>
            <c:v>FOG removal </c:v>
          </c:tx>
          <c:spPr>
            <a:ln w="19050" cap="rnd">
              <a:solidFill>
                <a:schemeClr val="accent3">
                  <a:lumMod val="40000"/>
                  <a:lumOff val="60000"/>
                </a:schemeClr>
              </a:solidFill>
              <a:prstDash val="sysDot"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'[1]Data from CCT'!$E$7:$AH$7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xVal>
          <c:yVal>
            <c:numRef>
              <c:f>'[1]Data from CCT'!$E$20:$AH$20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EF-1348-82CA-C38AB45F3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8584480"/>
        <c:axId val="1441103056"/>
      </c:scatterChart>
      <c:scatterChart>
        <c:scatterStyle val="lineMarker"/>
        <c:varyColors val="0"/>
        <c:ser>
          <c:idx val="3"/>
          <c:order val="3"/>
          <c:tx>
            <c:v>OLR 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'[1]Data from CCT'!$E$7:$AH$7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xVal>
          <c:yVal>
            <c:numRef>
              <c:f>'[1]Data from CCT'!$E$31:$AH$31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EF-1348-82CA-C38AB45F3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1159264"/>
        <c:axId val="1438167616"/>
      </c:scatterChart>
      <c:valAx>
        <c:axId val="1378584480"/>
        <c:scaling>
          <c:orientation val="minMax"/>
          <c:max val="10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Operating</a:t>
                </a:r>
                <a:r>
                  <a:rPr lang="en-US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time (Day)</a:t>
                </a:r>
                <a:endParaRPr lang="en-US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103056"/>
        <c:crosses val="autoZero"/>
        <c:crossBetween val="midCat"/>
        <c:majorUnit val="7"/>
        <c:minorUnit val="1"/>
      </c:valAx>
      <c:valAx>
        <c:axId val="1441103056"/>
        <c:scaling>
          <c:orientation val="minMax"/>
          <c:max val="100"/>
          <c:min val="6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Removal</a:t>
                </a:r>
                <a:r>
                  <a:rPr lang="en-US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(%)</a:t>
                </a:r>
                <a:endParaRPr lang="en-US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584480"/>
        <c:crosses val="autoZero"/>
        <c:crossBetween val="midCat"/>
      </c:valAx>
      <c:valAx>
        <c:axId val="143816761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Organic</a:t>
                </a:r>
                <a:r>
                  <a:rPr lang="en-US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loading rate (gCOD/L.day)</a:t>
                </a:r>
                <a:endParaRPr lang="en-US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159264"/>
        <c:crosses val="max"/>
        <c:crossBetween val="midCat"/>
      </c:valAx>
      <c:valAx>
        <c:axId val="14411592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38167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1"/>
          <c:tx>
            <c:v>Effluent VFA concentration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'[1]Data from CCT'!$E$7:$AH$7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xVal>
          <c:yVal>
            <c:numRef>
              <c:f>'[1]Data from CCT'!$E$23:$AH$23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A2-234D-9996-96F408EAF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737504"/>
        <c:axId val="1435557984"/>
      </c:scatterChart>
      <c:scatterChart>
        <c:scatterStyle val="lineMarker"/>
        <c:varyColors val="0"/>
        <c:ser>
          <c:idx val="0"/>
          <c:order val="0"/>
          <c:tx>
            <c:v>VFA/Alkalinity 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'[1]Data from CCT'!$E$7:$AH$7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xVal>
          <c:yVal>
            <c:numRef>
              <c:f>'[1]Data from CCT'!$E$28:$AH$28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A2-234D-9996-96F408EAF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1132560"/>
        <c:axId val="1437821840"/>
      </c:scatterChart>
      <c:valAx>
        <c:axId val="1438737504"/>
        <c:scaling>
          <c:orientation val="minMax"/>
          <c:max val="10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Operating</a:t>
                </a:r>
                <a:r>
                  <a:rPr lang="en-US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time (Day)</a:t>
                </a:r>
                <a:endParaRPr lang="en-US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557984"/>
        <c:crosses val="autoZero"/>
        <c:crossBetween val="midCat"/>
        <c:majorUnit val="7"/>
        <c:minorUnit val="1"/>
      </c:valAx>
      <c:valAx>
        <c:axId val="14355579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Effluent</a:t>
                </a:r>
                <a:r>
                  <a:rPr lang="en-US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VFA concentration (mg/L)</a:t>
                </a:r>
                <a:endParaRPr lang="en-US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737504"/>
        <c:crosses val="autoZero"/>
        <c:crossBetween val="midCat"/>
      </c:valAx>
      <c:valAx>
        <c:axId val="14378218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VFA/Alkalinity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132560"/>
        <c:crosses val="max"/>
        <c:crossBetween val="midCat"/>
      </c:valAx>
      <c:valAx>
        <c:axId val="14411325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3782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066169360408893E-2"/>
          <c:y val="0.15384615384615385"/>
          <c:w val="0.79694432932725512"/>
          <c:h val="0.6109145972138097"/>
        </c:manualLayout>
      </c:layout>
      <c:scatterChart>
        <c:scatterStyle val="lineMarker"/>
        <c:varyColors val="0"/>
        <c:ser>
          <c:idx val="0"/>
          <c:order val="0"/>
          <c:tx>
            <c:v>HRT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'[1]Data from CCT'!$E$7:$AH$7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xVal>
          <c:yVal>
            <c:numRef>
              <c:f>'[1]Data from CCT'!$E$29:$AH$29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BA-154A-A858-1D6B1489A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17616"/>
        <c:axId val="73493936"/>
      </c:scatterChart>
      <c:scatterChart>
        <c:scatterStyle val="lineMarker"/>
        <c:varyColors val="0"/>
        <c:ser>
          <c:idx val="1"/>
          <c:order val="1"/>
          <c:tx>
            <c:v>ORT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'[1]Data from CCT'!$E$7:$AH$7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xVal>
          <c:yVal>
            <c:numRef>
              <c:f>'[1]Data from CCT'!$E$31:$AH$31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BA-154A-A858-1D6B1489A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676480"/>
        <c:axId val="75071872"/>
      </c:scatterChart>
      <c:valAx>
        <c:axId val="73517616"/>
        <c:scaling>
          <c:orientation val="minMax"/>
          <c:max val="10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Operating</a:t>
                </a:r>
                <a:r>
                  <a:rPr lang="en-US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time (Day)</a:t>
                </a:r>
                <a:endParaRPr 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93936"/>
        <c:crosses val="autoZero"/>
        <c:crossBetween val="midCat"/>
        <c:majorUnit val="7"/>
      </c:valAx>
      <c:valAx>
        <c:axId val="734939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Hydraulic</a:t>
                </a:r>
                <a:r>
                  <a:rPr lang="en-US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retention time (hours)</a:t>
                </a:r>
                <a:endParaRPr 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17616"/>
        <c:crosses val="autoZero"/>
        <c:crossBetween val="midCat"/>
      </c:valAx>
      <c:valAx>
        <c:axId val="7507187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Organic</a:t>
                </a:r>
                <a:r>
                  <a:rPr lang="en-US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loading rate (gCOD/L.day)</a:t>
                </a:r>
                <a:endParaRPr 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94592174333471479"/>
              <c:y val="0.219077693959583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76480"/>
        <c:crosses val="max"/>
        <c:crossBetween val="midCat"/>
      </c:valAx>
      <c:valAx>
        <c:axId val="726764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5071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DEGBR!$E$2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DEGBR!$F$1:$CR$1</c:f>
              <c:numCache>
                <c:formatCode>General</c:formatCode>
                <c:ptCount val="91"/>
              </c:numCache>
            </c:numRef>
          </c:xVal>
          <c:yVal>
            <c:numRef>
              <c:f>DEGBR!$F$2:$CR$2</c:f>
              <c:numCache>
                <c:formatCode>General</c:formatCode>
                <c:ptCount val="91"/>
                <c:pt idx="1">
                  <c:v>3</c:v>
                </c:pt>
                <c:pt idx="3">
                  <c:v>5</c:v>
                </c:pt>
                <c:pt idx="5">
                  <c:v>8</c:v>
                </c:pt>
                <c:pt idx="7">
                  <c:v>10</c:v>
                </c:pt>
                <c:pt idx="9">
                  <c:v>12</c:v>
                </c:pt>
                <c:pt idx="11">
                  <c:v>15</c:v>
                </c:pt>
                <c:pt idx="13">
                  <c:v>17</c:v>
                </c:pt>
                <c:pt idx="15">
                  <c:v>19</c:v>
                </c:pt>
                <c:pt idx="17">
                  <c:v>22</c:v>
                </c:pt>
                <c:pt idx="19">
                  <c:v>24</c:v>
                </c:pt>
                <c:pt idx="21">
                  <c:v>26</c:v>
                </c:pt>
                <c:pt idx="23">
                  <c:v>29</c:v>
                </c:pt>
                <c:pt idx="25">
                  <c:v>31</c:v>
                </c:pt>
                <c:pt idx="27">
                  <c:v>34</c:v>
                </c:pt>
                <c:pt idx="29">
                  <c:v>37</c:v>
                </c:pt>
                <c:pt idx="31">
                  <c:v>39</c:v>
                </c:pt>
                <c:pt idx="33">
                  <c:v>41</c:v>
                </c:pt>
                <c:pt idx="35">
                  <c:v>43</c:v>
                </c:pt>
                <c:pt idx="37">
                  <c:v>45</c:v>
                </c:pt>
                <c:pt idx="39">
                  <c:v>47</c:v>
                </c:pt>
                <c:pt idx="41">
                  <c:v>49</c:v>
                </c:pt>
                <c:pt idx="43">
                  <c:v>51</c:v>
                </c:pt>
                <c:pt idx="45">
                  <c:v>53</c:v>
                </c:pt>
                <c:pt idx="47">
                  <c:v>55</c:v>
                </c:pt>
                <c:pt idx="49">
                  <c:v>57</c:v>
                </c:pt>
                <c:pt idx="51">
                  <c:v>59</c:v>
                </c:pt>
                <c:pt idx="53">
                  <c:v>61</c:v>
                </c:pt>
                <c:pt idx="55">
                  <c:v>63</c:v>
                </c:pt>
                <c:pt idx="57">
                  <c:v>66</c:v>
                </c:pt>
                <c:pt idx="59">
                  <c:v>68</c:v>
                </c:pt>
                <c:pt idx="61">
                  <c:v>70</c:v>
                </c:pt>
                <c:pt idx="63">
                  <c:v>73</c:v>
                </c:pt>
                <c:pt idx="65">
                  <c:v>75</c:v>
                </c:pt>
                <c:pt idx="67">
                  <c:v>77</c:v>
                </c:pt>
                <c:pt idx="69">
                  <c:v>80</c:v>
                </c:pt>
                <c:pt idx="71">
                  <c:v>82</c:v>
                </c:pt>
                <c:pt idx="73">
                  <c:v>85</c:v>
                </c:pt>
                <c:pt idx="75">
                  <c:v>88</c:v>
                </c:pt>
                <c:pt idx="77">
                  <c:v>90</c:v>
                </c:pt>
                <c:pt idx="79">
                  <c:v>92</c:v>
                </c:pt>
                <c:pt idx="81">
                  <c:v>94</c:v>
                </c:pt>
                <c:pt idx="83">
                  <c:v>97</c:v>
                </c:pt>
                <c:pt idx="85">
                  <c:v>100</c:v>
                </c:pt>
                <c:pt idx="87">
                  <c:v>102</c:v>
                </c:pt>
                <c:pt idx="89">
                  <c:v>105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2D-1C45-9505-5AB734A6FB62}"/>
            </c:ext>
          </c:extLst>
        </c:ser>
        <c:ser>
          <c:idx val="1"/>
          <c:order val="1"/>
          <c:tx>
            <c:strRef>
              <c:f>DEGBR!$E$3</c:f>
              <c:strCache>
                <c:ptCount val="1"/>
                <c:pt idx="0">
                  <c:v>56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DEGBR!$F$1:$CR$1</c:f>
              <c:numCache>
                <c:formatCode>General</c:formatCode>
                <c:ptCount val="91"/>
              </c:numCache>
            </c:numRef>
          </c:xVal>
          <c:yVal>
            <c:numRef>
              <c:f>DEGBR!$F$3:$CR$3</c:f>
              <c:numCache>
                <c:formatCode>General</c:formatCode>
                <c:ptCount val="91"/>
                <c:pt idx="1">
                  <c:v>70</c:v>
                </c:pt>
                <c:pt idx="3">
                  <c:v>31</c:v>
                </c:pt>
                <c:pt idx="5">
                  <c:v>69</c:v>
                </c:pt>
                <c:pt idx="7">
                  <c:v>35</c:v>
                </c:pt>
                <c:pt idx="9">
                  <c:v>22</c:v>
                </c:pt>
                <c:pt idx="11">
                  <c:v>36</c:v>
                </c:pt>
                <c:pt idx="13">
                  <c:v>62</c:v>
                </c:pt>
                <c:pt idx="15">
                  <c:v>44</c:v>
                </c:pt>
                <c:pt idx="17">
                  <c:v>48</c:v>
                </c:pt>
                <c:pt idx="19">
                  <c:v>52</c:v>
                </c:pt>
                <c:pt idx="21">
                  <c:v>39</c:v>
                </c:pt>
                <c:pt idx="23">
                  <c:v>8</c:v>
                </c:pt>
                <c:pt idx="25">
                  <c:v>4</c:v>
                </c:pt>
                <c:pt idx="27">
                  <c:v>14</c:v>
                </c:pt>
                <c:pt idx="29">
                  <c:v>9</c:v>
                </c:pt>
                <c:pt idx="31">
                  <c:v>17</c:v>
                </c:pt>
                <c:pt idx="33">
                  <c:v>22</c:v>
                </c:pt>
                <c:pt idx="35">
                  <c:v>27</c:v>
                </c:pt>
                <c:pt idx="37">
                  <c:v>25</c:v>
                </c:pt>
                <c:pt idx="39">
                  <c:v>31</c:v>
                </c:pt>
                <c:pt idx="41">
                  <c:v>47</c:v>
                </c:pt>
                <c:pt idx="43">
                  <c:v>53</c:v>
                </c:pt>
                <c:pt idx="45">
                  <c:v>62</c:v>
                </c:pt>
                <c:pt idx="47">
                  <c:v>44</c:v>
                </c:pt>
                <c:pt idx="49">
                  <c:v>52</c:v>
                </c:pt>
                <c:pt idx="51">
                  <c:v>69</c:v>
                </c:pt>
                <c:pt idx="53">
                  <c:v>46</c:v>
                </c:pt>
                <c:pt idx="55">
                  <c:v>57</c:v>
                </c:pt>
                <c:pt idx="57">
                  <c:v>43</c:v>
                </c:pt>
                <c:pt idx="59">
                  <c:v>55</c:v>
                </c:pt>
                <c:pt idx="61">
                  <c:v>64</c:v>
                </c:pt>
                <c:pt idx="63">
                  <c:v>52</c:v>
                </c:pt>
                <c:pt idx="65">
                  <c:v>62</c:v>
                </c:pt>
                <c:pt idx="67">
                  <c:v>25</c:v>
                </c:pt>
                <c:pt idx="69">
                  <c:v>52</c:v>
                </c:pt>
                <c:pt idx="71">
                  <c:v>40</c:v>
                </c:pt>
                <c:pt idx="73">
                  <c:v>38</c:v>
                </c:pt>
                <c:pt idx="75">
                  <c:v>44</c:v>
                </c:pt>
                <c:pt idx="77">
                  <c:v>40</c:v>
                </c:pt>
                <c:pt idx="79">
                  <c:v>35</c:v>
                </c:pt>
                <c:pt idx="81">
                  <c:v>71</c:v>
                </c:pt>
                <c:pt idx="83">
                  <c:v>54</c:v>
                </c:pt>
                <c:pt idx="85">
                  <c:v>94</c:v>
                </c:pt>
                <c:pt idx="87">
                  <c:v>72</c:v>
                </c:pt>
                <c:pt idx="89">
                  <c:v>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2D-1C45-9505-5AB734A6FB62}"/>
            </c:ext>
          </c:extLst>
        </c:ser>
        <c:ser>
          <c:idx val="2"/>
          <c:order val="2"/>
          <c:tx>
            <c:strRef>
              <c:f>DEGBR!$E$4</c:f>
              <c:strCache>
                <c:ptCount val="1"/>
                <c:pt idx="0">
                  <c:v>35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DEGBR!$F$1:$CR$1</c:f>
              <c:numCache>
                <c:formatCode>General</c:formatCode>
                <c:ptCount val="91"/>
              </c:numCache>
            </c:numRef>
          </c:xVal>
          <c:yVal>
            <c:numRef>
              <c:f>DEGBR!$F$4:$CR$4</c:f>
              <c:numCache>
                <c:formatCode>General</c:formatCode>
                <c:ptCount val="91"/>
                <c:pt idx="1">
                  <c:v>35</c:v>
                </c:pt>
                <c:pt idx="3">
                  <c:v>35</c:v>
                </c:pt>
                <c:pt idx="5">
                  <c:v>35</c:v>
                </c:pt>
                <c:pt idx="7">
                  <c:v>35</c:v>
                </c:pt>
                <c:pt idx="9">
                  <c:v>35</c:v>
                </c:pt>
                <c:pt idx="11">
                  <c:v>35</c:v>
                </c:pt>
                <c:pt idx="13">
                  <c:v>35</c:v>
                </c:pt>
                <c:pt idx="15">
                  <c:v>35</c:v>
                </c:pt>
                <c:pt idx="17">
                  <c:v>35</c:v>
                </c:pt>
                <c:pt idx="19">
                  <c:v>35</c:v>
                </c:pt>
                <c:pt idx="21">
                  <c:v>35</c:v>
                </c:pt>
                <c:pt idx="23">
                  <c:v>35</c:v>
                </c:pt>
                <c:pt idx="25">
                  <c:v>35</c:v>
                </c:pt>
                <c:pt idx="27">
                  <c:v>35</c:v>
                </c:pt>
                <c:pt idx="29">
                  <c:v>40</c:v>
                </c:pt>
                <c:pt idx="31">
                  <c:v>40</c:v>
                </c:pt>
                <c:pt idx="33">
                  <c:v>40</c:v>
                </c:pt>
                <c:pt idx="35">
                  <c:v>40</c:v>
                </c:pt>
                <c:pt idx="37">
                  <c:v>40</c:v>
                </c:pt>
                <c:pt idx="39">
                  <c:v>40</c:v>
                </c:pt>
                <c:pt idx="41">
                  <c:v>40</c:v>
                </c:pt>
                <c:pt idx="43">
                  <c:v>40</c:v>
                </c:pt>
                <c:pt idx="45">
                  <c:v>30</c:v>
                </c:pt>
                <c:pt idx="47">
                  <c:v>30</c:v>
                </c:pt>
                <c:pt idx="49">
                  <c:v>30</c:v>
                </c:pt>
                <c:pt idx="51">
                  <c:v>30</c:v>
                </c:pt>
                <c:pt idx="53">
                  <c:v>24</c:v>
                </c:pt>
                <c:pt idx="55">
                  <c:v>24</c:v>
                </c:pt>
                <c:pt idx="57">
                  <c:v>24</c:v>
                </c:pt>
                <c:pt idx="59">
                  <c:v>24</c:v>
                </c:pt>
                <c:pt idx="61">
                  <c:v>24</c:v>
                </c:pt>
                <c:pt idx="63">
                  <c:v>24</c:v>
                </c:pt>
                <c:pt idx="65">
                  <c:v>24</c:v>
                </c:pt>
                <c:pt idx="67">
                  <c:v>24</c:v>
                </c:pt>
                <c:pt idx="69">
                  <c:v>20</c:v>
                </c:pt>
                <c:pt idx="71">
                  <c:v>20</c:v>
                </c:pt>
                <c:pt idx="73">
                  <c:v>20</c:v>
                </c:pt>
                <c:pt idx="75">
                  <c:v>20</c:v>
                </c:pt>
                <c:pt idx="77">
                  <c:v>20</c:v>
                </c:pt>
                <c:pt idx="79">
                  <c:v>20</c:v>
                </c:pt>
                <c:pt idx="81">
                  <c:v>20</c:v>
                </c:pt>
                <c:pt idx="83">
                  <c:v>15</c:v>
                </c:pt>
                <c:pt idx="85">
                  <c:v>15</c:v>
                </c:pt>
                <c:pt idx="87">
                  <c:v>15</c:v>
                </c:pt>
                <c:pt idx="89">
                  <c:v>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02D-1C45-9505-5AB734A6F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51232"/>
        <c:axId val="238977952"/>
      </c:scatterChart>
      <c:valAx>
        <c:axId val="194451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977952"/>
        <c:crosses val="autoZero"/>
        <c:crossBetween val="midCat"/>
      </c:valAx>
      <c:valAx>
        <c:axId val="23897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51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198862642169728"/>
          <c:y val="0.10684617827779015"/>
          <c:w val="0.73835936132983371"/>
          <c:h val="0.63270639366407355"/>
        </c:manualLayout>
      </c:layout>
      <c:scatterChart>
        <c:scatterStyle val="smoothMarker"/>
        <c:varyColors val="0"/>
        <c:ser>
          <c:idx val="0"/>
          <c:order val="0"/>
          <c:tx>
            <c:v>Feed NO3-N</c:v>
          </c:tx>
          <c:spPr>
            <a:ln w="3175">
              <a:noFill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[2]SGBR!$AQ$105:$AQ$124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[2]SGBR!$CV$105:$CV$124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69-DF4D-AB20-C0747EF8CD9A}"/>
            </c:ext>
          </c:extLst>
        </c:ser>
        <c:ser>
          <c:idx val="1"/>
          <c:order val="1"/>
          <c:tx>
            <c:v>Product NO3-N</c:v>
          </c:tx>
          <c:spPr>
            <a:ln w="3175">
              <a:noFill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[2]SGBR!$AQ$105:$AQ$124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[2]SGBR!$CW$105:$CW$124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269-DF4D-AB20-C0747EF8C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765440"/>
        <c:axId val="162776192"/>
      </c:scatterChart>
      <c:valAx>
        <c:axId val="162765440"/>
        <c:scaling>
          <c:orientation val="minMax"/>
          <c:max val="14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Operating time</a:t>
                </a:r>
                <a:r>
                  <a:rPr lang="en-GB" baseline="0"/>
                  <a:t> (days)</a:t>
                </a:r>
                <a:endParaRPr lang="en-GB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2776192"/>
        <c:crosses val="autoZero"/>
        <c:crossBetween val="midCat"/>
        <c:majorUnit val="10"/>
      </c:valAx>
      <c:valAx>
        <c:axId val="162776192"/>
        <c:scaling>
          <c:orientation val="minMax"/>
          <c:max val="25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NO3-N (mg/L)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276544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27304090113735791"/>
          <c:y val="0.90702354913969085"/>
          <c:w val="0.44362576552930877"/>
          <c:h val="8.8730679498396026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97462817147858"/>
          <c:y val="9.772569761079701E-2"/>
          <c:w val="0.74085804899387586"/>
          <c:h val="0.64645631953310245"/>
        </c:manualLayout>
      </c:layout>
      <c:scatterChart>
        <c:scatterStyle val="smoothMarker"/>
        <c:varyColors val="0"/>
        <c:ser>
          <c:idx val="0"/>
          <c:order val="0"/>
          <c:tx>
            <c:v>Feed NH4-N</c:v>
          </c:tx>
          <c:spPr>
            <a:ln w="3175">
              <a:noFill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[2]SGBR!$AQ$105:$AQ$124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[2]SGBR!$CT$105:$CT$124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DF-B340-964B-19AF0C96AD34}"/>
            </c:ext>
          </c:extLst>
        </c:ser>
        <c:ser>
          <c:idx val="1"/>
          <c:order val="1"/>
          <c:tx>
            <c:v>Product NH4-N</c:v>
          </c:tx>
          <c:spPr>
            <a:ln w="3175">
              <a:noFill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[2]SGBR!$AQ$105:$AQ$124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[2]SGBR!$AE$106:$AE$164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DF-B340-964B-19AF0C96A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34144"/>
        <c:axId val="162940800"/>
      </c:scatterChart>
      <c:valAx>
        <c:axId val="162934144"/>
        <c:scaling>
          <c:orientation val="minMax"/>
          <c:max val="14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Operating time (days)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2940800"/>
        <c:crosses val="autoZero"/>
        <c:crossBetween val="midCat"/>
        <c:majorUnit val="10"/>
      </c:valAx>
      <c:valAx>
        <c:axId val="162940800"/>
        <c:scaling>
          <c:orientation val="minMax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NH4-N (mg/L)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2934144"/>
        <c:crosses val="autoZero"/>
        <c:crossBetween val="midCat"/>
        <c:majorUnit val="50"/>
      </c:valAx>
    </c:plotArea>
    <c:legend>
      <c:legendPos val="r"/>
      <c:layout>
        <c:manualLayout>
          <c:xMode val="edge"/>
          <c:yMode val="edge"/>
          <c:x val="0.28602712160979876"/>
          <c:y val="0.9023939195100612"/>
          <c:w val="0.45563954505686788"/>
          <c:h val="8.8730679498396026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20347112345604"/>
          <c:y val="9.295166229221348E-2"/>
          <c:w val="0.74114980071935455"/>
          <c:h val="0.65585994459025954"/>
        </c:manualLayout>
      </c:layout>
      <c:scatterChart>
        <c:scatterStyle val="smoothMarker"/>
        <c:varyColors val="0"/>
        <c:ser>
          <c:idx val="0"/>
          <c:order val="0"/>
          <c:tx>
            <c:v>Feed COD</c:v>
          </c:tx>
          <c:spPr>
            <a:ln>
              <a:noFill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[2]SGBR!$T$105:$T$164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xVal>
          <c:yVal>
            <c:numRef>
              <c:f>[2]SGBR!$AA$106:$AA$164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07-0C48-913A-A83238F2730D}"/>
            </c:ext>
          </c:extLst>
        </c:ser>
        <c:ser>
          <c:idx val="1"/>
          <c:order val="1"/>
          <c:tx>
            <c:v>Effluent COD</c:v>
          </c:tx>
          <c:spPr>
            <a:ln>
              <a:noFill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[2]SGBR!$T$105:$T$164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xVal>
          <c:yVal>
            <c:numRef>
              <c:f>[2]SGBR!$AB$106:$AB$164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07-0C48-913A-A83238F27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309632"/>
        <c:axId val="224311936"/>
      </c:scatterChart>
      <c:scatterChart>
        <c:scatterStyle val="smoothMarker"/>
        <c:varyColors val="0"/>
        <c:ser>
          <c:idx val="2"/>
          <c:order val="2"/>
          <c:tx>
            <c:v>COD Removal</c:v>
          </c:tx>
          <c:spPr>
            <a:ln w="3175">
              <a:noFill/>
            </a:ln>
          </c:spPr>
          <c:marker>
            <c:symbol val="square"/>
            <c:size val="4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[2]SGBR!$T$105:$T$164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xVal>
          <c:yVal>
            <c:numRef>
              <c:f>[2]SGBR!$AC$106:$AC$164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A07-0C48-913A-A83238F27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447104"/>
        <c:axId val="224445184"/>
      </c:scatterChart>
      <c:valAx>
        <c:axId val="224309632"/>
        <c:scaling>
          <c:orientation val="minMax"/>
          <c:max val="14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Operating time (days)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4311936"/>
        <c:crosses val="autoZero"/>
        <c:crossBetween val="midCat"/>
        <c:majorUnit val="10"/>
      </c:valAx>
      <c:valAx>
        <c:axId val="224311936"/>
        <c:scaling>
          <c:orientation val="minMax"/>
          <c:max val="13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COD (mg/L)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4309632"/>
        <c:crosses val="autoZero"/>
        <c:crossBetween val="midCat"/>
      </c:valAx>
      <c:valAx>
        <c:axId val="224445184"/>
        <c:scaling>
          <c:orientation val="minMax"/>
          <c:max val="10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COD Removal</a:t>
                </a:r>
                <a:r>
                  <a:rPr lang="en-GB" baseline="0"/>
                  <a:t> (%)</a:t>
                </a:r>
                <a:endParaRPr lang="en-GB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4447104"/>
        <c:crosses val="max"/>
        <c:crossBetween val="midCat"/>
      </c:valAx>
      <c:valAx>
        <c:axId val="2244471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2444518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8087358076342533"/>
          <c:y val="0.91371828521434817"/>
          <c:w val="0.66951659825079912"/>
          <c:h val="8.448490813648294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20346067852629"/>
          <c:y val="0.12072944006999126"/>
          <c:w val="0.74114980071935455"/>
          <c:h val="0.62808216681248175"/>
        </c:manualLayout>
      </c:layout>
      <c:scatterChart>
        <c:scatterStyle val="smoothMarker"/>
        <c:varyColors val="0"/>
        <c:ser>
          <c:idx val="0"/>
          <c:order val="0"/>
          <c:tx>
            <c:v>Feed TSS</c:v>
          </c:tx>
          <c:spPr>
            <a:ln>
              <a:noFill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[2]SGBR!$T$105:$T$164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xVal>
          <c:yVal>
            <c:numRef>
              <c:f>[2]SGBR!$U$106:$U$164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6E-4349-8846-DE87F5EAEA1F}"/>
            </c:ext>
          </c:extLst>
        </c:ser>
        <c:ser>
          <c:idx val="1"/>
          <c:order val="1"/>
          <c:tx>
            <c:v>Effluent TSS</c:v>
          </c:tx>
          <c:spPr>
            <a:ln>
              <a:noFill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[2]SGBR!$T$105:$T$164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xVal>
          <c:yVal>
            <c:numRef>
              <c:f>[2]SGBR!$V$106:$V$164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6E-4349-8846-DE87F5EAE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423616"/>
        <c:axId val="233425920"/>
      </c:scatterChart>
      <c:scatterChart>
        <c:scatterStyle val="smoothMarker"/>
        <c:varyColors val="0"/>
        <c:ser>
          <c:idx val="2"/>
          <c:order val="2"/>
          <c:tx>
            <c:v>TSS Removal</c:v>
          </c:tx>
          <c:spPr>
            <a:ln w="3175">
              <a:noFill/>
            </a:ln>
          </c:spPr>
          <c:marker>
            <c:symbol val="square"/>
            <c:size val="4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[2]SGBR!$T$105:$T$164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xVal>
          <c:yVal>
            <c:numRef>
              <c:f>[2]SGBR!$W$106:$W$164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D6E-4349-8846-DE87F5EAE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446400"/>
        <c:axId val="233444480"/>
      </c:scatterChart>
      <c:valAx>
        <c:axId val="233423616"/>
        <c:scaling>
          <c:orientation val="minMax"/>
          <c:max val="14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Operating time (days)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3425920"/>
        <c:crosses val="autoZero"/>
        <c:crossBetween val="midCat"/>
        <c:majorUnit val="10"/>
      </c:valAx>
      <c:valAx>
        <c:axId val="233425920"/>
        <c:scaling>
          <c:orientation val="minMax"/>
          <c:max val="9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TSS (mg/L)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3423616"/>
        <c:crosses val="autoZero"/>
        <c:crossBetween val="midCat"/>
      </c:valAx>
      <c:valAx>
        <c:axId val="233444480"/>
        <c:scaling>
          <c:orientation val="minMax"/>
          <c:max val="10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TSS Removal</a:t>
                </a:r>
                <a:r>
                  <a:rPr lang="en-GB" baseline="0"/>
                  <a:t> (%)</a:t>
                </a:r>
                <a:endParaRPr lang="en-GB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3446400"/>
        <c:crosses val="max"/>
        <c:crossBetween val="midCat"/>
      </c:valAx>
      <c:valAx>
        <c:axId val="2334464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3344448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8087358076342533"/>
          <c:y val="0.91371828521434817"/>
          <c:w val="0.66951659825079912"/>
          <c:h val="8.448490813648294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20346067852629"/>
          <c:y val="0.12072944006999126"/>
          <c:w val="0.74114980071935455"/>
          <c:h val="0.62808216681248175"/>
        </c:manualLayout>
      </c:layout>
      <c:scatterChart>
        <c:scatterStyle val="smoothMarker"/>
        <c:varyColors val="0"/>
        <c:ser>
          <c:idx val="0"/>
          <c:order val="0"/>
          <c:tx>
            <c:v>Feed FOG</c:v>
          </c:tx>
          <c:spPr>
            <a:ln>
              <a:noFill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[2]SGBR!$AQ$105:$AQ$124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[2]SGBR!$BG$105:$BG$124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09-AE45-9391-0A4A71C395C7}"/>
            </c:ext>
          </c:extLst>
        </c:ser>
        <c:ser>
          <c:idx val="1"/>
          <c:order val="1"/>
          <c:tx>
            <c:v>Effluent FOG</c:v>
          </c:tx>
          <c:spPr>
            <a:ln>
              <a:noFill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[2]SGBR!$AQ$105:$AQ$124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[2]SGBR!$BH$105:$BH$124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09-AE45-9391-0A4A71C39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548416"/>
        <c:axId val="233555072"/>
      </c:scatterChart>
      <c:scatterChart>
        <c:scatterStyle val="smoothMarker"/>
        <c:varyColors val="0"/>
        <c:ser>
          <c:idx val="2"/>
          <c:order val="2"/>
          <c:tx>
            <c:v>FOG Removal</c:v>
          </c:tx>
          <c:spPr>
            <a:ln w="3175">
              <a:noFill/>
            </a:ln>
          </c:spPr>
          <c:marker>
            <c:symbol val="square"/>
            <c:size val="4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[2]SGBR!$AQ$105:$AQ$124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[2]SGBR!$BI$105:$BI$124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309-AE45-9391-0A4A71C39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559168"/>
        <c:axId val="233556992"/>
      </c:scatterChart>
      <c:valAx>
        <c:axId val="233548416"/>
        <c:scaling>
          <c:orientation val="minMax"/>
          <c:max val="14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Operating time (days)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3555072"/>
        <c:crosses val="autoZero"/>
        <c:crossBetween val="midCat"/>
        <c:majorUnit val="10"/>
      </c:valAx>
      <c:valAx>
        <c:axId val="233555072"/>
        <c:scaling>
          <c:orientation val="minMax"/>
          <c:max val="18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FOG (mg/L)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3548416"/>
        <c:crosses val="autoZero"/>
        <c:crossBetween val="midCat"/>
      </c:valAx>
      <c:valAx>
        <c:axId val="233556992"/>
        <c:scaling>
          <c:orientation val="minMax"/>
          <c:max val="10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FOG Removal</a:t>
                </a:r>
                <a:r>
                  <a:rPr lang="en-GB" baseline="0"/>
                  <a:t> (%)</a:t>
                </a:r>
                <a:endParaRPr lang="en-GB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3559168"/>
        <c:crosses val="max"/>
        <c:crossBetween val="midCat"/>
      </c:valAx>
      <c:valAx>
        <c:axId val="2335591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3355699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8087358076342533"/>
          <c:y val="0.91371828521434817"/>
          <c:w val="0.66951659825079912"/>
          <c:h val="8.448490813648294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47730579208464"/>
          <c:y val="0.11158573928258968"/>
          <c:w val="0.72654151598799399"/>
          <c:h val="0.62333697871099447"/>
        </c:manualLayout>
      </c:layout>
      <c:scatterChart>
        <c:scatterStyle val="smoothMarker"/>
        <c:varyColors val="0"/>
        <c:ser>
          <c:idx val="0"/>
          <c:order val="0"/>
          <c:tx>
            <c:v>Feed BOD </c:v>
          </c:tx>
          <c:spPr>
            <a:ln w="3175">
              <a:noFill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[2]SGBR!$AQ$105:$AQ$124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[2]SGBR!$BC$105:$BC$124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36-2543-B7C3-EFDC9EADD238}"/>
            </c:ext>
          </c:extLst>
        </c:ser>
        <c:ser>
          <c:idx val="1"/>
          <c:order val="1"/>
          <c:tx>
            <c:v>Effluent BOD</c:v>
          </c:tx>
          <c:spPr>
            <a:ln w="3175">
              <a:noFill/>
            </a:ln>
          </c:spPr>
          <c:marker>
            <c:symbol val="triangl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dPt>
            <c:idx val="14"/>
            <c:marker>
              <c:symbol val="triangle"/>
              <c:size val="5"/>
            </c:marker>
            <c:bubble3D val="0"/>
            <c:extLst>
              <c:ext xmlns:c16="http://schemas.microsoft.com/office/drawing/2014/chart" uri="{C3380CC4-5D6E-409C-BE32-E72D297353CC}">
                <c16:uniqueId val="{00000001-8136-2543-B7C3-EFDC9EADD238}"/>
              </c:ext>
            </c:extLst>
          </c:dPt>
          <c:xVal>
            <c:numRef>
              <c:f>[2]SGBR!$AQ$105:$AQ$124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[2]SGBR!$BD$105:$BD$124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136-2543-B7C3-EFDC9EADD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242752"/>
        <c:axId val="167327232"/>
      </c:scatterChart>
      <c:scatterChart>
        <c:scatterStyle val="smoothMarker"/>
        <c:varyColors val="0"/>
        <c:ser>
          <c:idx val="2"/>
          <c:order val="2"/>
          <c:tx>
            <c:v>BOD Removal</c:v>
          </c:tx>
          <c:spPr>
            <a:ln w="3175">
              <a:noFill/>
            </a:ln>
          </c:spPr>
          <c:marker>
            <c:symbol val="square"/>
            <c:size val="4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[2]SGBR!$AQ$105:$AQ$124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[2]SGBR!$BE$105:$BE$124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136-2543-B7C3-EFDC9EADD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331328"/>
        <c:axId val="167329152"/>
      </c:scatterChart>
      <c:valAx>
        <c:axId val="167242752"/>
        <c:scaling>
          <c:orientation val="minMax"/>
          <c:max val="14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Operating time (days)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7327232"/>
        <c:crosses val="autoZero"/>
        <c:crossBetween val="midCat"/>
        <c:majorUnit val="10"/>
      </c:valAx>
      <c:valAx>
        <c:axId val="1673272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BOD</a:t>
                </a:r>
                <a:r>
                  <a:rPr lang="en-GB" baseline="-25000"/>
                  <a:t>5</a:t>
                </a:r>
                <a:r>
                  <a:rPr lang="en-GB"/>
                  <a:t> (mg/L)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7242752"/>
        <c:crosses val="autoZero"/>
        <c:crossBetween val="midCat"/>
      </c:valAx>
      <c:valAx>
        <c:axId val="167329152"/>
        <c:scaling>
          <c:orientation val="minMax"/>
          <c:max val="10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 sz="1000" b="1" i="0" u="none" strike="noStrike" baseline="0">
                    <a:effectLst/>
                  </a:rPr>
                  <a:t>BOD</a:t>
                </a:r>
                <a:r>
                  <a:rPr lang="en-GB" sz="1000" b="1" i="0" u="none" strike="noStrike" baseline="-25000">
                    <a:effectLst/>
                  </a:rPr>
                  <a:t>5</a:t>
                </a:r>
                <a:r>
                  <a:rPr lang="en-GB"/>
                  <a:t> Removal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7331328"/>
        <c:crosses val="max"/>
        <c:crossBetween val="midCat"/>
        <c:majorUnit val="10"/>
      </c:valAx>
      <c:valAx>
        <c:axId val="1673313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7329152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3430535209869921"/>
          <c:y val="0.9116531787693205"/>
          <c:w val="0.57712661503129159"/>
          <c:h val="8.834682123067949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198862642169728"/>
          <c:y val="0.11158573928258968"/>
          <c:w val="0.75856627296587931"/>
          <c:h val="0.64185549722951296"/>
        </c:manualLayout>
      </c:layout>
      <c:scatterChart>
        <c:scatterStyle val="smoothMarker"/>
        <c:varyColors val="0"/>
        <c:ser>
          <c:idx val="0"/>
          <c:order val="0"/>
          <c:tx>
            <c:v>Feed PO4-P</c:v>
          </c:tx>
          <c:spPr>
            <a:ln w="3175">
              <a:noFill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[2]SGBR!$AQ$113:$AQ$124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xVal>
          <c:yVal>
            <c:numRef>
              <c:f>[2]SGBR!$AR$113:$AR$124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33-C543-84FE-B8E42F9DFF3C}"/>
            </c:ext>
          </c:extLst>
        </c:ser>
        <c:ser>
          <c:idx val="1"/>
          <c:order val="1"/>
          <c:tx>
            <c:v>Product PO4-P</c:v>
          </c:tx>
          <c:spPr>
            <a:ln w="3175">
              <a:noFill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[2]SGBR!$AQ$113:$AQ$124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xVal>
          <c:yVal>
            <c:numRef>
              <c:f>[2]SGBR!$AS$113:$AS$124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33-C543-84FE-B8E42F9DF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376384"/>
        <c:axId val="167383040"/>
      </c:scatterChart>
      <c:valAx>
        <c:axId val="167376384"/>
        <c:scaling>
          <c:orientation val="minMax"/>
          <c:max val="140"/>
          <c:min val="6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Operating time (days)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7383040"/>
        <c:crosses val="autoZero"/>
        <c:crossBetween val="midCat"/>
        <c:majorUnit val="10"/>
      </c:valAx>
      <c:valAx>
        <c:axId val="16738304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PO4-P (mg/L)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7376384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6630489938757651"/>
          <c:y val="0.9116531787693205"/>
          <c:w val="0.49480621172353456"/>
          <c:h val="8.4101049868766389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20346067852629"/>
          <c:y val="9.295166229221348E-2"/>
          <c:w val="0.74114980071935455"/>
          <c:h val="0.65585994459025954"/>
        </c:manualLayout>
      </c:layout>
      <c:scatterChart>
        <c:scatterStyle val="smoothMarker"/>
        <c:varyColors val="0"/>
        <c:ser>
          <c:idx val="0"/>
          <c:order val="0"/>
          <c:tx>
            <c:v>Feed COD</c:v>
          </c:tx>
          <c:spPr>
            <a:ln>
              <a:noFill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[2]SGBR!$T$105:$T$164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xVal>
          <c:yVal>
            <c:numRef>
              <c:f>[2]SGBR!$AA$106:$AA$164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E9-9445-B27C-AB55503499D3}"/>
            </c:ext>
          </c:extLst>
        </c:ser>
        <c:ser>
          <c:idx val="1"/>
          <c:order val="1"/>
          <c:tx>
            <c:v>Product COD</c:v>
          </c:tx>
          <c:spPr>
            <a:ln>
              <a:noFill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[2]SGBR!$T$105:$T$164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xVal>
          <c:yVal>
            <c:numRef>
              <c:f>[2]SGBR!$AB$106:$AB$164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BE9-9445-B27C-AB5550349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37760"/>
        <c:axId val="167640064"/>
      </c:scatterChart>
      <c:scatterChart>
        <c:scatterStyle val="smoothMarker"/>
        <c:varyColors val="0"/>
        <c:ser>
          <c:idx val="2"/>
          <c:order val="2"/>
          <c:tx>
            <c:v>COD Removal</c:v>
          </c:tx>
          <c:spPr>
            <a:ln w="3175">
              <a:noFill/>
            </a:ln>
          </c:spPr>
          <c:marker>
            <c:symbol val="square"/>
            <c:size val="4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[2]SGBR!$T$105:$T$164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xVal>
          <c:yVal>
            <c:numRef>
              <c:f>[2]SGBR!$JU$151:$JU$210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BE9-9445-B27C-AB5550349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56448"/>
        <c:axId val="167654528"/>
      </c:scatterChart>
      <c:valAx>
        <c:axId val="167637760"/>
        <c:scaling>
          <c:orientation val="minMax"/>
          <c:max val="14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Operating time (days)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7640064"/>
        <c:crosses val="autoZero"/>
        <c:crossBetween val="midCat"/>
        <c:majorUnit val="10"/>
      </c:valAx>
      <c:valAx>
        <c:axId val="167640064"/>
        <c:scaling>
          <c:orientation val="minMax"/>
          <c:max val="13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COD (mg/L)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7637760"/>
        <c:crosses val="autoZero"/>
        <c:crossBetween val="midCat"/>
      </c:valAx>
      <c:valAx>
        <c:axId val="167654528"/>
        <c:scaling>
          <c:orientation val="minMax"/>
          <c:max val="10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COD Removal</a:t>
                </a:r>
                <a:r>
                  <a:rPr lang="en-GB" baseline="0"/>
                  <a:t> (%)</a:t>
                </a:r>
                <a:endParaRPr lang="en-GB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7656448"/>
        <c:crosses val="max"/>
        <c:crossBetween val="midCat"/>
      </c:valAx>
      <c:valAx>
        <c:axId val="1676564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765452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8087358076342533"/>
          <c:y val="0.91371828521434817"/>
          <c:w val="0.66951659825079912"/>
          <c:h val="8.448490813648294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23862642169729"/>
          <c:y val="5.1400554097404488E-2"/>
          <c:w val="0.79312182852143487"/>
          <c:h val="0.69278142315543889"/>
        </c:manualLayout>
      </c:layout>
      <c:scatterChart>
        <c:scatterStyle val="smoothMarker"/>
        <c:varyColors val="0"/>
        <c:ser>
          <c:idx val="2"/>
          <c:order val="0"/>
          <c:tx>
            <c:v>Feed TDS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[2]SGBR!$D$105:$D$204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[2]SGBR!$K$106:$K$204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88-B54C-BB6D-302BE14747C1}"/>
            </c:ext>
          </c:extLst>
        </c:ser>
        <c:ser>
          <c:idx val="3"/>
          <c:order val="1"/>
          <c:tx>
            <c:v>Effluent TDS</c:v>
          </c:tx>
          <c:spPr>
            <a:ln w="28575">
              <a:noFill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[2]SGBR!$D$105:$D$204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[2]SGBR!$L$106:$L$204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E88-B54C-BB6D-302BE1474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052160"/>
        <c:axId val="165686272"/>
      </c:scatterChart>
      <c:valAx>
        <c:axId val="163052160"/>
        <c:scaling>
          <c:orientation val="minMax"/>
          <c:max val="14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Operating</a:t>
                </a:r>
                <a:r>
                  <a:rPr lang="en-GB" baseline="0"/>
                  <a:t> time (days)</a:t>
                </a:r>
                <a:endParaRPr lang="en-GB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5686272"/>
        <c:crosses val="autoZero"/>
        <c:crossBetween val="midCat"/>
        <c:majorUnit val="10"/>
      </c:valAx>
      <c:valAx>
        <c:axId val="16568627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TDS (ppm)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305216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29367968988276816"/>
          <c:y val="0.91628280839895015"/>
          <c:w val="0.48381780417232945"/>
          <c:h val="8.3717191601049873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23862642169729"/>
          <c:y val="5.1400554097404488E-2"/>
          <c:w val="0.79312182852143487"/>
          <c:h val="0.69278142315543889"/>
        </c:manualLayout>
      </c:layout>
      <c:scatterChart>
        <c:scatterStyle val="smoothMarker"/>
        <c:varyColors val="0"/>
        <c:ser>
          <c:idx val="2"/>
          <c:order val="0"/>
          <c:tx>
            <c:v>Feed salinity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[2]SGBR!$D$105:$D$204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[2]SGBR!$M$106:$M$204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91-7645-BF8C-288F9E58631F}"/>
            </c:ext>
          </c:extLst>
        </c:ser>
        <c:ser>
          <c:idx val="3"/>
          <c:order val="1"/>
          <c:tx>
            <c:v>Effluent salinity</c:v>
          </c:tx>
          <c:spPr>
            <a:ln w="28575">
              <a:noFill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[2]SGBR!$D$105:$D$204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[2]SGBR!$N$106:$N$204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D91-7645-BF8C-288F9E586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823616"/>
        <c:axId val="223421952"/>
      </c:scatterChart>
      <c:valAx>
        <c:axId val="167823616"/>
        <c:scaling>
          <c:orientation val="minMax"/>
          <c:max val="14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Operating</a:t>
                </a:r>
                <a:r>
                  <a:rPr lang="en-GB" baseline="0"/>
                  <a:t> time (days)</a:t>
                </a:r>
                <a:endParaRPr lang="en-GB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3421952"/>
        <c:crosses val="autoZero"/>
        <c:crossBetween val="midCat"/>
        <c:majorUnit val="10"/>
      </c:valAx>
      <c:valAx>
        <c:axId val="22342195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Salinity (ppm)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782361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29367968988276816"/>
          <c:y val="0.91628280839895015"/>
          <c:w val="0.48381780417232945"/>
          <c:h val="8.3717191601049873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23862642169729"/>
          <c:y val="5.1400554097404488E-2"/>
          <c:w val="0.79312182852143487"/>
          <c:h val="0.69278142315543889"/>
        </c:manualLayout>
      </c:layout>
      <c:scatterChart>
        <c:scatterStyle val="smoothMarker"/>
        <c:varyColors val="0"/>
        <c:ser>
          <c:idx val="2"/>
          <c:order val="0"/>
          <c:tx>
            <c:v>Feed turbidity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[2]SGBR!$D$105:$D$204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[2]SGBR!$O$106:$O$204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8F-6F49-8238-B4512C8ABFDC}"/>
            </c:ext>
          </c:extLst>
        </c:ser>
        <c:ser>
          <c:idx val="3"/>
          <c:order val="1"/>
          <c:tx>
            <c:v>Effluent turbidity</c:v>
          </c:tx>
          <c:spPr>
            <a:ln w="28575">
              <a:noFill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[2]SGBR!$D$105:$D$204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[2]SGBR!$P$106:$P$204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C8F-6F49-8238-B4512C8AB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787264"/>
        <c:axId val="232831616"/>
      </c:scatterChart>
      <c:valAx>
        <c:axId val="223787264"/>
        <c:scaling>
          <c:orientation val="minMax"/>
          <c:max val="14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Operating</a:t>
                </a:r>
                <a:r>
                  <a:rPr lang="en-GB" baseline="0"/>
                  <a:t> time (days)</a:t>
                </a:r>
                <a:endParaRPr lang="en-GB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2831616"/>
        <c:crosses val="autoZero"/>
        <c:crossBetween val="midCat"/>
        <c:majorUnit val="10"/>
      </c:valAx>
      <c:valAx>
        <c:axId val="23283161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Turbidity (NTU)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378726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29367968988276816"/>
          <c:y val="0.91628280839895015"/>
          <c:w val="0.48381780417232945"/>
          <c:h val="8.3717191601049873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23862642169729"/>
          <c:y val="5.1400554097404488E-2"/>
          <c:w val="0.79312182852143487"/>
          <c:h val="0.69278142315543889"/>
        </c:manualLayout>
      </c:layout>
      <c:scatterChart>
        <c:scatterStyle val="smoothMarker"/>
        <c:varyColors val="0"/>
        <c:ser>
          <c:idx val="2"/>
          <c:order val="0"/>
          <c:tx>
            <c:v>Feed VSS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[2]SGBR!$T$105:$T$164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xVal>
          <c:yVal>
            <c:numRef>
              <c:f>[2]SGBR!$X$106:$X$164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5A-F341-9F4E-94BDA7CA2060}"/>
            </c:ext>
          </c:extLst>
        </c:ser>
        <c:ser>
          <c:idx val="3"/>
          <c:order val="1"/>
          <c:tx>
            <c:v>Effluent VSS</c:v>
          </c:tx>
          <c:spPr>
            <a:ln w="28575">
              <a:noFill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[2]SGBR!$T$105:$T$164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xVal>
          <c:yVal>
            <c:numRef>
              <c:f>[2]SGBR!$Y$106:$Y$164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5A-F341-9F4E-94BDA7CA2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1267712"/>
        <c:axId val="251319424"/>
      </c:scatterChart>
      <c:valAx>
        <c:axId val="251267712"/>
        <c:scaling>
          <c:orientation val="minMax"/>
          <c:max val="14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Operating</a:t>
                </a:r>
                <a:r>
                  <a:rPr lang="en-GB" baseline="0"/>
                  <a:t> time (days)</a:t>
                </a:r>
                <a:endParaRPr lang="en-GB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51319424"/>
        <c:crosses val="autoZero"/>
        <c:crossBetween val="midCat"/>
        <c:majorUnit val="10"/>
      </c:valAx>
      <c:valAx>
        <c:axId val="25131942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VSS (mg/L)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5126771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29367968988276816"/>
          <c:y val="0.91628280839895015"/>
          <c:w val="0.48381780417232945"/>
          <c:h val="8.3717191601049873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5920968368896"/>
          <c:y val="7.9178331875182265E-2"/>
          <c:w val="0.736744586064218"/>
          <c:h val="0.6650036453776611"/>
        </c:manualLayout>
      </c:layout>
      <c:scatterChart>
        <c:scatterStyle val="smoothMarker"/>
        <c:varyColors val="0"/>
        <c:ser>
          <c:idx val="1"/>
          <c:order val="2"/>
          <c:tx>
            <c:v>Effluent pH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</c:spPr>
          </c:marker>
          <c:xVal>
            <c:numRef>
              <c:f>[2]SGBR!$AQ$105:$AQ$124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[2]SGBR!$H$105:$H$204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EF-F740-A19F-C91EDE6FF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591872"/>
        <c:axId val="292607104"/>
      </c:scatterChart>
      <c:scatterChart>
        <c:scatterStyle val="smoothMarker"/>
        <c:varyColors val="0"/>
        <c:ser>
          <c:idx val="3"/>
          <c:order val="0"/>
          <c:tx>
            <c:v>Effluent alkalinity</c:v>
          </c:tx>
          <c:spPr>
            <a:ln w="28575">
              <a:noFill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[2]SGBR!$AQ$105:$AQ$124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[2]SGBR!$AX$105:$AX$124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EF-F740-A19F-C91EDE6FF93F}"/>
            </c:ext>
          </c:extLst>
        </c:ser>
        <c:ser>
          <c:idx val="0"/>
          <c:order val="1"/>
          <c:tx>
            <c:v>Effluent VFA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[2]SGBR!$AQ$105:$AQ$124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[2]SGBR!$AV$105:$AV$124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1EF-F740-A19F-C91EDE6FF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730752"/>
        <c:axId val="292728832"/>
      </c:scatterChart>
      <c:valAx>
        <c:axId val="292591872"/>
        <c:scaling>
          <c:orientation val="minMax"/>
          <c:max val="14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Operating</a:t>
                </a:r>
                <a:r>
                  <a:rPr lang="en-GB" baseline="0"/>
                  <a:t> time (days)</a:t>
                </a:r>
                <a:endParaRPr lang="en-GB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2607104"/>
        <c:crosses val="autoZero"/>
        <c:crossBetween val="midCat"/>
        <c:majorUnit val="10"/>
      </c:valAx>
      <c:valAx>
        <c:axId val="292607104"/>
        <c:scaling>
          <c:orientation val="minMax"/>
          <c:min val="6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pH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2591872"/>
        <c:crosses val="autoZero"/>
        <c:crossBetween val="midCat"/>
      </c:valAx>
      <c:valAx>
        <c:axId val="292728832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Alkalinity, VFA (mg/L)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2730752"/>
        <c:crosses val="max"/>
        <c:crossBetween val="midCat"/>
      </c:valAx>
      <c:valAx>
        <c:axId val="2927307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272883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21924865975023447"/>
          <c:y val="0.91628280839895015"/>
          <c:w val="0.53003896223988589"/>
          <c:h val="8.3717191601049873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10090757174922"/>
          <c:y val="8.832203266258383E-2"/>
          <c:w val="0.73415728589481877"/>
          <c:h val="0.63734142607174105"/>
        </c:manualLayout>
      </c:layout>
      <c:scatterChart>
        <c:scatterStyle val="smoothMarker"/>
        <c:varyColors val="0"/>
        <c:ser>
          <c:idx val="1"/>
          <c:order val="0"/>
          <c:tx>
            <c:v>Feed pH</c:v>
          </c:tx>
          <c:spPr>
            <a:ln>
              <a:noFill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[2]SGBR!$AQ$105:$AQ$124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[2]SGBR!$BJ$105:$BJ$124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A9-A34D-B17D-C07C30A48CD6}"/>
            </c:ext>
          </c:extLst>
        </c:ser>
        <c:ser>
          <c:idx val="0"/>
          <c:order val="1"/>
          <c:tx>
            <c:v>Effluent pH</c:v>
          </c:tx>
          <c:spPr>
            <a:ln>
              <a:noFill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[2]SGBR!$AQ$105:$AQ$124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[2]SGBR!$BK$105:$BK$124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A9-A34D-B17D-C07C30A48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064704"/>
        <c:axId val="295931264"/>
      </c:scatterChart>
      <c:scatterChart>
        <c:scatterStyle val="smoothMarker"/>
        <c:varyColors val="0"/>
        <c:ser>
          <c:idx val="2"/>
          <c:order val="2"/>
          <c:tx>
            <c:v>VFA/Alkalinity</c:v>
          </c:tx>
          <c:spPr>
            <a:ln>
              <a:noFill/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[2]SGBR!$AQ$105:$AQ$124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[2]SGBR!$AY$105:$AY$124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8A9-A34D-B17D-C07C30A48CD6}"/>
            </c:ext>
          </c:extLst>
        </c:ser>
        <c:ser>
          <c:idx val="3"/>
          <c:order val="3"/>
          <c:tx>
            <c:v>VFA/Alkalinity ratio failure limit</c:v>
          </c:tx>
          <c:spPr>
            <a:ln w="28575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[2]SGBR!$AQ$105:$AQ$124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[2]SGBR!$BL$105:$BL$124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8A9-A34D-B17D-C07C30A48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2571392"/>
        <c:axId val="302072192"/>
      </c:scatterChart>
      <c:valAx>
        <c:axId val="295064704"/>
        <c:scaling>
          <c:orientation val="minMax"/>
          <c:max val="14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Operating time (days)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5931264"/>
        <c:crosses val="autoZero"/>
        <c:crossBetween val="midCat"/>
        <c:majorUnit val="10"/>
      </c:valAx>
      <c:valAx>
        <c:axId val="2959312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pH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crossAx val="295064704"/>
        <c:crosses val="autoZero"/>
        <c:crossBetween val="midCat"/>
      </c:valAx>
      <c:valAx>
        <c:axId val="302072192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VFA/Alkalinity</a:t>
                </a:r>
                <a:r>
                  <a:rPr lang="en-GB" baseline="0"/>
                  <a:t> ratio</a:t>
                </a:r>
                <a:endParaRPr lang="en-GB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2571392"/>
        <c:crosses val="max"/>
        <c:crossBetween val="midCat"/>
        <c:majorUnit val="0.1"/>
      </c:valAx>
      <c:valAx>
        <c:axId val="3125713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207219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4.1317925908458369E-2"/>
          <c:y val="0.89057013706620003"/>
          <c:w val="0.91911276472623304"/>
          <c:h val="0.1076330562846310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23862642169729"/>
          <c:y val="5.1400554097404488E-2"/>
          <c:w val="0.79312182852143487"/>
          <c:h val="0.69278142315543889"/>
        </c:manualLayout>
      </c:layout>
      <c:scatterChart>
        <c:scatterStyle val="smoothMarker"/>
        <c:varyColors val="0"/>
        <c:ser>
          <c:idx val="2"/>
          <c:order val="0"/>
          <c:tx>
            <c:v>Feed conductivity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[2]SGBR!$D$105:$D$204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[2]SGBR!$I$106:$I$204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21-B748-BB3B-9CF1B4603830}"/>
            </c:ext>
          </c:extLst>
        </c:ser>
        <c:ser>
          <c:idx val="3"/>
          <c:order val="1"/>
          <c:tx>
            <c:v>Effluent conductivity</c:v>
          </c:tx>
          <c:spPr>
            <a:ln w="28575">
              <a:noFill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[2]SGBR!$D$105:$D$204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[2]SGBR!$J$106:$J$204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021-B748-BB3B-9CF1B4603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96736"/>
        <c:axId val="41402368"/>
      </c:scatterChart>
      <c:valAx>
        <c:axId val="38196736"/>
        <c:scaling>
          <c:orientation val="minMax"/>
          <c:max val="14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Operating</a:t>
                </a:r>
                <a:r>
                  <a:rPr lang="en-GB" baseline="0"/>
                  <a:t> time (days)</a:t>
                </a:r>
                <a:endParaRPr lang="en-GB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402368"/>
        <c:crosses val="autoZero"/>
        <c:crossBetween val="midCat"/>
        <c:majorUnit val="10"/>
      </c:valAx>
      <c:valAx>
        <c:axId val="4140236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Conductivity (µS/cm)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819673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29367968988276816"/>
          <c:y val="0.91628280839895015"/>
          <c:w val="0.48381780417232945"/>
          <c:h val="8.3717191601049873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369088874677205"/>
          <c:y val="0.13924795858850977"/>
          <c:w val="0.75432330115648394"/>
          <c:h val="0.60493401866433361"/>
        </c:manualLayout>
      </c:layout>
      <c:scatterChart>
        <c:scatterStyle val="smoothMarker"/>
        <c:varyColors val="0"/>
        <c:ser>
          <c:idx val="0"/>
          <c:order val="0"/>
          <c:tx>
            <c:v>HRT</c:v>
          </c:tx>
          <c:spPr>
            <a:ln>
              <a:noFill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[2]SGBR!$AQ$105:$AQ$124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[2]SGBR!$AM$105:$AM$124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28-3649-8E7E-1FC6052D8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862848"/>
        <c:axId val="295455360"/>
      </c:scatterChart>
      <c:scatterChart>
        <c:scatterStyle val="smoothMarker"/>
        <c:varyColors val="0"/>
        <c:ser>
          <c:idx val="1"/>
          <c:order val="1"/>
          <c:tx>
            <c:v>OLR</c:v>
          </c:tx>
          <c:spPr>
            <a:ln>
              <a:noFill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[2]SGBR!$AQ$105:$AQ$124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[2]SGBR!$AO$105:$AO$124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528-3649-8E7E-1FC6052D8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483264"/>
        <c:axId val="295478016"/>
      </c:scatterChart>
      <c:valAx>
        <c:axId val="294862848"/>
        <c:scaling>
          <c:orientation val="minMax"/>
          <c:max val="14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Operating time (days)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5455360"/>
        <c:crosses val="autoZero"/>
        <c:crossBetween val="midCat"/>
        <c:majorUnit val="10"/>
      </c:valAx>
      <c:valAx>
        <c:axId val="295455360"/>
        <c:scaling>
          <c:orientation val="minMax"/>
          <c:max val="10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HRT (h)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4862848"/>
        <c:crosses val="autoZero"/>
        <c:crossBetween val="midCat"/>
      </c:valAx>
      <c:valAx>
        <c:axId val="295478016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OLR (g COD/Lday)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5483264"/>
        <c:crosses val="max"/>
        <c:crossBetween val="midCat"/>
      </c:valAx>
      <c:valAx>
        <c:axId val="2954832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547801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39300131233595803"/>
          <c:y val="0.88613225430154563"/>
          <c:w val="0.17922090988626421"/>
          <c:h val="0.11187882764654418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72198897413108"/>
          <c:y val="0.1162153689122193"/>
          <c:w val="0.7518528783348204"/>
          <c:h val="0.65206401283172932"/>
        </c:manualLayout>
      </c:layout>
      <c:scatterChart>
        <c:scatterStyle val="smoothMarker"/>
        <c:varyColors val="0"/>
        <c:ser>
          <c:idx val="0"/>
          <c:order val="0"/>
          <c:tx>
            <c:v>COD Removal</c:v>
          </c:tx>
          <c:spPr>
            <a:ln>
              <a:noFill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[2]SGBR!$BQ$105:$BQ$124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[2]SGBR!$BR$105:$BR$124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79-8542-96D2-8BF7CB808327}"/>
            </c:ext>
          </c:extLst>
        </c:ser>
        <c:ser>
          <c:idx val="1"/>
          <c:order val="1"/>
          <c:tx>
            <c:v>TSS Removal</c:v>
          </c:tx>
          <c:spPr>
            <a:ln>
              <a:noFill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[2]SGBR!$BQ$105:$BQ$124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[2]SGBR!$BS$105:$BS$124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F79-8542-96D2-8BF7CB808327}"/>
            </c:ext>
          </c:extLst>
        </c:ser>
        <c:ser>
          <c:idx val="2"/>
          <c:order val="2"/>
          <c:tx>
            <c:v>FOG Removal</c:v>
          </c:tx>
          <c:spPr>
            <a:ln>
              <a:noFill/>
            </a:ln>
          </c:spPr>
          <c:marker>
            <c:symbol val="triangle"/>
            <c:size val="4"/>
            <c:spPr>
              <a:solidFill>
                <a:srgbClr val="CC00CC"/>
              </a:solidFill>
              <a:ln w="19050">
                <a:solidFill>
                  <a:srgbClr val="CC00CC"/>
                </a:solidFill>
              </a:ln>
            </c:spPr>
          </c:marker>
          <c:xVal>
            <c:numRef>
              <c:f>[2]SGBR!$BQ$105:$BQ$124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[2]SGBR!$BT$105:$BT$124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F79-8542-96D2-8BF7CB808327}"/>
            </c:ext>
          </c:extLst>
        </c:ser>
        <c:ser>
          <c:idx val="3"/>
          <c:order val="3"/>
          <c:tx>
            <c:v>BOD Removal</c:v>
          </c:tx>
          <c:spPr>
            <a:ln w="28575">
              <a:noFill/>
            </a:ln>
          </c:spPr>
          <c:marker>
            <c:symbol val="dash"/>
            <c:size val="5"/>
            <c:spPr>
              <a:solidFill>
                <a:srgbClr val="66FF33"/>
              </a:solidFill>
              <a:ln w="15875">
                <a:solidFill>
                  <a:srgbClr val="33CC33"/>
                </a:solidFill>
              </a:ln>
            </c:spPr>
          </c:marker>
          <c:xVal>
            <c:numRef>
              <c:f>[2]SGBR!$BQ$105:$BQ$124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[2]SGBR!$BE$105:$BE$124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F79-8542-96D2-8BF7CB808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96672"/>
        <c:axId val="309085312"/>
      </c:scatterChart>
      <c:scatterChart>
        <c:scatterStyle val="smoothMarker"/>
        <c:varyColors val="0"/>
        <c:ser>
          <c:idx val="4"/>
          <c:order val="4"/>
          <c:tx>
            <c:v>OLR</c:v>
          </c:tx>
          <c:spPr>
            <a:ln w="28575">
              <a:noFill/>
            </a:ln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</c:spPr>
          </c:marker>
          <c:xVal>
            <c:numRef>
              <c:f>[2]SGBR!$BQ$105:$BQ$124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[2]SGBR!$BV$105:$BV$124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F79-8542-96D2-8BF7CB808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140864"/>
        <c:axId val="309138944"/>
      </c:scatterChart>
      <c:valAx>
        <c:axId val="301996672"/>
        <c:scaling>
          <c:orientation val="minMax"/>
          <c:max val="14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Operating time</a:t>
                </a:r>
                <a:r>
                  <a:rPr lang="en-GB" baseline="0"/>
                  <a:t> (days)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35748584921226267"/>
              <c:y val="0.8472222222222222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09085312"/>
        <c:crosses val="autoZero"/>
        <c:crossBetween val="midCat"/>
        <c:majorUnit val="10"/>
      </c:valAx>
      <c:valAx>
        <c:axId val="309085312"/>
        <c:scaling>
          <c:orientation val="minMax"/>
          <c:max val="1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Removal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1996672"/>
        <c:crosses val="autoZero"/>
        <c:crossBetween val="midCat"/>
      </c:valAx>
      <c:valAx>
        <c:axId val="309138944"/>
        <c:scaling>
          <c:orientation val="minMax"/>
          <c:max val="9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OLR (g</a:t>
                </a:r>
                <a:r>
                  <a:rPr lang="en-GB" baseline="0"/>
                  <a:t> </a:t>
                </a:r>
                <a:r>
                  <a:rPr lang="en-GB"/>
                  <a:t>COD/Lday)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9140864"/>
        <c:crosses val="max"/>
        <c:crossBetween val="midCat"/>
      </c:valAx>
      <c:valAx>
        <c:axId val="3091408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9138944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5.7189226702289868E-2"/>
          <c:y val="0.91126932050160392"/>
          <c:w val="0.87134497717598947"/>
          <c:h val="8.873067949839604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012319663901074"/>
          <c:y val="0.15313684747739867"/>
          <c:w val="0.73408913755746974"/>
          <c:h val="0.66974883347914849"/>
        </c:manualLayout>
      </c:layout>
      <c:scatterChart>
        <c:scatterStyle val="smoothMarker"/>
        <c:varyColors val="0"/>
        <c:ser>
          <c:idx val="0"/>
          <c:order val="0"/>
          <c:tx>
            <c:v>Feed COD</c:v>
          </c:tx>
          <c:spPr>
            <a:ln>
              <a:noFill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[2]SGBR!$T$128:$T$164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xVal>
          <c:yVal>
            <c:numRef>
              <c:f>[2]SGBR!$AA$128:$AA$164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D5-654F-9BD5-DC3C8DE0EA11}"/>
            </c:ext>
          </c:extLst>
        </c:ser>
        <c:ser>
          <c:idx val="1"/>
          <c:order val="1"/>
          <c:tx>
            <c:v>Product COD</c:v>
          </c:tx>
          <c:spPr>
            <a:ln>
              <a:noFill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[2]SGBR!$T$128:$T$164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xVal>
          <c:yVal>
            <c:numRef>
              <c:f>[2]SGBR!$AB$128:$AB$164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D5-654F-9BD5-DC3C8DE0EA11}"/>
            </c:ext>
          </c:extLst>
        </c:ser>
        <c:ser>
          <c:idx val="2"/>
          <c:order val="2"/>
          <c:tx>
            <c:v>CCT COD discharge limit</c:v>
          </c:tx>
          <c:spPr>
            <a:ln w="28575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[2]SGBR!$T$105:$T$164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xVal>
          <c:yVal>
            <c:numRef>
              <c:f>[2]SGBR!$AJ$105:$AJ$164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D5-654F-9BD5-DC3C8DE0E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647232"/>
        <c:axId val="309653504"/>
      </c:scatterChart>
      <c:valAx>
        <c:axId val="309647232"/>
        <c:scaling>
          <c:orientation val="minMax"/>
          <c:max val="140"/>
          <c:min val="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Operating time (days)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9653504"/>
        <c:crosses val="autoZero"/>
        <c:crossBetween val="midCat"/>
        <c:majorUnit val="10"/>
      </c:valAx>
      <c:valAx>
        <c:axId val="309653504"/>
        <c:scaling>
          <c:orientation val="minMax"/>
          <c:max val="13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COD (mg/L)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964723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9714765100671142"/>
          <c:y val="1.6812481773111692E-3"/>
          <c:w val="0.47567114093959734"/>
          <c:h val="0.18350393700787399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254742905458966"/>
          <c:y val="5.1400554097404488E-2"/>
          <c:w val="0.72181600471301843"/>
          <c:h val="0.64648512685914261"/>
        </c:manualLayout>
      </c:layout>
      <c:scatterChart>
        <c:scatterStyle val="smoothMarker"/>
        <c:varyColors val="0"/>
        <c:ser>
          <c:idx val="0"/>
          <c:order val="0"/>
          <c:tx>
            <c:v>feed pH</c:v>
          </c:tx>
          <c:spPr>
            <a:ln w="3175">
              <a:noFill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[2]SGBR!$AQ$112:$AQ$124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[2]SGBR!$BJ$112:$BJ$124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64-0544-939C-284DF45BC9B0}"/>
            </c:ext>
          </c:extLst>
        </c:ser>
        <c:ser>
          <c:idx val="1"/>
          <c:order val="1"/>
          <c:tx>
            <c:v>product pH</c:v>
          </c:tx>
          <c:spPr>
            <a:ln w="3175">
              <a:noFill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[2]SGBR!$AQ$112:$AQ$124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[2]SGBR!$BK$112:$BK$124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64-0544-939C-284DF45BC9B0}"/>
            </c:ext>
          </c:extLst>
        </c:ser>
        <c:ser>
          <c:idx val="2"/>
          <c:order val="2"/>
          <c:tx>
            <c:v>pH lower limit</c:v>
          </c:tx>
          <c:spPr>
            <a:ln w="28575">
              <a:solidFill>
                <a:schemeClr val="tx1"/>
              </a:solidFill>
              <a:prstDash val="sysDot"/>
            </a:ln>
          </c:spPr>
          <c:marker>
            <c:symbol val="none"/>
          </c:marker>
          <c:xVal>
            <c:numRef>
              <c:f>[2]SGBR!$AQ$112:$AQ$124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[2]SGBR!$BO$112:$BO$124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A64-0544-939C-284DF45BC9B0}"/>
            </c:ext>
          </c:extLst>
        </c:ser>
        <c:ser>
          <c:idx val="3"/>
          <c:order val="3"/>
          <c:tx>
            <c:v>pH upper limit</c:v>
          </c:tx>
          <c:spPr>
            <a:ln w="28575">
              <a:solidFill>
                <a:schemeClr val="tx1"/>
              </a:solidFill>
              <a:prstDash val="sysDash"/>
            </a:ln>
          </c:spPr>
          <c:marker>
            <c:symbol val="none"/>
          </c:marker>
          <c:xVal>
            <c:numRef>
              <c:f>[2]SGBR!$AQ$112:$AQ$124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[2]SGBR!$BP$112:$BP$124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A64-0544-939C-284DF45BC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702272"/>
        <c:axId val="232936192"/>
      </c:scatterChart>
      <c:valAx>
        <c:axId val="165702272"/>
        <c:scaling>
          <c:orientation val="minMax"/>
          <c:max val="140"/>
          <c:min val="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Operating</a:t>
                </a:r>
                <a:r>
                  <a:rPr lang="en-GB" baseline="0"/>
                  <a:t> time (days)</a:t>
                </a:r>
                <a:endParaRPr lang="en-GB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2936192"/>
        <c:crosses val="autoZero"/>
        <c:crossBetween val="midCat"/>
        <c:majorUnit val="10"/>
      </c:valAx>
      <c:valAx>
        <c:axId val="232936192"/>
        <c:scaling>
          <c:orientation val="minMax"/>
          <c:max val="12"/>
          <c:min val="5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pH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5702272"/>
        <c:crosses val="autoZero"/>
        <c:crossBetween val="midCat"/>
        <c:majorUnit val="1"/>
        <c:minorUnit val="0.2"/>
      </c:valAx>
    </c:plotArea>
    <c:legend>
      <c:legendPos val="r"/>
      <c:layout>
        <c:manualLayout>
          <c:xMode val="edge"/>
          <c:yMode val="edge"/>
          <c:x val="0.10328154472876368"/>
          <c:y val="0.86998651210265388"/>
          <c:w val="0.8402487543788274"/>
          <c:h val="9.7606080489938754E-2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03640284136505"/>
          <c:y val="0.18091462525517646"/>
          <c:w val="0.72016216351995055"/>
          <c:h val="0.62808216681248175"/>
        </c:manualLayout>
      </c:layout>
      <c:scatterChart>
        <c:scatterStyle val="smoothMarker"/>
        <c:varyColors val="0"/>
        <c:ser>
          <c:idx val="0"/>
          <c:order val="0"/>
          <c:tx>
            <c:v>Feed FOG</c:v>
          </c:tx>
          <c:spPr>
            <a:ln>
              <a:noFill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[2]SGBR!$AQ$112:$AQ$124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[2]SGBR!$BG$112:$BG$124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21-3647-A711-D945E0D4D8A6}"/>
            </c:ext>
          </c:extLst>
        </c:ser>
        <c:ser>
          <c:idx val="1"/>
          <c:order val="1"/>
          <c:tx>
            <c:v>Product FOG</c:v>
          </c:tx>
          <c:spPr>
            <a:ln>
              <a:noFill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[2]SGBR!$AQ$112:$AQ$124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[2]SGBR!$BH$112:$BH$124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21-3647-A711-D945E0D4D8A6}"/>
            </c:ext>
          </c:extLst>
        </c:ser>
        <c:ser>
          <c:idx val="2"/>
          <c:order val="2"/>
          <c:tx>
            <c:v>CCT FOG discharge limit</c:v>
          </c:tx>
          <c:spPr>
            <a:ln w="28575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[2]SGBR!$AQ$112:$AQ$124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[2]SGBR!$CB$112:$CB$124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921-3647-A711-D945E0D4D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738112"/>
        <c:axId val="309740288"/>
      </c:scatterChart>
      <c:valAx>
        <c:axId val="309738112"/>
        <c:scaling>
          <c:orientation val="minMax"/>
          <c:max val="140"/>
          <c:min val="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Operating time (days)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9740288"/>
        <c:crosses val="autoZero"/>
        <c:crossBetween val="midCat"/>
        <c:majorUnit val="10"/>
      </c:valAx>
      <c:valAx>
        <c:axId val="309740288"/>
        <c:scaling>
          <c:orientation val="minMax"/>
          <c:max val="18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FOG (mg/L)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973811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9346619566180193"/>
          <c:y val="0"/>
          <c:w val="0.51126029056170241"/>
          <c:h val="0.20370370370370369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03640284136505"/>
          <c:y val="0.13461832895888015"/>
          <c:w val="0.74252872499494316"/>
          <c:h val="0.68826735199766698"/>
        </c:manualLayout>
      </c:layout>
      <c:scatterChart>
        <c:scatterStyle val="smoothMarker"/>
        <c:varyColors val="0"/>
        <c:ser>
          <c:idx val="0"/>
          <c:order val="0"/>
          <c:tx>
            <c:v>Feed TSS</c:v>
          </c:tx>
          <c:spPr>
            <a:ln>
              <a:noFill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[2]SGBR!$T$128:$T$164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xVal>
          <c:yVal>
            <c:numRef>
              <c:f>[2]SGBR!$U$128:$U$164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7D-B648-ABCB-8C865C775053}"/>
            </c:ext>
          </c:extLst>
        </c:ser>
        <c:ser>
          <c:idx val="1"/>
          <c:order val="1"/>
          <c:tx>
            <c:v>Product TSS</c:v>
          </c:tx>
          <c:spPr>
            <a:ln>
              <a:noFill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[2]SGBR!$T$128:$T$164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xVal>
          <c:yVal>
            <c:numRef>
              <c:f>[2]SGBR!$V$128:$V$164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7D-B648-ABCB-8C865C775053}"/>
            </c:ext>
          </c:extLst>
        </c:ser>
        <c:ser>
          <c:idx val="2"/>
          <c:order val="2"/>
          <c:tx>
            <c:v>CCT TSS discharge limit</c:v>
          </c:tx>
          <c:spPr>
            <a:ln w="28575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[2]SGBR!$T$128:$T$164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xVal>
          <c:yVal>
            <c:numRef>
              <c:f>[2]SGBR!$AK$128:$AK$164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7D-B648-ABCB-8C865C775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762304"/>
        <c:axId val="309809536"/>
      </c:scatterChart>
      <c:valAx>
        <c:axId val="309762304"/>
        <c:scaling>
          <c:orientation val="minMax"/>
          <c:max val="140"/>
          <c:min val="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Operating time (days)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9809536"/>
        <c:crosses val="autoZero"/>
        <c:crossBetween val="midCat"/>
        <c:majorUnit val="10"/>
      </c:valAx>
      <c:valAx>
        <c:axId val="309809536"/>
        <c:scaling>
          <c:orientation val="minMax"/>
          <c:max val="9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TSS (mg/L)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976230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21445385161495881"/>
          <c:y val="6.3108778069408027E-3"/>
          <c:w val="0.53940490245201922"/>
          <c:h val="0.17129629629629631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843310833241119"/>
          <c:y val="5.1400554097404488E-2"/>
          <c:w val="0.73212188600984485"/>
          <c:h val="0.78537401574803145"/>
        </c:manualLayout>
      </c:layout>
      <c:scatterChart>
        <c:scatterStyle val="smoothMarker"/>
        <c:varyColors val="0"/>
        <c:ser>
          <c:idx val="0"/>
          <c:order val="0"/>
          <c:tx>
            <c:v>Feed phosphate</c:v>
          </c:tx>
          <c:spPr>
            <a:ln w="3175">
              <a:noFill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[2]SGBR!$CC$114:$CC$125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xVal>
          <c:yVal>
            <c:numRef>
              <c:f>[2]SGBR!$CF$114:$CF$125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70-9C4E-826F-D3CABA467B59}"/>
            </c:ext>
          </c:extLst>
        </c:ser>
        <c:ser>
          <c:idx val="1"/>
          <c:order val="1"/>
          <c:tx>
            <c:v>Product phosphate</c:v>
          </c:tx>
          <c:spPr>
            <a:ln w="3175">
              <a:noFill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[2]SGBR!$CC$114:$CC$125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xVal>
          <c:yVal>
            <c:numRef>
              <c:f>[2]SGBR!$CG$114:$CG$125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270-9C4E-826F-D3CABA467B59}"/>
            </c:ext>
          </c:extLst>
        </c:ser>
        <c:ser>
          <c:idx val="2"/>
          <c:order val="2"/>
          <c:tx>
            <c:v>CCT Phosphate discharge limit</c:v>
          </c:tx>
          <c:spPr>
            <a:ln w="28575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[2]SGBR!$CC$114:$CC$125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xVal>
          <c:yVal>
            <c:numRef>
              <c:f>[2]SGBR!$CH$114:$CH$125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270-9C4E-826F-D3CABA467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831552"/>
        <c:axId val="309841920"/>
      </c:scatterChart>
      <c:valAx>
        <c:axId val="309831552"/>
        <c:scaling>
          <c:orientation val="minMax"/>
          <c:max val="140"/>
          <c:min val="6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Operating time (days)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9841920"/>
        <c:crosses val="autoZero"/>
        <c:crossBetween val="midCat"/>
        <c:majorUnit val="10"/>
      </c:valAx>
      <c:valAx>
        <c:axId val="309841920"/>
        <c:scaling>
          <c:orientation val="minMax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PO</a:t>
                </a:r>
                <a:r>
                  <a:rPr lang="en-GB" baseline="-25000"/>
                  <a:t>4</a:t>
                </a:r>
                <a:r>
                  <a:rPr lang="en-GB" baseline="30000"/>
                  <a:t>3-</a:t>
                </a:r>
                <a:r>
                  <a:rPr lang="en-GB"/>
                  <a:t> (mg/L)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9831552"/>
        <c:crosses val="autoZero"/>
        <c:crossBetween val="midCat"/>
        <c:maj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8034013864804356"/>
          <c:y val="0.5366531787693205"/>
          <c:w val="0.61518397225461485"/>
          <c:h val="0.25038385826771653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012319663901074"/>
          <c:y val="0.15313684747739867"/>
          <c:w val="0.73408913755746974"/>
          <c:h val="0.66974883347914849"/>
        </c:manualLayout>
      </c:layout>
      <c:scatterChart>
        <c:scatterStyle val="smoothMarker"/>
        <c:varyColors val="0"/>
        <c:ser>
          <c:idx val="0"/>
          <c:order val="0"/>
          <c:tx>
            <c:v>Feed NH4-N</c:v>
          </c:tx>
          <c:spPr>
            <a:ln>
              <a:noFill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[2]SGBR!$T$128:$T$164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xVal>
          <c:yVal>
            <c:numRef>
              <c:f>[2]SGBR!$AD$128:$AD$164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5A-D94E-8491-89D24AD404E9}"/>
            </c:ext>
          </c:extLst>
        </c:ser>
        <c:ser>
          <c:idx val="1"/>
          <c:order val="1"/>
          <c:tx>
            <c:v>Effluent NH4-N</c:v>
          </c:tx>
          <c:spPr>
            <a:ln>
              <a:noFill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[2]SGBR!$T$128:$T$164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xVal>
          <c:yVal>
            <c:numRef>
              <c:f>[2]SGBR!$AE$128:$AE$164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5A-D94E-8491-89D24AD404E9}"/>
            </c:ext>
          </c:extLst>
        </c:ser>
        <c:ser>
          <c:idx val="2"/>
          <c:order val="2"/>
          <c:tx>
            <c:v>SANS 241 NH4-N discharge limit</c:v>
          </c:tx>
          <c:spPr>
            <a:ln w="28575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[2]SGBR!$T$105:$T$164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xVal>
          <c:yVal>
            <c:numRef>
              <c:f>[2]SGBR!$CX$105:$CX$164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85A-D94E-8491-89D24AD40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053120"/>
        <c:axId val="310059392"/>
      </c:scatterChart>
      <c:valAx>
        <c:axId val="310053120"/>
        <c:scaling>
          <c:orientation val="minMax"/>
          <c:max val="140"/>
          <c:min val="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Operating time (days)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0059392"/>
        <c:crosses val="autoZero"/>
        <c:crossBetween val="midCat"/>
        <c:majorUnit val="10"/>
      </c:valAx>
      <c:valAx>
        <c:axId val="3100593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NH4-N (mg/L)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005312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9714765100671142"/>
          <c:y val="1.6812481773111692E-3"/>
          <c:w val="0.68889552085750483"/>
          <c:h val="0.18813356663750366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012319663901074"/>
          <c:y val="0.15313684747739867"/>
          <c:w val="0.73408913755746974"/>
          <c:h val="0.66974883347914849"/>
        </c:manualLayout>
      </c:layout>
      <c:scatterChart>
        <c:scatterStyle val="smoothMarker"/>
        <c:varyColors val="0"/>
        <c:ser>
          <c:idx val="0"/>
          <c:order val="0"/>
          <c:tx>
            <c:v>Feed NO3-N</c:v>
          </c:tx>
          <c:spPr>
            <a:ln>
              <a:noFill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[2]SGBR!$T$128:$T$164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xVal>
          <c:yVal>
            <c:numRef>
              <c:f>[2]SGBR!$AG$128:$AG$164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7F-D048-9FD5-3C9FB1E7DCB0}"/>
            </c:ext>
          </c:extLst>
        </c:ser>
        <c:ser>
          <c:idx val="1"/>
          <c:order val="1"/>
          <c:tx>
            <c:v>Effluent NO3-N</c:v>
          </c:tx>
          <c:spPr>
            <a:ln>
              <a:noFill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[2]SGBR!$T$128:$T$164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xVal>
          <c:yVal>
            <c:numRef>
              <c:f>[2]SGBR!$AH$128:$AH$164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7F-D048-9FD5-3C9FB1E7DCB0}"/>
            </c:ext>
          </c:extLst>
        </c:ser>
        <c:ser>
          <c:idx val="2"/>
          <c:order val="2"/>
          <c:tx>
            <c:v>SANS 241 NO3-N discharge limit</c:v>
          </c:tx>
          <c:spPr>
            <a:ln w="28575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[2]SGBR!$T$105:$T$164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xVal>
          <c:yVal>
            <c:numRef>
              <c:f>[2]SGBR!$CY$105:$CY$164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77F-D048-9FD5-3C9FB1E7D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094080"/>
        <c:axId val="310116736"/>
      </c:scatterChart>
      <c:valAx>
        <c:axId val="310094080"/>
        <c:scaling>
          <c:orientation val="minMax"/>
          <c:max val="140"/>
          <c:min val="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Operating time (days)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0116736"/>
        <c:crosses val="autoZero"/>
        <c:crossBetween val="midCat"/>
        <c:majorUnit val="10"/>
      </c:valAx>
      <c:valAx>
        <c:axId val="310116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NO3-N (mg/L)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009408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9714765100671142"/>
          <c:y val="1.6812481773111692E-3"/>
          <c:w val="0.68873439810085535"/>
          <c:h val="0.17424467774861477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03640284136505"/>
          <c:y val="0.13461832895888015"/>
          <c:w val="0.74252872499494316"/>
          <c:h val="0.68826735199766698"/>
        </c:manualLayout>
      </c:layout>
      <c:scatterChart>
        <c:scatterStyle val="smoothMarker"/>
        <c:varyColors val="0"/>
        <c:ser>
          <c:idx val="0"/>
          <c:order val="0"/>
          <c:tx>
            <c:v>Feed TDS</c:v>
          </c:tx>
          <c:spPr>
            <a:ln>
              <a:noFill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[2]SGBR!$D$144:$D$204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xVal>
          <c:yVal>
            <c:numRef>
              <c:f>[2]SGBR!$K$144:$K$204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3E-5D48-96A7-7F2D1A1CA09D}"/>
            </c:ext>
          </c:extLst>
        </c:ser>
        <c:ser>
          <c:idx val="1"/>
          <c:order val="1"/>
          <c:tx>
            <c:v>Effluent TDS</c:v>
          </c:tx>
          <c:spPr>
            <a:ln>
              <a:noFill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[2]SGBR!$D$144:$D$204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xVal>
          <c:yVal>
            <c:numRef>
              <c:f>[2]SGBR!$L$144:$L$204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3E-5D48-96A7-7F2D1A1CA09D}"/>
            </c:ext>
          </c:extLst>
        </c:ser>
        <c:ser>
          <c:idx val="2"/>
          <c:order val="2"/>
          <c:tx>
            <c:v>SANS 241 TDS discharge limit</c:v>
          </c:tx>
          <c:spPr>
            <a:ln w="28575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[2]SGBR!$D$144:$D$204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xVal>
          <c:yVal>
            <c:numRef>
              <c:f>[2]SGBR!$Q$144:$Q$204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E3E-5D48-96A7-7F2D1A1CA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188288"/>
        <c:axId val="310190464"/>
      </c:scatterChart>
      <c:valAx>
        <c:axId val="310188288"/>
        <c:scaling>
          <c:orientation val="minMax"/>
          <c:max val="140"/>
          <c:min val="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Operating time (days)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0190464"/>
        <c:crosses val="autoZero"/>
        <c:crossBetween val="midCat"/>
        <c:majorUnit val="10"/>
      </c:valAx>
      <c:valAx>
        <c:axId val="310190464"/>
        <c:scaling>
          <c:orientation val="minMax"/>
          <c:max val="2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T</a:t>
                </a:r>
                <a:r>
                  <a:rPr lang="en-GB" baseline="0"/>
                  <a:t>DS </a:t>
                </a:r>
                <a:r>
                  <a:rPr lang="en-GB"/>
                  <a:t>(mg/L)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0188288"/>
        <c:crosses val="autoZero"/>
        <c:crossBetween val="midCat"/>
        <c:majorUnit val="200"/>
      </c:valAx>
    </c:plotArea>
    <c:legend>
      <c:legendPos val="r"/>
      <c:layout>
        <c:manualLayout>
          <c:xMode val="edge"/>
          <c:yMode val="edge"/>
          <c:x val="0.21445385161495881"/>
          <c:y val="6.3108778069408027E-3"/>
          <c:w val="0.63497463031719625"/>
          <c:h val="0.16203703703703703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SGBR</c:v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'COMPARATIVE STUDY (3 REACTORS)'!$H$4:$H$18</c:f>
              <c:numCache>
                <c:formatCode>General</c:formatCode>
                <c:ptCount val="15"/>
                <c:pt idx="0">
                  <c:v>5</c:v>
                </c:pt>
                <c:pt idx="1">
                  <c:v>12</c:v>
                </c:pt>
                <c:pt idx="2">
                  <c:v>19</c:v>
                </c:pt>
                <c:pt idx="3">
                  <c:v>26</c:v>
                </c:pt>
                <c:pt idx="4">
                  <c:v>33</c:v>
                </c:pt>
                <c:pt idx="5">
                  <c:v>40</c:v>
                </c:pt>
                <c:pt idx="6">
                  <c:v>47</c:v>
                </c:pt>
                <c:pt idx="7">
                  <c:v>54</c:v>
                </c:pt>
                <c:pt idx="8">
                  <c:v>61</c:v>
                </c:pt>
                <c:pt idx="9">
                  <c:v>68</c:v>
                </c:pt>
                <c:pt idx="10">
                  <c:v>75</c:v>
                </c:pt>
                <c:pt idx="11">
                  <c:v>82</c:v>
                </c:pt>
                <c:pt idx="12">
                  <c:v>89</c:v>
                </c:pt>
                <c:pt idx="13">
                  <c:v>96</c:v>
                </c:pt>
                <c:pt idx="14">
                  <c:v>103</c:v>
                </c:pt>
              </c:numCache>
            </c:numRef>
          </c:xVal>
          <c:yVal>
            <c:numRef>
              <c:f>'COMPARATIVE STUDY (3 REACTORS)'!$AA$4:$AA$18</c:f>
              <c:numCache>
                <c:formatCode>0.00</c:formatCode>
                <c:ptCount val="15"/>
                <c:pt idx="0">
                  <c:v>8.7888531618435156E-2</c:v>
                </c:pt>
                <c:pt idx="1">
                  <c:v>0.16914498141263939</c:v>
                </c:pt>
                <c:pt idx="2">
                  <c:v>0.10664819944598337</c:v>
                </c:pt>
                <c:pt idx="3">
                  <c:v>0.14727272727272728</c:v>
                </c:pt>
                <c:pt idx="4">
                  <c:v>0.23162583518930957</c:v>
                </c:pt>
                <c:pt idx="5">
                  <c:v>0.33023255813953489</c:v>
                </c:pt>
                <c:pt idx="6">
                  <c:v>0.20970266040688576</c:v>
                </c:pt>
                <c:pt idx="7">
                  <c:v>0.51009421265141319</c:v>
                </c:pt>
                <c:pt idx="8">
                  <c:v>0.49551856594110116</c:v>
                </c:pt>
                <c:pt idx="9">
                  <c:v>0.98529411764705888</c:v>
                </c:pt>
                <c:pt idx="10">
                  <c:v>0.22278481012658227</c:v>
                </c:pt>
                <c:pt idx="11">
                  <c:v>8.7878787878787876E-2</c:v>
                </c:pt>
                <c:pt idx="12">
                  <c:v>0.18354430379746836</c:v>
                </c:pt>
                <c:pt idx="13">
                  <c:v>0.15176715176715178</c:v>
                </c:pt>
                <c:pt idx="14">
                  <c:v>0.13562753036437247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C6-4513-9B7D-70161FA85123}"/>
            </c:ext>
          </c:extLst>
        </c:ser>
        <c:ser>
          <c:idx val="1"/>
          <c:order val="1"/>
          <c:tx>
            <c:v>EGSB</c:v>
          </c:tx>
          <c:spPr>
            <a:ln w="19050" cap="rnd">
              <a:solidFill>
                <a:schemeClr val="accent2"/>
              </a:solidFill>
              <a:prstDash val="dashDot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'COMPARATIVE STUDY (3 REACTORS)'!$H$28:$H$42</c:f>
              <c:numCache>
                <c:formatCode>General</c:formatCode>
                <c:ptCount val="15"/>
                <c:pt idx="0">
                  <c:v>5</c:v>
                </c:pt>
                <c:pt idx="1">
                  <c:v>12</c:v>
                </c:pt>
                <c:pt idx="2">
                  <c:v>19</c:v>
                </c:pt>
                <c:pt idx="3">
                  <c:v>26</c:v>
                </c:pt>
                <c:pt idx="4">
                  <c:v>33</c:v>
                </c:pt>
                <c:pt idx="5">
                  <c:v>40</c:v>
                </c:pt>
                <c:pt idx="6">
                  <c:v>47</c:v>
                </c:pt>
                <c:pt idx="7">
                  <c:v>54</c:v>
                </c:pt>
                <c:pt idx="8">
                  <c:v>61</c:v>
                </c:pt>
                <c:pt idx="9">
                  <c:v>68</c:v>
                </c:pt>
                <c:pt idx="10">
                  <c:v>75</c:v>
                </c:pt>
                <c:pt idx="11">
                  <c:v>82</c:v>
                </c:pt>
                <c:pt idx="12">
                  <c:v>89</c:v>
                </c:pt>
                <c:pt idx="13">
                  <c:v>96</c:v>
                </c:pt>
                <c:pt idx="14">
                  <c:v>103</c:v>
                </c:pt>
              </c:numCache>
            </c:numRef>
          </c:xVal>
          <c:yVal>
            <c:numRef>
              <c:f>'COMPARATIVE STUDY (3 REACTORS)'!$X$28:$X$42</c:f>
              <c:numCache>
                <c:formatCode>0.00</c:formatCode>
                <c:ptCount val="15"/>
                <c:pt idx="0">
                  <c:v>9.6491228070175433E-2</c:v>
                </c:pt>
                <c:pt idx="1">
                  <c:v>1.3662239089184061</c:v>
                </c:pt>
                <c:pt idx="2">
                  <c:v>2.7569444444444446</c:v>
                </c:pt>
                <c:pt idx="3">
                  <c:v>3.0375939849624061</c:v>
                </c:pt>
                <c:pt idx="4">
                  <c:v>0.43253968253968256</c:v>
                </c:pt>
                <c:pt idx="5">
                  <c:v>1.3662239089184061</c:v>
                </c:pt>
                <c:pt idx="6">
                  <c:v>3.4444444444444446</c:v>
                </c:pt>
                <c:pt idx="7">
                  <c:v>0.41666666666666669</c:v>
                </c:pt>
                <c:pt idx="8">
                  <c:v>0.25322997416020671</c:v>
                </c:pt>
                <c:pt idx="9">
                  <c:v>0.19424460431654678</c:v>
                </c:pt>
                <c:pt idx="10">
                  <c:v>0.21311475409836064</c:v>
                </c:pt>
                <c:pt idx="11">
                  <c:v>0.23655913978494625</c:v>
                </c:pt>
                <c:pt idx="12">
                  <c:v>9.8989898989898989E-2</c:v>
                </c:pt>
                <c:pt idx="13">
                  <c:v>0.23244929797191888</c:v>
                </c:pt>
                <c:pt idx="14">
                  <c:v>0.2716297786720322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C6-4513-9B7D-70161FA85123}"/>
            </c:ext>
          </c:extLst>
        </c:ser>
        <c:ser>
          <c:idx val="2"/>
          <c:order val="2"/>
          <c:tx>
            <c:v>DEGBR</c:v>
          </c:tx>
          <c:spPr>
            <a:ln w="19050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'COMPARATIVE STUDY (3 REACTORS)'!$H$58:$H$72</c:f>
              <c:numCache>
                <c:formatCode>General</c:formatCode>
                <c:ptCount val="15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35</c:v>
                </c:pt>
                <c:pt idx="5">
                  <c:v>42</c:v>
                </c:pt>
                <c:pt idx="6">
                  <c:v>49</c:v>
                </c:pt>
                <c:pt idx="7">
                  <c:v>56</c:v>
                </c:pt>
                <c:pt idx="8">
                  <c:v>63</c:v>
                </c:pt>
                <c:pt idx="9">
                  <c:v>70</c:v>
                </c:pt>
                <c:pt idx="10">
                  <c:v>77</c:v>
                </c:pt>
                <c:pt idx="11">
                  <c:v>84</c:v>
                </c:pt>
                <c:pt idx="12">
                  <c:v>91</c:v>
                </c:pt>
                <c:pt idx="13">
                  <c:v>98</c:v>
                </c:pt>
                <c:pt idx="14">
                  <c:v>105</c:v>
                </c:pt>
              </c:numCache>
            </c:numRef>
          </c:xVal>
          <c:yVal>
            <c:numRef>
              <c:f>'COMPARATIVE STUDY (3 REACTORS)'!$V$58:$V$72</c:f>
              <c:numCache>
                <c:formatCode>0.00</c:formatCode>
                <c:ptCount val="15"/>
                <c:pt idx="0">
                  <c:v>4.40251572327044E-2</c:v>
                </c:pt>
                <c:pt idx="1">
                  <c:v>7.6062639821029079E-2</c:v>
                </c:pt>
                <c:pt idx="2">
                  <c:v>0.1144578313253012</c:v>
                </c:pt>
                <c:pt idx="3">
                  <c:v>5.2415210688591986E-2</c:v>
                </c:pt>
                <c:pt idx="4">
                  <c:v>4.878048780487805E-2</c:v>
                </c:pt>
                <c:pt idx="5">
                  <c:v>0.12094395280235988</c:v>
                </c:pt>
                <c:pt idx="6">
                  <c:v>0.1149584487534626</c:v>
                </c:pt>
                <c:pt idx="7">
                  <c:v>8.6107921928817457E-2</c:v>
                </c:pt>
                <c:pt idx="8">
                  <c:v>8.6092715231788075E-2</c:v>
                </c:pt>
                <c:pt idx="9">
                  <c:v>5.8192955589586523E-2</c:v>
                </c:pt>
                <c:pt idx="10">
                  <c:v>6.3515509601181686E-2</c:v>
                </c:pt>
                <c:pt idx="11">
                  <c:v>7.10594315245478E-2</c:v>
                </c:pt>
                <c:pt idx="12">
                  <c:v>3.940217391304348E-2</c:v>
                </c:pt>
                <c:pt idx="13">
                  <c:v>3.9870689655172417E-2</c:v>
                </c:pt>
                <c:pt idx="14">
                  <c:v>0.13513513513513514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0C6-4513-9B7D-70161FA85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883200"/>
        <c:axId val="229642496"/>
      </c:scatterChart>
      <c:valAx>
        <c:axId val="229883200"/>
        <c:scaling>
          <c:orientation val="minMax"/>
          <c:max val="10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Operating</a:t>
                </a:r>
                <a:r>
                  <a:rPr lang="en-ZA" b="1" baseline="0"/>
                  <a:t> time (Day)</a:t>
                </a:r>
                <a:endParaRPr lang="en-ZA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642496"/>
        <c:crosses val="autoZero"/>
        <c:crossBetween val="midCat"/>
      </c:valAx>
      <c:valAx>
        <c:axId val="2296424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VFA/Alkalinity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883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1"/>
          <c:tx>
            <c:v>TCOD Removal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'COMPARATIVE STUDY (3 REACTORS)'!$H$58:$H$72</c:f>
              <c:numCache>
                <c:formatCode>General</c:formatCode>
                <c:ptCount val="15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35</c:v>
                </c:pt>
                <c:pt idx="5">
                  <c:v>42</c:v>
                </c:pt>
                <c:pt idx="6">
                  <c:v>49</c:v>
                </c:pt>
                <c:pt idx="7">
                  <c:v>56</c:v>
                </c:pt>
                <c:pt idx="8">
                  <c:v>63</c:v>
                </c:pt>
                <c:pt idx="9">
                  <c:v>70</c:v>
                </c:pt>
                <c:pt idx="10">
                  <c:v>77</c:v>
                </c:pt>
                <c:pt idx="11">
                  <c:v>84</c:v>
                </c:pt>
                <c:pt idx="12">
                  <c:v>91</c:v>
                </c:pt>
                <c:pt idx="13">
                  <c:v>98</c:v>
                </c:pt>
                <c:pt idx="14">
                  <c:v>105</c:v>
                </c:pt>
              </c:numCache>
            </c:numRef>
          </c:xVal>
          <c:yVal>
            <c:numRef>
              <c:f>'COMPARATIVE STUDY (3 REACTORS)'!$K$58:$K$72</c:f>
              <c:numCache>
                <c:formatCode>0.0</c:formatCode>
                <c:ptCount val="15"/>
                <c:pt idx="0">
                  <c:v>73.016826923076934</c:v>
                </c:pt>
                <c:pt idx="1">
                  <c:v>97.033603707995368</c:v>
                </c:pt>
                <c:pt idx="2">
                  <c:v>97.54177069329748</c:v>
                </c:pt>
                <c:pt idx="3">
                  <c:v>93.156244235380925</c:v>
                </c:pt>
                <c:pt idx="4">
                  <c:v>94.359526372443497</c:v>
                </c:pt>
                <c:pt idx="5">
                  <c:v>97.101731180704149</c:v>
                </c:pt>
                <c:pt idx="6">
                  <c:v>97.43688571979186</c:v>
                </c:pt>
                <c:pt idx="7">
                  <c:v>95.333067411248507</c:v>
                </c:pt>
                <c:pt idx="8">
                  <c:v>97.344873111339297</c:v>
                </c:pt>
                <c:pt idx="9">
                  <c:v>94.948671989571451</c:v>
                </c:pt>
                <c:pt idx="10">
                  <c:v>96.386906784460308</c:v>
                </c:pt>
                <c:pt idx="11">
                  <c:v>97.960422483914044</c:v>
                </c:pt>
                <c:pt idx="12">
                  <c:v>99.613899613899619</c:v>
                </c:pt>
                <c:pt idx="13">
                  <c:v>99.061609786069369</c:v>
                </c:pt>
                <c:pt idx="14">
                  <c:v>97.219962028749663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DE-4AC9-9A75-334682BA6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826736"/>
        <c:axId val="606827064"/>
      </c:scatterChart>
      <c:scatterChart>
        <c:scatterStyle val="smoothMarker"/>
        <c:varyColors val="0"/>
        <c:ser>
          <c:idx val="0"/>
          <c:order val="0"/>
          <c:tx>
            <c:v>OLR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'COMPARATIVE STUDY (3 REACTORS)'!$H$58:$H$72</c:f>
              <c:numCache>
                <c:formatCode>General</c:formatCode>
                <c:ptCount val="15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35</c:v>
                </c:pt>
                <c:pt idx="5">
                  <c:v>42</c:v>
                </c:pt>
                <c:pt idx="6">
                  <c:v>49</c:v>
                </c:pt>
                <c:pt idx="7">
                  <c:v>56</c:v>
                </c:pt>
                <c:pt idx="8">
                  <c:v>63</c:v>
                </c:pt>
                <c:pt idx="9">
                  <c:v>70</c:v>
                </c:pt>
                <c:pt idx="10">
                  <c:v>77</c:v>
                </c:pt>
                <c:pt idx="11">
                  <c:v>84</c:v>
                </c:pt>
                <c:pt idx="12">
                  <c:v>91</c:v>
                </c:pt>
                <c:pt idx="13">
                  <c:v>98</c:v>
                </c:pt>
                <c:pt idx="14">
                  <c:v>105</c:v>
                </c:pt>
              </c:numCache>
            </c:numRef>
          </c:xVal>
          <c:yVal>
            <c:numRef>
              <c:f>'COMPARATIVE STUDY (3 REACTORS)'!$F$58:$F$72</c:f>
              <c:numCache>
                <c:formatCode>0.0</c:formatCode>
                <c:ptCount val="15"/>
                <c:pt idx="0">
                  <c:v>1.1410285714285715</c:v>
                </c:pt>
                <c:pt idx="1">
                  <c:v>2.9588571428571431</c:v>
                </c:pt>
                <c:pt idx="2">
                  <c:v>3.5705142857142858</c:v>
                </c:pt>
                <c:pt idx="3">
                  <c:v>3.717257142857143</c:v>
                </c:pt>
                <c:pt idx="4">
                  <c:v>2.7869999999999999</c:v>
                </c:pt>
                <c:pt idx="5">
                  <c:v>3.0846</c:v>
                </c:pt>
                <c:pt idx="6">
                  <c:v>3.1133999999999999</c:v>
                </c:pt>
                <c:pt idx="7">
                  <c:v>4.0111999999999997</c:v>
                </c:pt>
                <c:pt idx="8">
                  <c:v>6.8170000000000002</c:v>
                </c:pt>
                <c:pt idx="9">
                  <c:v>6.1369999999999996</c:v>
                </c:pt>
                <c:pt idx="10">
                  <c:v>8.8290000000000006</c:v>
                </c:pt>
                <c:pt idx="11">
                  <c:v>9.8843999999999994</c:v>
                </c:pt>
                <c:pt idx="12">
                  <c:v>38.85</c:v>
                </c:pt>
                <c:pt idx="13">
                  <c:v>28.6448</c:v>
                </c:pt>
                <c:pt idx="14">
                  <c:v>11.798400000000001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DE-4AC9-9A75-334682BA6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6392296"/>
        <c:axId val="666395904"/>
      </c:scatterChart>
      <c:valAx>
        <c:axId val="606826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827064"/>
        <c:crosses val="autoZero"/>
        <c:crossBetween val="midCat"/>
      </c:valAx>
      <c:valAx>
        <c:axId val="606827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826736"/>
        <c:crosses val="autoZero"/>
        <c:crossBetween val="midCat"/>
      </c:valAx>
      <c:valAx>
        <c:axId val="666395904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392296"/>
        <c:crosses val="max"/>
        <c:crossBetween val="midCat"/>
      </c:valAx>
      <c:valAx>
        <c:axId val="666392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6395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425936536449173"/>
          <c:y val="0.2018912153736499"/>
          <c:w val="0.76548282493511022"/>
          <c:h val="0.60590376093077936"/>
        </c:manualLayout>
      </c:layout>
      <c:scatterChart>
        <c:scatterStyle val="smoothMarker"/>
        <c:varyColors val="0"/>
        <c:ser>
          <c:idx val="0"/>
          <c:order val="0"/>
          <c:tx>
            <c:v>TCOD removal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'COMPARATIVE STUDY (3 REACTORS)'!$H$58:$H$72</c:f>
              <c:numCache>
                <c:formatCode>General</c:formatCode>
                <c:ptCount val="15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35</c:v>
                </c:pt>
                <c:pt idx="5">
                  <c:v>42</c:v>
                </c:pt>
                <c:pt idx="6">
                  <c:v>49</c:v>
                </c:pt>
                <c:pt idx="7">
                  <c:v>56</c:v>
                </c:pt>
                <c:pt idx="8">
                  <c:v>63</c:v>
                </c:pt>
                <c:pt idx="9">
                  <c:v>70</c:v>
                </c:pt>
                <c:pt idx="10">
                  <c:v>77</c:v>
                </c:pt>
                <c:pt idx="11">
                  <c:v>84</c:v>
                </c:pt>
                <c:pt idx="12">
                  <c:v>91</c:v>
                </c:pt>
                <c:pt idx="13">
                  <c:v>98</c:v>
                </c:pt>
                <c:pt idx="14">
                  <c:v>105</c:v>
                </c:pt>
              </c:numCache>
            </c:numRef>
          </c:xVal>
          <c:yVal>
            <c:numRef>
              <c:f>'COMPARATIVE STUDY (3 REACTORS)'!$K$58:$K$72</c:f>
              <c:numCache>
                <c:formatCode>0.0</c:formatCode>
                <c:ptCount val="15"/>
                <c:pt idx="0">
                  <c:v>73.016826923076934</c:v>
                </c:pt>
                <c:pt idx="1">
                  <c:v>97.033603707995368</c:v>
                </c:pt>
                <c:pt idx="2">
                  <c:v>97.54177069329748</c:v>
                </c:pt>
                <c:pt idx="3">
                  <c:v>93.156244235380925</c:v>
                </c:pt>
                <c:pt idx="4">
                  <c:v>94.359526372443497</c:v>
                </c:pt>
                <c:pt idx="5">
                  <c:v>97.101731180704149</c:v>
                </c:pt>
                <c:pt idx="6">
                  <c:v>97.43688571979186</c:v>
                </c:pt>
                <c:pt idx="7">
                  <c:v>95.333067411248507</c:v>
                </c:pt>
                <c:pt idx="8">
                  <c:v>97.344873111339297</c:v>
                </c:pt>
                <c:pt idx="9">
                  <c:v>94.948671989571451</c:v>
                </c:pt>
                <c:pt idx="10">
                  <c:v>96.386906784460308</c:v>
                </c:pt>
                <c:pt idx="11">
                  <c:v>97.960422483914044</c:v>
                </c:pt>
                <c:pt idx="12">
                  <c:v>99.613899613899619</c:v>
                </c:pt>
                <c:pt idx="13">
                  <c:v>99.061609786069369</c:v>
                </c:pt>
                <c:pt idx="14">
                  <c:v>97.219962028749663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E8-4FAF-8317-B065933D77BB}"/>
            </c:ext>
          </c:extLst>
        </c:ser>
        <c:ser>
          <c:idx val="1"/>
          <c:order val="1"/>
          <c:tx>
            <c:v>BOD5 Removal</c:v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'COMPARATIVE STUDY (3 REACTORS)'!$H$58:$H$72</c:f>
              <c:numCache>
                <c:formatCode>General</c:formatCode>
                <c:ptCount val="15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35</c:v>
                </c:pt>
                <c:pt idx="5">
                  <c:v>42</c:v>
                </c:pt>
                <c:pt idx="6">
                  <c:v>49</c:v>
                </c:pt>
                <c:pt idx="7">
                  <c:v>56</c:v>
                </c:pt>
                <c:pt idx="8">
                  <c:v>63</c:v>
                </c:pt>
                <c:pt idx="9">
                  <c:v>70</c:v>
                </c:pt>
                <c:pt idx="10">
                  <c:v>77</c:v>
                </c:pt>
                <c:pt idx="11">
                  <c:v>84</c:v>
                </c:pt>
                <c:pt idx="12">
                  <c:v>91</c:v>
                </c:pt>
                <c:pt idx="13">
                  <c:v>98</c:v>
                </c:pt>
                <c:pt idx="14">
                  <c:v>105</c:v>
                </c:pt>
              </c:numCache>
            </c:numRef>
          </c:xVal>
          <c:yVal>
            <c:numRef>
              <c:f>'COMPARATIVE STUDY (3 REACTORS)'!$N$58:$N$72</c:f>
              <c:numCache>
                <c:formatCode>0.0</c:formatCode>
                <c:ptCount val="15"/>
                <c:pt idx="0">
                  <c:v>84.705882352941174</c:v>
                </c:pt>
                <c:pt idx="1">
                  <c:v>98.588235294117638</c:v>
                </c:pt>
                <c:pt idx="2">
                  <c:v>98.909090909090907</c:v>
                </c:pt>
                <c:pt idx="3">
                  <c:v>94.666666666666671</c:v>
                </c:pt>
                <c:pt idx="4">
                  <c:v>98.285714285714292</c:v>
                </c:pt>
                <c:pt idx="5">
                  <c:v>99.225806451612911</c:v>
                </c:pt>
                <c:pt idx="6">
                  <c:v>98.758620689655174</c:v>
                </c:pt>
                <c:pt idx="7">
                  <c:v>92.800000000000011</c:v>
                </c:pt>
                <c:pt idx="8">
                  <c:v>98.82352941176471</c:v>
                </c:pt>
                <c:pt idx="9">
                  <c:v>98.476190476190467</c:v>
                </c:pt>
                <c:pt idx="10">
                  <c:v>98.833333333333329</c:v>
                </c:pt>
                <c:pt idx="11">
                  <c:v>97.84</c:v>
                </c:pt>
                <c:pt idx="12">
                  <c:v>99.878048780487802</c:v>
                </c:pt>
                <c:pt idx="13">
                  <c:v>99.513513513513516</c:v>
                </c:pt>
                <c:pt idx="14">
                  <c:v>98.285714285714292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9E8-4FAF-8317-B065933D77BB}"/>
            </c:ext>
          </c:extLst>
        </c:ser>
        <c:ser>
          <c:idx val="2"/>
          <c:order val="2"/>
          <c:tx>
            <c:v>FOG Removal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'COMPARATIVE STUDY (3 REACTORS)'!$H$58:$H$72</c:f>
              <c:numCache>
                <c:formatCode>General</c:formatCode>
                <c:ptCount val="15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35</c:v>
                </c:pt>
                <c:pt idx="5">
                  <c:v>42</c:v>
                </c:pt>
                <c:pt idx="6">
                  <c:v>49</c:v>
                </c:pt>
                <c:pt idx="7">
                  <c:v>56</c:v>
                </c:pt>
                <c:pt idx="8">
                  <c:v>63</c:v>
                </c:pt>
                <c:pt idx="9">
                  <c:v>70</c:v>
                </c:pt>
                <c:pt idx="10">
                  <c:v>77</c:v>
                </c:pt>
                <c:pt idx="11">
                  <c:v>84</c:v>
                </c:pt>
                <c:pt idx="12">
                  <c:v>91</c:v>
                </c:pt>
                <c:pt idx="13">
                  <c:v>98</c:v>
                </c:pt>
                <c:pt idx="14">
                  <c:v>105</c:v>
                </c:pt>
              </c:numCache>
            </c:numRef>
          </c:xVal>
          <c:yVal>
            <c:numRef>
              <c:f>'COMPARATIVE STUDY (3 REACTORS)'!$Q$58:$Q$72</c:f>
              <c:numCache>
                <c:formatCode>0.0</c:formatCode>
                <c:ptCount val="15"/>
                <c:pt idx="0">
                  <c:v>87.142857142857139</c:v>
                </c:pt>
                <c:pt idx="1">
                  <c:v>95.538057742782158</c:v>
                </c:pt>
                <c:pt idx="2">
                  <c:v>94.68390804597702</c:v>
                </c:pt>
                <c:pt idx="3">
                  <c:v>92.340425531914889</c:v>
                </c:pt>
                <c:pt idx="4">
                  <c:v>91.158536585365852</c:v>
                </c:pt>
                <c:pt idx="5">
                  <c:v>93.766937669376688</c:v>
                </c:pt>
                <c:pt idx="6">
                  <c:v>94.827586206896555</c:v>
                </c:pt>
                <c:pt idx="7">
                  <c:v>85.460992907801412</c:v>
                </c:pt>
                <c:pt idx="8">
                  <c:v>96.282973621103125</c:v>
                </c:pt>
                <c:pt idx="9">
                  <c:v>98.074974670719357</c:v>
                </c:pt>
                <c:pt idx="10">
                  <c:v>96.640625</c:v>
                </c:pt>
                <c:pt idx="11">
                  <c:v>96.987087517934</c:v>
                </c:pt>
                <c:pt idx="12">
                  <c:v>99.41662615459407</c:v>
                </c:pt>
                <c:pt idx="13">
                  <c:v>98.169243287225385</c:v>
                </c:pt>
                <c:pt idx="14">
                  <c:v>84.574468085106375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9E8-4FAF-8317-B065933D7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898168"/>
        <c:axId val="358893248"/>
      </c:scatterChart>
      <c:scatterChart>
        <c:scatterStyle val="smoothMarker"/>
        <c:varyColors val="0"/>
        <c:ser>
          <c:idx val="3"/>
          <c:order val="3"/>
          <c:tx>
            <c:v>OLR </c:v>
          </c:tx>
          <c:spPr>
            <a:ln w="19050" cap="rnd">
              <a:solidFill>
                <a:schemeClr val="accent4"/>
              </a:solidFill>
              <a:prstDash val="lgDashDot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'COMPARATIVE STUDY (3 REACTORS)'!$H$58:$H$72</c:f>
              <c:numCache>
                <c:formatCode>General</c:formatCode>
                <c:ptCount val="15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35</c:v>
                </c:pt>
                <c:pt idx="5">
                  <c:v>42</c:v>
                </c:pt>
                <c:pt idx="6">
                  <c:v>49</c:v>
                </c:pt>
                <c:pt idx="7">
                  <c:v>56</c:v>
                </c:pt>
                <c:pt idx="8">
                  <c:v>63</c:v>
                </c:pt>
                <c:pt idx="9">
                  <c:v>70</c:v>
                </c:pt>
                <c:pt idx="10">
                  <c:v>77</c:v>
                </c:pt>
                <c:pt idx="11">
                  <c:v>84</c:v>
                </c:pt>
                <c:pt idx="12">
                  <c:v>91</c:v>
                </c:pt>
                <c:pt idx="13">
                  <c:v>98</c:v>
                </c:pt>
                <c:pt idx="14">
                  <c:v>105</c:v>
                </c:pt>
              </c:numCache>
            </c:numRef>
          </c:xVal>
          <c:yVal>
            <c:numRef>
              <c:f>'COMPARATIVE STUDY (3 REACTORS)'!$F$58:$F$72</c:f>
              <c:numCache>
                <c:formatCode>0.0</c:formatCode>
                <c:ptCount val="15"/>
                <c:pt idx="0">
                  <c:v>1.1410285714285715</c:v>
                </c:pt>
                <c:pt idx="1">
                  <c:v>2.9588571428571431</c:v>
                </c:pt>
                <c:pt idx="2">
                  <c:v>3.5705142857142858</c:v>
                </c:pt>
                <c:pt idx="3">
                  <c:v>3.717257142857143</c:v>
                </c:pt>
                <c:pt idx="4">
                  <c:v>2.7869999999999999</c:v>
                </c:pt>
                <c:pt idx="5">
                  <c:v>3.0846</c:v>
                </c:pt>
                <c:pt idx="6">
                  <c:v>3.1133999999999999</c:v>
                </c:pt>
                <c:pt idx="7">
                  <c:v>4.0111999999999997</c:v>
                </c:pt>
                <c:pt idx="8">
                  <c:v>6.8170000000000002</c:v>
                </c:pt>
                <c:pt idx="9">
                  <c:v>6.1369999999999996</c:v>
                </c:pt>
                <c:pt idx="10">
                  <c:v>8.8290000000000006</c:v>
                </c:pt>
                <c:pt idx="11">
                  <c:v>9.8843999999999994</c:v>
                </c:pt>
                <c:pt idx="12">
                  <c:v>38.85</c:v>
                </c:pt>
                <c:pt idx="13">
                  <c:v>28.6448</c:v>
                </c:pt>
                <c:pt idx="14">
                  <c:v>11.798400000000001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9E8-4FAF-8317-B065933D7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6364744"/>
        <c:axId val="666366384"/>
      </c:scatterChart>
      <c:valAx>
        <c:axId val="358898168"/>
        <c:scaling>
          <c:orientation val="minMax"/>
          <c:max val="105"/>
          <c:min val="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Operating</a:t>
                </a:r>
                <a:r>
                  <a:rPr lang="en-ZA" b="1" baseline="0"/>
                  <a:t> time (Day)</a:t>
                </a:r>
                <a:endParaRPr lang="en-ZA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893248"/>
        <c:crosses val="autoZero"/>
        <c:crossBetween val="midCat"/>
      </c:valAx>
      <c:valAx>
        <c:axId val="358893248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Percentage</a:t>
                </a:r>
                <a:r>
                  <a:rPr lang="en-ZA" b="1" baseline="0"/>
                  <a:t> removal (%)</a:t>
                </a:r>
              </a:p>
            </c:rich>
          </c:tx>
          <c:layout>
            <c:manualLayout>
              <c:xMode val="edge"/>
              <c:yMode val="edge"/>
              <c:x val="2.0763814067402284E-2"/>
              <c:y val="0.314262211802315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898168"/>
        <c:crosses val="autoZero"/>
        <c:crossBetween val="midCat"/>
      </c:valAx>
      <c:valAx>
        <c:axId val="66636638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Organic</a:t>
                </a:r>
                <a:r>
                  <a:rPr lang="en-ZA" b="1" baseline="0"/>
                  <a:t> loading rate (gCOD/L.Day)</a:t>
                </a:r>
                <a:endParaRPr lang="en-ZA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364744"/>
        <c:crosses val="max"/>
        <c:crossBetween val="midCat"/>
      </c:valAx>
      <c:valAx>
        <c:axId val="6663647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6366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144831717127486"/>
          <c:y val="0.12960237644557984"/>
          <c:w val="0.75830650233918429"/>
          <c:h val="0.63366346737536172"/>
        </c:manualLayout>
      </c:layout>
      <c:scatterChart>
        <c:scatterStyle val="smoothMarker"/>
        <c:varyColors val="0"/>
        <c:ser>
          <c:idx val="1"/>
          <c:order val="1"/>
          <c:tx>
            <c:v>TCOD </c:v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'COMPARATIVE STUDY (3 REACTORS)'!$H$28:$H$51</c:f>
              <c:numCache>
                <c:formatCode>General</c:formatCode>
                <c:ptCount val="24"/>
                <c:pt idx="0">
                  <c:v>5</c:v>
                </c:pt>
                <c:pt idx="1">
                  <c:v>12</c:v>
                </c:pt>
                <c:pt idx="2">
                  <c:v>19</c:v>
                </c:pt>
                <c:pt idx="3">
                  <c:v>26</c:v>
                </c:pt>
                <c:pt idx="4">
                  <c:v>33</c:v>
                </c:pt>
                <c:pt idx="5">
                  <c:v>40</c:v>
                </c:pt>
                <c:pt idx="6">
                  <c:v>47</c:v>
                </c:pt>
                <c:pt idx="7">
                  <c:v>54</c:v>
                </c:pt>
                <c:pt idx="8">
                  <c:v>61</c:v>
                </c:pt>
                <c:pt idx="9">
                  <c:v>68</c:v>
                </c:pt>
                <c:pt idx="10">
                  <c:v>75</c:v>
                </c:pt>
                <c:pt idx="11">
                  <c:v>82</c:v>
                </c:pt>
                <c:pt idx="12">
                  <c:v>89</c:v>
                </c:pt>
                <c:pt idx="13">
                  <c:v>96</c:v>
                </c:pt>
                <c:pt idx="14">
                  <c:v>103</c:v>
                </c:pt>
                <c:pt idx="15">
                  <c:v>110</c:v>
                </c:pt>
                <c:pt idx="16">
                  <c:v>117</c:v>
                </c:pt>
                <c:pt idx="17">
                  <c:v>124</c:v>
                </c:pt>
                <c:pt idx="18">
                  <c:v>131</c:v>
                </c:pt>
                <c:pt idx="19">
                  <c:v>138</c:v>
                </c:pt>
                <c:pt idx="20">
                  <c:v>145</c:v>
                </c:pt>
                <c:pt idx="21">
                  <c:v>152</c:v>
                </c:pt>
                <c:pt idx="22">
                  <c:v>159</c:v>
                </c:pt>
                <c:pt idx="23">
                  <c:v>166</c:v>
                </c:pt>
              </c:numCache>
            </c:numRef>
          </c:xVal>
          <c:yVal>
            <c:numRef>
              <c:f>'COMPARATIVE STUDY (3 REACTORS)'!$Q$28:$Q$51</c:f>
              <c:numCache>
                <c:formatCode>0.0</c:formatCode>
                <c:ptCount val="24"/>
                <c:pt idx="0">
                  <c:v>96.734059097978232</c:v>
                </c:pt>
                <c:pt idx="1">
                  <c:v>95.085536547433904</c:v>
                </c:pt>
                <c:pt idx="2">
                  <c:v>96.298600311041994</c:v>
                </c:pt>
                <c:pt idx="3">
                  <c:v>94.090202177293932</c:v>
                </c:pt>
                <c:pt idx="4">
                  <c:v>96.920684292379462</c:v>
                </c:pt>
                <c:pt idx="5">
                  <c:v>95.085536547433904</c:v>
                </c:pt>
                <c:pt idx="6">
                  <c:v>86.994890849976784</c:v>
                </c:pt>
                <c:pt idx="7">
                  <c:v>95.819786344635389</c:v>
                </c:pt>
                <c:pt idx="8">
                  <c:v>98.467254993032981</c:v>
                </c:pt>
                <c:pt idx="9">
                  <c:v>92.475615420343701</c:v>
                </c:pt>
                <c:pt idx="10">
                  <c:v>99.071063632141204</c:v>
                </c:pt>
                <c:pt idx="11">
                  <c:v>90.550070521861784</c:v>
                </c:pt>
                <c:pt idx="12">
                  <c:v>96.023138105567611</c:v>
                </c:pt>
                <c:pt idx="13">
                  <c:v>95.784883720930239</c:v>
                </c:pt>
                <c:pt idx="14">
                  <c:v>93.831277092364118</c:v>
                </c:pt>
                <c:pt idx="15">
                  <c:v>95.371997656707677</c:v>
                </c:pt>
                <c:pt idx="16">
                  <c:v>93.573475235366359</c:v>
                </c:pt>
                <c:pt idx="17">
                  <c:v>89.875389408099693</c:v>
                </c:pt>
                <c:pt idx="18">
                  <c:v>94.73684210526315</c:v>
                </c:pt>
                <c:pt idx="19">
                  <c:v>97.318339100346023</c:v>
                </c:pt>
                <c:pt idx="20">
                  <c:v>96.455223880597018</c:v>
                </c:pt>
                <c:pt idx="21">
                  <c:v>97.561553030303031</c:v>
                </c:pt>
                <c:pt idx="22">
                  <c:v>97.413908615838125</c:v>
                </c:pt>
                <c:pt idx="23">
                  <c:v>96.817063166529934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51-4282-BBB4-A2BF74442CE5}"/>
            </c:ext>
          </c:extLst>
        </c:ser>
        <c:ser>
          <c:idx val="2"/>
          <c:order val="2"/>
          <c:tx>
            <c:v>FOG</c:v>
          </c:tx>
          <c:spPr>
            <a:ln w="19050" cap="rnd">
              <a:solidFill>
                <a:schemeClr val="accent3"/>
              </a:solidFill>
              <a:prstDash val="dashDot"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'COMPARATIVE STUDY (3 REACTORS)'!$H$28:$H$51</c:f>
              <c:numCache>
                <c:formatCode>General</c:formatCode>
                <c:ptCount val="24"/>
                <c:pt idx="0">
                  <c:v>5</c:v>
                </c:pt>
                <c:pt idx="1">
                  <c:v>12</c:v>
                </c:pt>
                <c:pt idx="2">
                  <c:v>19</c:v>
                </c:pt>
                <c:pt idx="3">
                  <c:v>26</c:v>
                </c:pt>
                <c:pt idx="4">
                  <c:v>33</c:v>
                </c:pt>
                <c:pt idx="5">
                  <c:v>40</c:v>
                </c:pt>
                <c:pt idx="6">
                  <c:v>47</c:v>
                </c:pt>
                <c:pt idx="7">
                  <c:v>54</c:v>
                </c:pt>
                <c:pt idx="8">
                  <c:v>61</c:v>
                </c:pt>
                <c:pt idx="9">
                  <c:v>68</c:v>
                </c:pt>
                <c:pt idx="10">
                  <c:v>75</c:v>
                </c:pt>
                <c:pt idx="11">
                  <c:v>82</c:v>
                </c:pt>
                <c:pt idx="12">
                  <c:v>89</c:v>
                </c:pt>
                <c:pt idx="13">
                  <c:v>96</c:v>
                </c:pt>
                <c:pt idx="14">
                  <c:v>103</c:v>
                </c:pt>
                <c:pt idx="15">
                  <c:v>110</c:v>
                </c:pt>
                <c:pt idx="16">
                  <c:v>117</c:v>
                </c:pt>
                <c:pt idx="17">
                  <c:v>124</c:v>
                </c:pt>
                <c:pt idx="18">
                  <c:v>131</c:v>
                </c:pt>
                <c:pt idx="19">
                  <c:v>138</c:v>
                </c:pt>
                <c:pt idx="20">
                  <c:v>145</c:v>
                </c:pt>
                <c:pt idx="21">
                  <c:v>152</c:v>
                </c:pt>
                <c:pt idx="22">
                  <c:v>159</c:v>
                </c:pt>
                <c:pt idx="23">
                  <c:v>166</c:v>
                </c:pt>
              </c:numCache>
            </c:numRef>
          </c:xVal>
          <c:yVal>
            <c:numRef>
              <c:f>'COMPARATIVE STUDY (3 REACTORS)'!$W$28:$W$51</c:f>
              <c:numCache>
                <c:formatCode>0.0</c:formatCode>
                <c:ptCount val="24"/>
                <c:pt idx="0">
                  <c:v>87.937743190661479</c:v>
                </c:pt>
                <c:pt idx="1">
                  <c:v>91.245136186770424</c:v>
                </c:pt>
                <c:pt idx="2">
                  <c:v>90.466926070038909</c:v>
                </c:pt>
                <c:pt idx="3">
                  <c:v>91.634241245136181</c:v>
                </c:pt>
                <c:pt idx="4">
                  <c:v>88.13229571984435</c:v>
                </c:pt>
                <c:pt idx="5">
                  <c:v>91.245136186770424</c:v>
                </c:pt>
                <c:pt idx="6">
                  <c:v>84.294871794871796</c:v>
                </c:pt>
                <c:pt idx="7">
                  <c:v>77.243589743589752</c:v>
                </c:pt>
                <c:pt idx="8">
                  <c:v>78.84615384615384</c:v>
                </c:pt>
                <c:pt idx="9">
                  <c:v>68.589743589743591</c:v>
                </c:pt>
                <c:pt idx="10">
                  <c:v>85.256410256410248</c:v>
                </c:pt>
                <c:pt idx="11">
                  <c:v>86.206896551724128</c:v>
                </c:pt>
                <c:pt idx="12">
                  <c:v>95.933014354066984</c:v>
                </c:pt>
                <c:pt idx="13">
                  <c:v>96.757457846952008</c:v>
                </c:pt>
                <c:pt idx="14">
                  <c:v>87.562189054726375</c:v>
                </c:pt>
                <c:pt idx="15">
                  <c:v>90.769230769230774</c:v>
                </c:pt>
                <c:pt idx="16">
                  <c:v>77.049180327868854</c:v>
                </c:pt>
                <c:pt idx="17">
                  <c:v>91.77215189873418</c:v>
                </c:pt>
                <c:pt idx="18">
                  <c:v>84.064080944350764</c:v>
                </c:pt>
                <c:pt idx="19">
                  <c:v>95.5</c:v>
                </c:pt>
                <c:pt idx="20">
                  <c:v>94.991922455573501</c:v>
                </c:pt>
                <c:pt idx="21">
                  <c:v>97.033285094066571</c:v>
                </c:pt>
                <c:pt idx="22">
                  <c:v>92.866578599735789</c:v>
                </c:pt>
                <c:pt idx="23">
                  <c:v>95.912806539509532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151-4282-BBB4-A2BF74442CE5}"/>
            </c:ext>
          </c:extLst>
        </c:ser>
        <c:ser>
          <c:idx val="3"/>
          <c:order val="3"/>
          <c:tx>
            <c:v>BOD5</c:v>
          </c:tx>
          <c:spPr>
            <a:ln w="1905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'COMPARATIVE STUDY (3 REACTORS)'!$H$28:$H$51</c:f>
              <c:numCache>
                <c:formatCode>General</c:formatCode>
                <c:ptCount val="24"/>
                <c:pt idx="0">
                  <c:v>5</c:v>
                </c:pt>
                <c:pt idx="1">
                  <c:v>12</c:v>
                </c:pt>
                <c:pt idx="2">
                  <c:v>19</c:v>
                </c:pt>
                <c:pt idx="3">
                  <c:v>26</c:v>
                </c:pt>
                <c:pt idx="4">
                  <c:v>33</c:v>
                </c:pt>
                <c:pt idx="5">
                  <c:v>40</c:v>
                </c:pt>
                <c:pt idx="6">
                  <c:v>47</c:v>
                </c:pt>
                <c:pt idx="7">
                  <c:v>54</c:v>
                </c:pt>
                <c:pt idx="8">
                  <c:v>61</c:v>
                </c:pt>
                <c:pt idx="9">
                  <c:v>68</c:v>
                </c:pt>
                <c:pt idx="10">
                  <c:v>75</c:v>
                </c:pt>
                <c:pt idx="11">
                  <c:v>82</c:v>
                </c:pt>
                <c:pt idx="12">
                  <c:v>89</c:v>
                </c:pt>
                <c:pt idx="13">
                  <c:v>96</c:v>
                </c:pt>
                <c:pt idx="14">
                  <c:v>103</c:v>
                </c:pt>
                <c:pt idx="15">
                  <c:v>110</c:v>
                </c:pt>
                <c:pt idx="16">
                  <c:v>117</c:v>
                </c:pt>
                <c:pt idx="17">
                  <c:v>124</c:v>
                </c:pt>
                <c:pt idx="18">
                  <c:v>131</c:v>
                </c:pt>
                <c:pt idx="19">
                  <c:v>138</c:v>
                </c:pt>
                <c:pt idx="20">
                  <c:v>145</c:v>
                </c:pt>
                <c:pt idx="21">
                  <c:v>152</c:v>
                </c:pt>
                <c:pt idx="22">
                  <c:v>159</c:v>
                </c:pt>
                <c:pt idx="23">
                  <c:v>166</c:v>
                </c:pt>
              </c:numCache>
            </c:numRef>
          </c:xVal>
          <c:yVal>
            <c:numRef>
              <c:f>'COMPARATIVE STUDY (3 REACTORS)'!$T$28:$T$51</c:f>
              <c:numCache>
                <c:formatCode>0.0</c:formatCode>
                <c:ptCount val="24"/>
                <c:pt idx="0">
                  <c:v>98.974358974358978</c:v>
                </c:pt>
                <c:pt idx="1">
                  <c:v>98.71794871794873</c:v>
                </c:pt>
                <c:pt idx="2">
                  <c:v>96.15384615384616</c:v>
                </c:pt>
                <c:pt idx="3">
                  <c:v>98.205128205128204</c:v>
                </c:pt>
                <c:pt idx="4">
                  <c:v>99.487179487179489</c:v>
                </c:pt>
                <c:pt idx="5">
                  <c:v>98.71794871794873</c:v>
                </c:pt>
                <c:pt idx="6">
                  <c:v>91.17647058823529</c:v>
                </c:pt>
                <c:pt idx="7">
                  <c:v>88.823529411764696</c:v>
                </c:pt>
                <c:pt idx="8">
                  <c:v>95.294117647058812</c:v>
                </c:pt>
                <c:pt idx="9">
                  <c:v>97.764705882352942</c:v>
                </c:pt>
                <c:pt idx="10">
                  <c:v>83.529411764705884</c:v>
                </c:pt>
                <c:pt idx="11">
                  <c:v>92.320000000000007</c:v>
                </c:pt>
                <c:pt idx="12">
                  <c:v>91.25</c:v>
                </c:pt>
                <c:pt idx="13">
                  <c:v>94.871794871794862</c:v>
                </c:pt>
                <c:pt idx="14">
                  <c:v>92.121212121212125</c:v>
                </c:pt>
                <c:pt idx="15">
                  <c:v>94.15384615384616</c:v>
                </c:pt>
                <c:pt idx="16">
                  <c:v>87.2</c:v>
                </c:pt>
                <c:pt idx="17">
                  <c:v>90</c:v>
                </c:pt>
                <c:pt idx="18">
                  <c:v>94.666666666666671</c:v>
                </c:pt>
                <c:pt idx="19">
                  <c:v>96.148148148148152</c:v>
                </c:pt>
                <c:pt idx="20">
                  <c:v>96.15384615384616</c:v>
                </c:pt>
                <c:pt idx="21">
                  <c:v>96.375</c:v>
                </c:pt>
                <c:pt idx="22">
                  <c:v>99.183673469387756</c:v>
                </c:pt>
                <c:pt idx="23">
                  <c:v>98.5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151-4282-BBB4-A2BF74442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910632"/>
        <c:axId val="358906368"/>
      </c:scatterChart>
      <c:scatterChart>
        <c:scatterStyle val="smoothMarker"/>
        <c:varyColors val="0"/>
        <c:ser>
          <c:idx val="0"/>
          <c:order val="0"/>
          <c:tx>
            <c:v>OLR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'COMPARATIVE STUDY (3 REACTORS)'!$H$28:$H$51</c:f>
              <c:numCache>
                <c:formatCode>General</c:formatCode>
                <c:ptCount val="24"/>
                <c:pt idx="0">
                  <c:v>5</c:v>
                </c:pt>
                <c:pt idx="1">
                  <c:v>12</c:v>
                </c:pt>
                <c:pt idx="2">
                  <c:v>19</c:v>
                </c:pt>
                <c:pt idx="3">
                  <c:v>26</c:v>
                </c:pt>
                <c:pt idx="4">
                  <c:v>33</c:v>
                </c:pt>
                <c:pt idx="5">
                  <c:v>40</c:v>
                </c:pt>
                <c:pt idx="6">
                  <c:v>47</c:v>
                </c:pt>
                <c:pt idx="7">
                  <c:v>54</c:v>
                </c:pt>
                <c:pt idx="8">
                  <c:v>61</c:v>
                </c:pt>
                <c:pt idx="9">
                  <c:v>68</c:v>
                </c:pt>
                <c:pt idx="10">
                  <c:v>75</c:v>
                </c:pt>
                <c:pt idx="11">
                  <c:v>82</c:v>
                </c:pt>
                <c:pt idx="12">
                  <c:v>89</c:v>
                </c:pt>
                <c:pt idx="13">
                  <c:v>96</c:v>
                </c:pt>
                <c:pt idx="14">
                  <c:v>103</c:v>
                </c:pt>
                <c:pt idx="15">
                  <c:v>110</c:v>
                </c:pt>
                <c:pt idx="16">
                  <c:v>117</c:v>
                </c:pt>
                <c:pt idx="17">
                  <c:v>124</c:v>
                </c:pt>
                <c:pt idx="18">
                  <c:v>131</c:v>
                </c:pt>
                <c:pt idx="19">
                  <c:v>138</c:v>
                </c:pt>
                <c:pt idx="20">
                  <c:v>145</c:v>
                </c:pt>
                <c:pt idx="21">
                  <c:v>152</c:v>
                </c:pt>
                <c:pt idx="22">
                  <c:v>159</c:v>
                </c:pt>
                <c:pt idx="23">
                  <c:v>166</c:v>
                </c:pt>
              </c:numCache>
            </c:numRef>
          </c:xVal>
          <c:yVal>
            <c:numRef>
              <c:f>'COMPARATIVE STUDY (3 REACTORS)'!$F$28:$F$51</c:f>
              <c:numCache>
                <c:formatCode>0.0</c:formatCode>
                <c:ptCount val="24"/>
                <c:pt idx="0">
                  <c:v>1.2345600000000001</c:v>
                </c:pt>
                <c:pt idx="1">
                  <c:v>1.2345600000000001</c:v>
                </c:pt>
                <c:pt idx="2">
                  <c:v>1.2345600000000001</c:v>
                </c:pt>
                <c:pt idx="3">
                  <c:v>1.2345600000000001</c:v>
                </c:pt>
                <c:pt idx="4">
                  <c:v>1.2345600000000001</c:v>
                </c:pt>
                <c:pt idx="5">
                  <c:v>1.2345600000000001</c:v>
                </c:pt>
                <c:pt idx="6">
                  <c:v>0.89864347826086954</c:v>
                </c:pt>
                <c:pt idx="7">
                  <c:v>0.89864347826086954</c:v>
                </c:pt>
                <c:pt idx="8">
                  <c:v>0.89864347826086954</c:v>
                </c:pt>
                <c:pt idx="9">
                  <c:v>0.89864347826086954</c:v>
                </c:pt>
                <c:pt idx="10">
                  <c:v>0.89864347826086954</c:v>
                </c:pt>
                <c:pt idx="11">
                  <c:v>1.7084337349397591</c:v>
                </c:pt>
                <c:pt idx="12">
                  <c:v>1.9995180722891568</c:v>
                </c:pt>
                <c:pt idx="13">
                  <c:v>3.3156626506024098</c:v>
                </c:pt>
                <c:pt idx="14">
                  <c:v>1.4453012048192773</c:v>
                </c:pt>
                <c:pt idx="15">
                  <c:v>1.6453012048192772</c:v>
                </c:pt>
                <c:pt idx="16">
                  <c:v>2.354698795180723</c:v>
                </c:pt>
                <c:pt idx="17">
                  <c:v>2.475180722891567</c:v>
                </c:pt>
                <c:pt idx="18">
                  <c:v>2.902650602409639</c:v>
                </c:pt>
                <c:pt idx="19">
                  <c:v>2.7855421686746991</c:v>
                </c:pt>
                <c:pt idx="20">
                  <c:v>3.5733333333333337</c:v>
                </c:pt>
                <c:pt idx="21">
                  <c:v>5.6319999999999997</c:v>
                </c:pt>
                <c:pt idx="22">
                  <c:v>4.9753333333333334</c:v>
                </c:pt>
                <c:pt idx="23">
                  <c:v>4.0633333333333335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51-4282-BBB4-A2BF74442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6456640"/>
        <c:axId val="996461888"/>
      </c:scatterChart>
      <c:valAx>
        <c:axId val="358910632"/>
        <c:scaling>
          <c:orientation val="minMax"/>
          <c:max val="166"/>
          <c:min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Operating</a:t>
                </a:r>
                <a:r>
                  <a:rPr lang="en-ZA" b="1" baseline="0"/>
                  <a:t> time (Day)</a:t>
                </a:r>
                <a:endParaRPr lang="en-ZA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906368"/>
        <c:crosses val="autoZero"/>
        <c:crossBetween val="midCat"/>
      </c:valAx>
      <c:valAx>
        <c:axId val="358906368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Percentage</a:t>
                </a:r>
                <a:r>
                  <a:rPr lang="en-ZA" b="1" baseline="0"/>
                  <a:t> removal (%)</a:t>
                </a:r>
                <a:endParaRPr lang="en-ZA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910632"/>
        <c:crosses val="autoZero"/>
        <c:crossBetween val="midCat"/>
      </c:valAx>
      <c:valAx>
        <c:axId val="99646188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Organic</a:t>
                </a:r>
                <a:r>
                  <a:rPr lang="en-ZA" b="1" baseline="0"/>
                  <a:t> loasing rate (gCOD/L.Day)</a:t>
                </a:r>
                <a:endParaRPr lang="en-ZA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456640"/>
        <c:crosses val="max"/>
        <c:crossBetween val="midCat"/>
      </c:valAx>
      <c:valAx>
        <c:axId val="9964566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96461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703937007874015"/>
          <c:y val="0.15277777777777779"/>
          <c:w val="0.72469903762029741"/>
          <c:h val="0.61019320501603957"/>
        </c:manualLayout>
      </c:layout>
      <c:scatterChart>
        <c:scatterStyle val="smoothMarker"/>
        <c:varyColors val="0"/>
        <c:ser>
          <c:idx val="1"/>
          <c:order val="1"/>
          <c:tx>
            <c:v>TCOD</c:v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'COMPARATIVE STUDY (3 REACTORS)'!$H$4:$H$23</c:f>
              <c:numCache>
                <c:formatCode>General</c:formatCode>
                <c:ptCount val="20"/>
                <c:pt idx="0">
                  <c:v>5</c:v>
                </c:pt>
                <c:pt idx="1">
                  <c:v>12</c:v>
                </c:pt>
                <c:pt idx="2">
                  <c:v>19</c:v>
                </c:pt>
                <c:pt idx="3">
                  <c:v>26</c:v>
                </c:pt>
                <c:pt idx="4">
                  <c:v>33</c:v>
                </c:pt>
                <c:pt idx="5">
                  <c:v>40</c:v>
                </c:pt>
                <c:pt idx="6">
                  <c:v>47</c:v>
                </c:pt>
                <c:pt idx="7">
                  <c:v>54</c:v>
                </c:pt>
                <c:pt idx="8">
                  <c:v>61</c:v>
                </c:pt>
                <c:pt idx="9">
                  <c:v>68</c:v>
                </c:pt>
                <c:pt idx="10">
                  <c:v>75</c:v>
                </c:pt>
                <c:pt idx="11">
                  <c:v>82</c:v>
                </c:pt>
                <c:pt idx="12">
                  <c:v>89</c:v>
                </c:pt>
                <c:pt idx="13">
                  <c:v>96</c:v>
                </c:pt>
                <c:pt idx="14">
                  <c:v>103</c:v>
                </c:pt>
                <c:pt idx="15">
                  <c:v>110</c:v>
                </c:pt>
                <c:pt idx="16">
                  <c:v>117</c:v>
                </c:pt>
                <c:pt idx="17">
                  <c:v>124</c:v>
                </c:pt>
                <c:pt idx="18">
                  <c:v>131</c:v>
                </c:pt>
                <c:pt idx="19">
                  <c:v>138</c:v>
                </c:pt>
              </c:numCache>
            </c:numRef>
          </c:xVal>
          <c:yVal>
            <c:numRef>
              <c:f>'COMPARATIVE STUDY (3 REACTORS)'!$Q$4:$Q$23</c:f>
              <c:numCache>
                <c:formatCode>0.0</c:formatCode>
                <c:ptCount val="20"/>
                <c:pt idx="0">
                  <c:v>69.981583793738494</c:v>
                </c:pt>
                <c:pt idx="1">
                  <c:v>93.155555555555551</c:v>
                </c:pt>
                <c:pt idx="2">
                  <c:v>92.491749174917487</c:v>
                </c:pt>
                <c:pt idx="3">
                  <c:v>95.731707317073173</c:v>
                </c:pt>
                <c:pt idx="4">
                  <c:v>92.384769539078164</c:v>
                </c:pt>
                <c:pt idx="5">
                  <c:v>92.668621700879754</c:v>
                </c:pt>
                <c:pt idx="6">
                  <c:v>92.517401392111367</c:v>
                </c:pt>
                <c:pt idx="7">
                  <c:v>93.392070484581495</c:v>
                </c:pt>
                <c:pt idx="8">
                  <c:v>94.735240413877051</c:v>
                </c:pt>
                <c:pt idx="9">
                  <c:v>92.614856161442688</c:v>
                </c:pt>
                <c:pt idx="10">
                  <c:v>96.510257014854986</c:v>
                </c:pt>
                <c:pt idx="11">
                  <c:v>95.126050420168056</c:v>
                </c:pt>
                <c:pt idx="12">
                  <c:v>95.917271017996242</c:v>
                </c:pt>
                <c:pt idx="13">
                  <c:v>96.909986565158974</c:v>
                </c:pt>
                <c:pt idx="14">
                  <c:v>97.568335108271214</c:v>
                </c:pt>
                <c:pt idx="15">
                  <c:v>96.202804746494067</c:v>
                </c:pt>
                <c:pt idx="16">
                  <c:v>96.13965370422936</c:v>
                </c:pt>
                <c:pt idx="17">
                  <c:v>97.409793814432987</c:v>
                </c:pt>
                <c:pt idx="18">
                  <c:v>97.524584604950832</c:v>
                </c:pt>
                <c:pt idx="19">
                  <c:v>88.541014402003754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51E-4F85-8208-D10CF0447A5F}"/>
            </c:ext>
          </c:extLst>
        </c:ser>
        <c:ser>
          <c:idx val="2"/>
          <c:order val="2"/>
          <c:tx>
            <c:v>BOD5</c:v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diamond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'COMPARATIVE STUDY (3 REACTORS)'!$H$4:$H$23</c:f>
              <c:numCache>
                <c:formatCode>General</c:formatCode>
                <c:ptCount val="20"/>
                <c:pt idx="0">
                  <c:v>5</c:v>
                </c:pt>
                <c:pt idx="1">
                  <c:v>12</c:v>
                </c:pt>
                <c:pt idx="2">
                  <c:v>19</c:v>
                </c:pt>
                <c:pt idx="3">
                  <c:v>26</c:v>
                </c:pt>
                <c:pt idx="4">
                  <c:v>33</c:v>
                </c:pt>
                <c:pt idx="5">
                  <c:v>40</c:v>
                </c:pt>
                <c:pt idx="6">
                  <c:v>47</c:v>
                </c:pt>
                <c:pt idx="7">
                  <c:v>54</c:v>
                </c:pt>
                <c:pt idx="8">
                  <c:v>61</c:v>
                </c:pt>
                <c:pt idx="9">
                  <c:v>68</c:v>
                </c:pt>
                <c:pt idx="10">
                  <c:v>75</c:v>
                </c:pt>
                <c:pt idx="11">
                  <c:v>82</c:v>
                </c:pt>
                <c:pt idx="12">
                  <c:v>89</c:v>
                </c:pt>
                <c:pt idx="13">
                  <c:v>96</c:v>
                </c:pt>
                <c:pt idx="14">
                  <c:v>103</c:v>
                </c:pt>
                <c:pt idx="15">
                  <c:v>110</c:v>
                </c:pt>
                <c:pt idx="16">
                  <c:v>117</c:v>
                </c:pt>
                <c:pt idx="17">
                  <c:v>124</c:v>
                </c:pt>
                <c:pt idx="18">
                  <c:v>131</c:v>
                </c:pt>
                <c:pt idx="19">
                  <c:v>138</c:v>
                </c:pt>
              </c:numCache>
            </c:numRef>
          </c:xVal>
          <c:yVal>
            <c:numRef>
              <c:f>'COMPARATIVE STUDY (3 REACTORS)'!$T$4:$T$23</c:f>
              <c:numCache>
                <c:formatCode>0.0</c:formatCode>
                <c:ptCount val="20"/>
                <c:pt idx="0">
                  <c:v>84.615384615384613</c:v>
                </c:pt>
                <c:pt idx="1">
                  <c:v>97.777777777777771</c:v>
                </c:pt>
                <c:pt idx="2">
                  <c:v>93.333333333333329</c:v>
                </c:pt>
                <c:pt idx="3">
                  <c:v>97.714285714285708</c:v>
                </c:pt>
                <c:pt idx="4">
                  <c:v>83</c:v>
                </c:pt>
                <c:pt idx="5">
                  <c:v>98.666666666666671</c:v>
                </c:pt>
                <c:pt idx="6">
                  <c:v>94.285714285714278</c:v>
                </c:pt>
                <c:pt idx="7">
                  <c:v>99.166666666666671</c:v>
                </c:pt>
                <c:pt idx="8">
                  <c:v>89.705882352941174</c:v>
                </c:pt>
                <c:pt idx="9">
                  <c:v>89</c:v>
                </c:pt>
                <c:pt idx="10">
                  <c:v>97.176470588235304</c:v>
                </c:pt>
                <c:pt idx="11">
                  <c:v>89.666666666666657</c:v>
                </c:pt>
                <c:pt idx="12">
                  <c:v>95.142857142857139</c:v>
                </c:pt>
                <c:pt idx="13">
                  <c:v>93.263157894736835</c:v>
                </c:pt>
                <c:pt idx="14">
                  <c:v>97.625</c:v>
                </c:pt>
                <c:pt idx="15">
                  <c:v>96.15384615384616</c:v>
                </c:pt>
                <c:pt idx="16">
                  <c:v>93.882352941176478</c:v>
                </c:pt>
                <c:pt idx="17">
                  <c:v>98.73684210526315</c:v>
                </c:pt>
                <c:pt idx="18">
                  <c:v>97</c:v>
                </c:pt>
                <c:pt idx="19">
                  <c:v>81.621621621621614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51E-4F85-8208-D10CF0447A5F}"/>
            </c:ext>
          </c:extLst>
        </c:ser>
        <c:ser>
          <c:idx val="3"/>
          <c:order val="3"/>
          <c:tx>
            <c:v>FOG</c:v>
          </c:tx>
          <c:spPr>
            <a:ln w="1905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'COMPARATIVE STUDY (3 REACTORS)'!$H$4:$H$23</c:f>
              <c:numCache>
                <c:formatCode>General</c:formatCode>
                <c:ptCount val="20"/>
                <c:pt idx="0">
                  <c:v>5</c:v>
                </c:pt>
                <c:pt idx="1">
                  <c:v>12</c:v>
                </c:pt>
                <c:pt idx="2">
                  <c:v>19</c:v>
                </c:pt>
                <c:pt idx="3">
                  <c:v>26</c:v>
                </c:pt>
                <c:pt idx="4">
                  <c:v>33</c:v>
                </c:pt>
                <c:pt idx="5">
                  <c:v>40</c:v>
                </c:pt>
                <c:pt idx="6">
                  <c:v>47</c:v>
                </c:pt>
                <c:pt idx="7">
                  <c:v>54</c:v>
                </c:pt>
                <c:pt idx="8">
                  <c:v>61</c:v>
                </c:pt>
                <c:pt idx="9">
                  <c:v>68</c:v>
                </c:pt>
                <c:pt idx="10">
                  <c:v>75</c:v>
                </c:pt>
                <c:pt idx="11">
                  <c:v>82</c:v>
                </c:pt>
                <c:pt idx="12">
                  <c:v>89</c:v>
                </c:pt>
                <c:pt idx="13">
                  <c:v>96</c:v>
                </c:pt>
                <c:pt idx="14">
                  <c:v>103</c:v>
                </c:pt>
                <c:pt idx="15">
                  <c:v>110</c:v>
                </c:pt>
                <c:pt idx="16">
                  <c:v>117</c:v>
                </c:pt>
                <c:pt idx="17">
                  <c:v>124</c:v>
                </c:pt>
                <c:pt idx="18">
                  <c:v>131</c:v>
                </c:pt>
                <c:pt idx="19">
                  <c:v>138</c:v>
                </c:pt>
              </c:numCache>
            </c:numRef>
          </c:xVal>
          <c:yVal>
            <c:numRef>
              <c:f>'COMPARATIVE STUDY (3 REACTORS)'!$W$4:$W$23</c:f>
              <c:numCache>
                <c:formatCode>0.0</c:formatCode>
                <c:ptCount val="20"/>
                <c:pt idx="0">
                  <c:v>19.672131147540984</c:v>
                </c:pt>
                <c:pt idx="1">
                  <c:v>45.833333333333329</c:v>
                </c:pt>
                <c:pt idx="2">
                  <c:v>48.453608247422679</c:v>
                </c:pt>
                <c:pt idx="3">
                  <c:v>67.226890756302524</c:v>
                </c:pt>
                <c:pt idx="4">
                  <c:v>73.228346456692918</c:v>
                </c:pt>
                <c:pt idx="5">
                  <c:v>83.91608391608392</c:v>
                </c:pt>
                <c:pt idx="6">
                  <c:v>88.118811881188122</c:v>
                </c:pt>
                <c:pt idx="7">
                  <c:v>75.968992248062023</c:v>
                </c:pt>
                <c:pt idx="8">
                  <c:v>92.610837438423644</c:v>
                </c:pt>
                <c:pt idx="9">
                  <c:v>93.522267206477736</c:v>
                </c:pt>
                <c:pt idx="10">
                  <c:v>94.006849315068493</c:v>
                </c:pt>
                <c:pt idx="11">
                  <c:v>87.958115183246079</c:v>
                </c:pt>
                <c:pt idx="12">
                  <c:v>89.618644067796609</c:v>
                </c:pt>
                <c:pt idx="13">
                  <c:v>91.095890410958901</c:v>
                </c:pt>
                <c:pt idx="14">
                  <c:v>97.654941373534342</c:v>
                </c:pt>
                <c:pt idx="15">
                  <c:v>95.8498023715415</c:v>
                </c:pt>
                <c:pt idx="16">
                  <c:v>90.930232558139537</c:v>
                </c:pt>
                <c:pt idx="17">
                  <c:v>97.583643122676577</c:v>
                </c:pt>
                <c:pt idx="18">
                  <c:v>97.660818713450297</c:v>
                </c:pt>
                <c:pt idx="19">
                  <c:v>72.435897435897431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51E-4F85-8208-D10CF0447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6362448"/>
        <c:axId val="666367696"/>
      </c:scatterChart>
      <c:scatterChart>
        <c:scatterStyle val="smoothMarker"/>
        <c:varyColors val="0"/>
        <c:ser>
          <c:idx val="0"/>
          <c:order val="0"/>
          <c:tx>
            <c:v>OLR 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'COMPARATIVE STUDY (3 REACTORS)'!$H$4:$H$23</c:f>
              <c:numCache>
                <c:formatCode>General</c:formatCode>
                <c:ptCount val="20"/>
                <c:pt idx="0">
                  <c:v>5</c:v>
                </c:pt>
                <c:pt idx="1">
                  <c:v>12</c:v>
                </c:pt>
                <c:pt idx="2">
                  <c:v>19</c:v>
                </c:pt>
                <c:pt idx="3">
                  <c:v>26</c:v>
                </c:pt>
                <c:pt idx="4">
                  <c:v>33</c:v>
                </c:pt>
                <c:pt idx="5">
                  <c:v>40</c:v>
                </c:pt>
                <c:pt idx="6">
                  <c:v>47</c:v>
                </c:pt>
                <c:pt idx="7">
                  <c:v>54</c:v>
                </c:pt>
                <c:pt idx="8">
                  <c:v>61</c:v>
                </c:pt>
                <c:pt idx="9">
                  <c:v>68</c:v>
                </c:pt>
                <c:pt idx="10">
                  <c:v>75</c:v>
                </c:pt>
                <c:pt idx="11">
                  <c:v>82</c:v>
                </c:pt>
                <c:pt idx="12">
                  <c:v>89</c:v>
                </c:pt>
                <c:pt idx="13">
                  <c:v>96</c:v>
                </c:pt>
                <c:pt idx="14">
                  <c:v>103</c:v>
                </c:pt>
                <c:pt idx="15">
                  <c:v>110</c:v>
                </c:pt>
                <c:pt idx="16">
                  <c:v>117</c:v>
                </c:pt>
                <c:pt idx="17">
                  <c:v>124</c:v>
                </c:pt>
                <c:pt idx="18">
                  <c:v>131</c:v>
                </c:pt>
                <c:pt idx="19">
                  <c:v>138</c:v>
                </c:pt>
              </c:numCache>
            </c:numRef>
          </c:xVal>
          <c:yVal>
            <c:numRef>
              <c:f>'COMPARATIVE STUDY (3 REACTORS)'!$F$4:$F$23</c:f>
              <c:numCache>
                <c:formatCode>0.00</c:formatCode>
                <c:ptCount val="20"/>
                <c:pt idx="0">
                  <c:v>1.1399999999999999</c:v>
                </c:pt>
                <c:pt idx="1">
                  <c:v>1.1100000000000001</c:v>
                </c:pt>
                <c:pt idx="2">
                  <c:v>1.1100000000000001</c:v>
                </c:pt>
                <c:pt idx="3">
                  <c:v>1.36</c:v>
                </c:pt>
                <c:pt idx="4">
                  <c:v>0.7</c:v>
                </c:pt>
                <c:pt idx="5">
                  <c:v>0.77</c:v>
                </c:pt>
                <c:pt idx="6">
                  <c:v>0.84</c:v>
                </c:pt>
                <c:pt idx="7">
                  <c:v>0.8</c:v>
                </c:pt>
                <c:pt idx="8">
                  <c:v>1.92</c:v>
                </c:pt>
                <c:pt idx="9">
                  <c:v>1.76</c:v>
                </c:pt>
                <c:pt idx="10">
                  <c:v>2.1800000000000002</c:v>
                </c:pt>
                <c:pt idx="11">
                  <c:v>1.98</c:v>
                </c:pt>
                <c:pt idx="12">
                  <c:v>3.2</c:v>
                </c:pt>
                <c:pt idx="13">
                  <c:v>3.64</c:v>
                </c:pt>
                <c:pt idx="14">
                  <c:v>4.8899999999999997</c:v>
                </c:pt>
                <c:pt idx="15">
                  <c:v>4.6500000000000004</c:v>
                </c:pt>
                <c:pt idx="16">
                  <c:v>4.71</c:v>
                </c:pt>
                <c:pt idx="17">
                  <c:v>8.0500000000000007</c:v>
                </c:pt>
                <c:pt idx="18">
                  <c:v>6.63</c:v>
                </c:pt>
                <c:pt idx="19">
                  <c:v>3.55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1E-4F85-8208-D10CF0447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6398200"/>
        <c:axId val="666370976"/>
      </c:scatterChart>
      <c:valAx>
        <c:axId val="666362448"/>
        <c:scaling>
          <c:orientation val="minMax"/>
          <c:max val="138"/>
          <c:min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Operating</a:t>
                </a:r>
                <a:r>
                  <a:rPr lang="en-ZA" b="1" baseline="0"/>
                  <a:t> time (hrs)</a:t>
                </a:r>
                <a:endParaRPr lang="en-ZA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367696"/>
        <c:crosses val="autoZero"/>
        <c:crossBetween val="midCat"/>
      </c:valAx>
      <c:valAx>
        <c:axId val="666367696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Percentage</a:t>
                </a:r>
                <a:r>
                  <a:rPr lang="en-ZA" b="1" baseline="0"/>
                  <a:t> removal (%)</a:t>
                </a:r>
                <a:endParaRPr lang="en-ZA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362448"/>
        <c:crosses val="autoZero"/>
        <c:crossBetween val="midCat"/>
      </c:valAx>
      <c:valAx>
        <c:axId val="66637097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Organic</a:t>
                </a:r>
                <a:r>
                  <a:rPr lang="en-ZA" b="1" baseline="0"/>
                  <a:t> loading rate (gCOD/L.Day)</a:t>
                </a:r>
                <a:endParaRPr lang="en-ZA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398200"/>
        <c:crosses val="max"/>
        <c:crossBetween val="midCat"/>
      </c:valAx>
      <c:valAx>
        <c:axId val="6663982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6370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698679858326261"/>
          <c:y val="0.15841584158415842"/>
          <c:w val="0.70828166925230995"/>
          <c:h val="0.63454089030950334"/>
        </c:manualLayout>
      </c:layout>
      <c:scatterChart>
        <c:scatterStyle val="smoothMarker"/>
        <c:varyColors val="0"/>
        <c:ser>
          <c:idx val="1"/>
          <c:order val="1"/>
          <c:tx>
            <c:v>Methane produced</c:v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'COMPARATIVE STUDY (3 REACTORS)'!$T$77:$T$91</c:f>
              <c:numCache>
                <c:formatCode>General</c:formatCode>
                <c:ptCount val="15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35</c:v>
                </c:pt>
                <c:pt idx="5">
                  <c:v>42</c:v>
                </c:pt>
                <c:pt idx="6">
                  <c:v>49</c:v>
                </c:pt>
                <c:pt idx="7">
                  <c:v>56</c:v>
                </c:pt>
                <c:pt idx="8">
                  <c:v>63</c:v>
                </c:pt>
                <c:pt idx="9">
                  <c:v>70</c:v>
                </c:pt>
                <c:pt idx="10">
                  <c:v>77</c:v>
                </c:pt>
                <c:pt idx="11">
                  <c:v>84</c:v>
                </c:pt>
                <c:pt idx="12">
                  <c:v>91</c:v>
                </c:pt>
                <c:pt idx="13">
                  <c:v>98</c:v>
                </c:pt>
                <c:pt idx="14">
                  <c:v>105</c:v>
                </c:pt>
              </c:numCache>
            </c:numRef>
          </c:xVal>
          <c:yVal>
            <c:numRef>
              <c:f>'COMPARATIVE STUDY (3 REACTORS)'!$Y$77:$Y$91</c:f>
              <c:numCache>
                <c:formatCode>General</c:formatCode>
                <c:ptCount val="15"/>
                <c:pt idx="0">
                  <c:v>92.207999999999998</c:v>
                </c:pt>
                <c:pt idx="1">
                  <c:v>130.15199999999999</c:v>
                </c:pt>
                <c:pt idx="2">
                  <c:v>192.98399999999998</c:v>
                </c:pt>
                <c:pt idx="3">
                  <c:v>233.37599999999998</c:v>
                </c:pt>
                <c:pt idx="4">
                  <c:v>240.71999999999997</c:v>
                </c:pt>
                <c:pt idx="5">
                  <c:v>271.32</c:v>
                </c:pt>
                <c:pt idx="6">
                  <c:v>313.34399999999999</c:v>
                </c:pt>
                <c:pt idx="7">
                  <c:v>378.21599999999995</c:v>
                </c:pt>
                <c:pt idx="8">
                  <c:v>469.60799999999995</c:v>
                </c:pt>
                <c:pt idx="9">
                  <c:v>535.70399999999995</c:v>
                </c:pt>
                <c:pt idx="10">
                  <c:v>592.41599999999994</c:v>
                </c:pt>
                <c:pt idx="11">
                  <c:v>645.4559999999999</c:v>
                </c:pt>
                <c:pt idx="12">
                  <c:v>694.00799999999992</c:v>
                </c:pt>
                <c:pt idx="13">
                  <c:v>745.00799999999992</c:v>
                </c:pt>
                <c:pt idx="14">
                  <c:v>832.72799999999995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2AC-D049-A6D6-7B5E20822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296160"/>
        <c:axId val="236859984"/>
      </c:scatterChart>
      <c:scatterChart>
        <c:scatterStyle val="smoothMarker"/>
        <c:varyColors val="0"/>
        <c:ser>
          <c:idx val="0"/>
          <c:order val="0"/>
          <c:tx>
            <c:v>TCOD removed </c:v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'COMPARATIVE STUDY (3 REACTORS)'!$T$77:$T$91</c:f>
              <c:numCache>
                <c:formatCode>General</c:formatCode>
                <c:ptCount val="15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35</c:v>
                </c:pt>
                <c:pt idx="5">
                  <c:v>42</c:v>
                </c:pt>
                <c:pt idx="6">
                  <c:v>49</c:v>
                </c:pt>
                <c:pt idx="7">
                  <c:v>56</c:v>
                </c:pt>
                <c:pt idx="8">
                  <c:v>63</c:v>
                </c:pt>
                <c:pt idx="9">
                  <c:v>70</c:v>
                </c:pt>
                <c:pt idx="10">
                  <c:v>77</c:v>
                </c:pt>
                <c:pt idx="11">
                  <c:v>84</c:v>
                </c:pt>
                <c:pt idx="12">
                  <c:v>91</c:v>
                </c:pt>
                <c:pt idx="13">
                  <c:v>98</c:v>
                </c:pt>
                <c:pt idx="14">
                  <c:v>105</c:v>
                </c:pt>
              </c:numCache>
            </c:numRef>
          </c:xVal>
          <c:yVal>
            <c:numRef>
              <c:f>'COMPARATIVE STUDY (3 REACTORS)'!$X$77:$X$91</c:f>
              <c:numCache>
                <c:formatCode>General</c:formatCode>
                <c:ptCount val="15"/>
                <c:pt idx="0">
                  <c:v>1.2150000000000001</c:v>
                </c:pt>
                <c:pt idx="1">
                  <c:v>5.4020000000000001</c:v>
                </c:pt>
                <c:pt idx="2">
                  <c:v>10.481</c:v>
                </c:pt>
                <c:pt idx="3">
                  <c:v>15.531000000000001</c:v>
                </c:pt>
                <c:pt idx="4">
                  <c:v>19.914000000000001</c:v>
                </c:pt>
                <c:pt idx="5">
                  <c:v>24.905999999999999</c:v>
                </c:pt>
                <c:pt idx="6">
                  <c:v>29.962</c:v>
                </c:pt>
                <c:pt idx="7">
                  <c:v>34.741999999999997</c:v>
                </c:pt>
                <c:pt idx="8">
                  <c:v>41.378</c:v>
                </c:pt>
                <c:pt idx="9">
                  <c:v>47.204999999999998</c:v>
                </c:pt>
                <c:pt idx="10">
                  <c:v>55.715000000000003</c:v>
                </c:pt>
                <c:pt idx="11">
                  <c:v>63.783999999999999</c:v>
                </c:pt>
                <c:pt idx="12">
                  <c:v>96.034000000000006</c:v>
                </c:pt>
                <c:pt idx="13">
                  <c:v>113.76900000000001</c:v>
                </c:pt>
                <c:pt idx="14">
                  <c:v>120.938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AC-D049-A6D6-7B5E20822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706736"/>
        <c:axId val="298462096"/>
      </c:scatterChart>
      <c:valAx>
        <c:axId val="294296160"/>
        <c:scaling>
          <c:orientation val="minMax"/>
          <c:max val="105"/>
          <c:min val="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Operating</a:t>
                </a:r>
                <a:r>
                  <a:rPr lang="en-US" baseline="0"/>
                  <a:t> 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859984"/>
        <c:crosses val="autoZero"/>
        <c:crossBetween val="midCat"/>
        <c:majorUnit val="7"/>
      </c:valAx>
      <c:valAx>
        <c:axId val="2368599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TCOD produced &amp;/or accumulated (g/L)</a:t>
                </a:r>
              </a:p>
            </c:rich>
          </c:tx>
          <c:layout>
            <c:manualLayout>
              <c:xMode val="edge"/>
              <c:yMode val="edge"/>
              <c:x val="7.3556381660470876E-2"/>
              <c:y val="0.127407983885735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296160"/>
        <c:crosses val="autoZero"/>
        <c:crossBetween val="midCat"/>
      </c:valAx>
      <c:valAx>
        <c:axId val="29846209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Methane produced (mL)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706736"/>
        <c:crosses val="max"/>
        <c:crossBetween val="midCat"/>
      </c:valAx>
      <c:valAx>
        <c:axId val="2937067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8462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81714785651792"/>
          <c:y val="0.1111111111111111"/>
          <c:w val="0.69206014873140853"/>
          <c:h val="0.62834062408865565"/>
        </c:manualLayout>
      </c:layout>
      <c:scatterChart>
        <c:scatterStyle val="smoothMarker"/>
        <c:varyColors val="0"/>
        <c:ser>
          <c:idx val="1"/>
          <c:order val="1"/>
          <c:tx>
            <c:v>Organic loading rate </c:v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'COMPARATIVE STUDY (3 REACTORS)'!$T$77:$T$91</c:f>
              <c:numCache>
                <c:formatCode>General</c:formatCode>
                <c:ptCount val="15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35</c:v>
                </c:pt>
                <c:pt idx="5">
                  <c:v>42</c:v>
                </c:pt>
                <c:pt idx="6">
                  <c:v>49</c:v>
                </c:pt>
                <c:pt idx="7">
                  <c:v>56</c:v>
                </c:pt>
                <c:pt idx="8">
                  <c:v>63</c:v>
                </c:pt>
                <c:pt idx="9">
                  <c:v>70</c:v>
                </c:pt>
                <c:pt idx="10">
                  <c:v>77</c:v>
                </c:pt>
                <c:pt idx="11">
                  <c:v>84</c:v>
                </c:pt>
                <c:pt idx="12">
                  <c:v>91</c:v>
                </c:pt>
                <c:pt idx="13">
                  <c:v>98</c:v>
                </c:pt>
                <c:pt idx="14">
                  <c:v>105</c:v>
                </c:pt>
              </c:numCache>
            </c:numRef>
          </c:xVal>
          <c:yVal>
            <c:numRef>
              <c:f>'COMPARATIVE STUDY (3 REACTORS)'!$W$77:$W$91</c:f>
              <c:numCache>
                <c:formatCode>0.00</c:formatCode>
                <c:ptCount val="15"/>
                <c:pt idx="0">
                  <c:v>1.1410285714285715</c:v>
                </c:pt>
                <c:pt idx="1">
                  <c:v>2.9588571428571431</c:v>
                </c:pt>
                <c:pt idx="2">
                  <c:v>3.5705142857142858</c:v>
                </c:pt>
                <c:pt idx="3">
                  <c:v>3.717257142857143</c:v>
                </c:pt>
                <c:pt idx="4">
                  <c:v>2.7869999999999999</c:v>
                </c:pt>
                <c:pt idx="5">
                  <c:v>3.0846</c:v>
                </c:pt>
                <c:pt idx="6">
                  <c:v>3.1133999999999999</c:v>
                </c:pt>
                <c:pt idx="7">
                  <c:v>4.0111999999999997</c:v>
                </c:pt>
                <c:pt idx="8">
                  <c:v>6.8170000000000002</c:v>
                </c:pt>
                <c:pt idx="9">
                  <c:v>6.1369999999999996</c:v>
                </c:pt>
                <c:pt idx="10">
                  <c:v>8.8290000000000006</c:v>
                </c:pt>
                <c:pt idx="11">
                  <c:v>9.8843999999999994</c:v>
                </c:pt>
                <c:pt idx="12">
                  <c:v>38.85</c:v>
                </c:pt>
                <c:pt idx="13">
                  <c:v>28.6448</c:v>
                </c:pt>
                <c:pt idx="14">
                  <c:v>11.798400000000001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CBE-6144-BBA1-5DECABE6B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182624"/>
        <c:axId val="296232848"/>
      </c:scatterChart>
      <c:scatterChart>
        <c:scatterStyle val="smoothMarker"/>
        <c:varyColors val="0"/>
        <c:ser>
          <c:idx val="0"/>
          <c:order val="0"/>
          <c:tx>
            <c:v>Methane produced</c:v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'COMPARATIVE STUDY (3 REACTORS)'!$T$77:$T$91</c:f>
              <c:numCache>
                <c:formatCode>General</c:formatCode>
                <c:ptCount val="15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35</c:v>
                </c:pt>
                <c:pt idx="5">
                  <c:v>42</c:v>
                </c:pt>
                <c:pt idx="6">
                  <c:v>49</c:v>
                </c:pt>
                <c:pt idx="7">
                  <c:v>56</c:v>
                </c:pt>
                <c:pt idx="8">
                  <c:v>63</c:v>
                </c:pt>
                <c:pt idx="9">
                  <c:v>70</c:v>
                </c:pt>
                <c:pt idx="10">
                  <c:v>77</c:v>
                </c:pt>
                <c:pt idx="11">
                  <c:v>84</c:v>
                </c:pt>
                <c:pt idx="12">
                  <c:v>91</c:v>
                </c:pt>
                <c:pt idx="13">
                  <c:v>98</c:v>
                </c:pt>
                <c:pt idx="14">
                  <c:v>105</c:v>
                </c:pt>
              </c:numCache>
            </c:numRef>
          </c:xVal>
          <c:yVal>
            <c:numRef>
              <c:f>'COMPARATIVE STUDY (3 REACTORS)'!$Y$77:$Y$91</c:f>
              <c:numCache>
                <c:formatCode>General</c:formatCode>
                <c:ptCount val="15"/>
                <c:pt idx="0">
                  <c:v>92.207999999999998</c:v>
                </c:pt>
                <c:pt idx="1">
                  <c:v>130.15199999999999</c:v>
                </c:pt>
                <c:pt idx="2">
                  <c:v>192.98399999999998</c:v>
                </c:pt>
                <c:pt idx="3">
                  <c:v>233.37599999999998</c:v>
                </c:pt>
                <c:pt idx="4">
                  <c:v>240.71999999999997</c:v>
                </c:pt>
                <c:pt idx="5">
                  <c:v>271.32</c:v>
                </c:pt>
                <c:pt idx="6">
                  <c:v>313.34399999999999</c:v>
                </c:pt>
                <c:pt idx="7">
                  <c:v>378.21599999999995</c:v>
                </c:pt>
                <c:pt idx="8">
                  <c:v>469.60799999999995</c:v>
                </c:pt>
                <c:pt idx="9">
                  <c:v>535.70399999999995</c:v>
                </c:pt>
                <c:pt idx="10">
                  <c:v>592.41599999999994</c:v>
                </c:pt>
                <c:pt idx="11">
                  <c:v>645.4559999999999</c:v>
                </c:pt>
                <c:pt idx="12">
                  <c:v>694.00799999999992</c:v>
                </c:pt>
                <c:pt idx="13">
                  <c:v>745.00799999999992</c:v>
                </c:pt>
                <c:pt idx="14">
                  <c:v>832.72799999999995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BE-6144-BBA1-5DECABE6B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036064"/>
        <c:axId val="229494336"/>
      </c:scatterChart>
      <c:valAx>
        <c:axId val="296182624"/>
        <c:scaling>
          <c:orientation val="minMax"/>
          <c:max val="105"/>
          <c:min val="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Operating</a:t>
                </a:r>
                <a:r>
                  <a:rPr lang="en-US" baseline="0"/>
                  <a:t> 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232848"/>
        <c:crosses val="autoZero"/>
        <c:crossBetween val="midCat"/>
        <c:majorUnit val="7"/>
      </c:valAx>
      <c:valAx>
        <c:axId val="2962328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Methane produced (mL)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182624"/>
        <c:crosses val="autoZero"/>
        <c:crossBetween val="midCat"/>
      </c:valAx>
      <c:valAx>
        <c:axId val="22949433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Organic</a:t>
                </a:r>
                <a:r>
                  <a:rPr lang="en-US" baseline="0"/>
                  <a:t> loading rate (gCOD/L.day)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036064"/>
        <c:crosses val="max"/>
        <c:crossBetween val="midCat"/>
      </c:valAx>
      <c:valAx>
        <c:axId val="236036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29494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TCOD removed Vs Methane produced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6982778415614233"/>
                  <c:y val="-5.366401056155405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'COMPARATIVE STUDY (3 REACTORS)'!$U$77:$U$91</c:f>
              <c:numCache>
                <c:formatCode>General</c:formatCode>
                <c:ptCount val="15"/>
                <c:pt idx="0">
                  <c:v>226</c:v>
                </c:pt>
                <c:pt idx="1">
                  <c:v>319</c:v>
                </c:pt>
                <c:pt idx="2">
                  <c:v>473</c:v>
                </c:pt>
                <c:pt idx="3">
                  <c:v>572</c:v>
                </c:pt>
                <c:pt idx="4">
                  <c:v>590</c:v>
                </c:pt>
                <c:pt idx="5">
                  <c:v>665</c:v>
                </c:pt>
                <c:pt idx="6">
                  <c:v>768</c:v>
                </c:pt>
                <c:pt idx="7">
                  <c:v>927</c:v>
                </c:pt>
                <c:pt idx="8">
                  <c:v>1151</c:v>
                </c:pt>
                <c:pt idx="9">
                  <c:v>1313</c:v>
                </c:pt>
                <c:pt idx="10">
                  <c:v>1452</c:v>
                </c:pt>
                <c:pt idx="11">
                  <c:v>1582</c:v>
                </c:pt>
                <c:pt idx="12">
                  <c:v>1701</c:v>
                </c:pt>
                <c:pt idx="13">
                  <c:v>1826</c:v>
                </c:pt>
                <c:pt idx="14">
                  <c:v>2041</c:v>
                </c:pt>
              </c:numCache>
            </c:numRef>
          </c:xVal>
          <c:yVal>
            <c:numRef>
              <c:f>'COMPARATIVE STUDY (3 REACTORS)'!$V$77:$V$91</c:f>
              <c:numCache>
                <c:formatCode>General</c:formatCode>
                <c:ptCount val="15"/>
                <c:pt idx="0">
                  <c:v>1215</c:v>
                </c:pt>
                <c:pt idx="1">
                  <c:v>5402</c:v>
                </c:pt>
                <c:pt idx="2">
                  <c:v>10481</c:v>
                </c:pt>
                <c:pt idx="3">
                  <c:v>15531</c:v>
                </c:pt>
                <c:pt idx="4">
                  <c:v>19914</c:v>
                </c:pt>
                <c:pt idx="5">
                  <c:v>24906</c:v>
                </c:pt>
                <c:pt idx="6">
                  <c:v>29962</c:v>
                </c:pt>
                <c:pt idx="7">
                  <c:v>34742</c:v>
                </c:pt>
                <c:pt idx="8">
                  <c:v>41378</c:v>
                </c:pt>
                <c:pt idx="9">
                  <c:v>47205</c:v>
                </c:pt>
                <c:pt idx="10">
                  <c:v>55715</c:v>
                </c:pt>
                <c:pt idx="11">
                  <c:v>63784</c:v>
                </c:pt>
                <c:pt idx="12">
                  <c:v>96034</c:v>
                </c:pt>
                <c:pt idx="13">
                  <c:v>113769</c:v>
                </c:pt>
                <c:pt idx="14">
                  <c:v>120938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44-5B47-9161-14A3891DA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613824"/>
        <c:axId val="298666704"/>
      </c:scatterChart>
      <c:valAx>
        <c:axId val="295613824"/>
        <c:scaling>
          <c:orientation val="minMax"/>
          <c:max val="2041"/>
          <c:min val="22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Methane</a:t>
                </a:r>
                <a:r>
                  <a:rPr lang="en-US" b="1" baseline="0"/>
                  <a:t> produced (mL)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666704"/>
        <c:crosses val="autoZero"/>
        <c:crossBetween val="midCat"/>
      </c:valAx>
      <c:valAx>
        <c:axId val="298666704"/>
        <c:scaling>
          <c:orientation val="minMax"/>
          <c:max val="120938"/>
          <c:min val="121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Accumulated</a:t>
                </a:r>
                <a:r>
                  <a:rPr lang="en-US" b="1" baseline="0"/>
                  <a:t> &amp;/or removed TCOD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613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7108696499571218"/>
                  <c:y val="-7.382983377077865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'COMPARATIVE STUDY (3 REACTORS)'!$X$77:$X$91</c:f>
              <c:numCache>
                <c:formatCode>General</c:formatCode>
                <c:ptCount val="15"/>
                <c:pt idx="0">
                  <c:v>1.2150000000000001</c:v>
                </c:pt>
                <c:pt idx="1">
                  <c:v>5.4020000000000001</c:v>
                </c:pt>
                <c:pt idx="2">
                  <c:v>10.481</c:v>
                </c:pt>
                <c:pt idx="3">
                  <c:v>15.531000000000001</c:v>
                </c:pt>
                <c:pt idx="4">
                  <c:v>19.914000000000001</c:v>
                </c:pt>
                <c:pt idx="5">
                  <c:v>24.905999999999999</c:v>
                </c:pt>
                <c:pt idx="6">
                  <c:v>29.962</c:v>
                </c:pt>
                <c:pt idx="7">
                  <c:v>34.741999999999997</c:v>
                </c:pt>
                <c:pt idx="8">
                  <c:v>41.378</c:v>
                </c:pt>
                <c:pt idx="9">
                  <c:v>47.204999999999998</c:v>
                </c:pt>
                <c:pt idx="10">
                  <c:v>55.715000000000003</c:v>
                </c:pt>
                <c:pt idx="11">
                  <c:v>63.783999999999999</c:v>
                </c:pt>
                <c:pt idx="12">
                  <c:v>96.034000000000006</c:v>
                </c:pt>
                <c:pt idx="13">
                  <c:v>113.76900000000001</c:v>
                </c:pt>
                <c:pt idx="14">
                  <c:v>120.938</c:v>
                </c:pt>
              </c:numCache>
            </c:numRef>
          </c:xVal>
          <c:yVal>
            <c:numRef>
              <c:f>'COMPARATIVE STUDY (3 REACTORS)'!$Y$77:$Y$91</c:f>
              <c:numCache>
                <c:formatCode>General</c:formatCode>
                <c:ptCount val="15"/>
                <c:pt idx="0">
                  <c:v>92.207999999999998</c:v>
                </c:pt>
                <c:pt idx="1">
                  <c:v>130.15199999999999</c:v>
                </c:pt>
                <c:pt idx="2">
                  <c:v>192.98399999999998</c:v>
                </c:pt>
                <c:pt idx="3">
                  <c:v>233.37599999999998</c:v>
                </c:pt>
                <c:pt idx="4">
                  <c:v>240.71999999999997</c:v>
                </c:pt>
                <c:pt idx="5">
                  <c:v>271.32</c:v>
                </c:pt>
                <c:pt idx="6">
                  <c:v>313.34399999999999</c:v>
                </c:pt>
                <c:pt idx="7">
                  <c:v>378.21599999999995</c:v>
                </c:pt>
                <c:pt idx="8">
                  <c:v>469.60799999999995</c:v>
                </c:pt>
                <c:pt idx="9">
                  <c:v>535.70399999999995</c:v>
                </c:pt>
                <c:pt idx="10">
                  <c:v>592.41599999999994</c:v>
                </c:pt>
                <c:pt idx="11">
                  <c:v>645.4559999999999</c:v>
                </c:pt>
                <c:pt idx="12">
                  <c:v>694.00799999999992</c:v>
                </c:pt>
                <c:pt idx="13">
                  <c:v>745.00799999999992</c:v>
                </c:pt>
                <c:pt idx="14">
                  <c:v>832.72799999999995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A1-A049-B1F7-51AB625E2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8140432"/>
        <c:axId val="293618496"/>
      </c:scatterChart>
      <c:valAx>
        <c:axId val="298140432"/>
        <c:scaling>
          <c:orientation val="minMax"/>
          <c:max val="121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TCOD</a:t>
                </a:r>
                <a:r>
                  <a:rPr lang="en-US" baseline="0"/>
                  <a:t> removed (gCOD/L)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618496"/>
        <c:crosses val="autoZero"/>
        <c:crossBetween val="midCat"/>
        <c:majorUnit val="10"/>
      </c:valAx>
      <c:valAx>
        <c:axId val="2936184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</a:t>
                </a:r>
                <a:r>
                  <a:rPr lang="en-US" baseline="0"/>
                  <a:t> produced (mL)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140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SGBR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64900919444256"/>
          <c:y val="0.16484444444444443"/>
          <c:w val="0.74345660553219994"/>
          <c:h val="0.58502922134733149"/>
        </c:manualLayout>
      </c:layout>
      <c:scatterChart>
        <c:scatterStyle val="smoothMarker"/>
        <c:varyColors val="0"/>
        <c:ser>
          <c:idx val="0"/>
          <c:order val="0"/>
          <c:tx>
            <c:v>VFA as Acetic acid</c:v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'COMPARATIVE STUDY (3 REACTORS)'!$H$4:$H$23</c:f>
              <c:numCache>
                <c:formatCode>General</c:formatCode>
                <c:ptCount val="20"/>
                <c:pt idx="0">
                  <c:v>5</c:v>
                </c:pt>
                <c:pt idx="1">
                  <c:v>12</c:v>
                </c:pt>
                <c:pt idx="2">
                  <c:v>19</c:v>
                </c:pt>
                <c:pt idx="3">
                  <c:v>26</c:v>
                </c:pt>
                <c:pt idx="4">
                  <c:v>33</c:v>
                </c:pt>
                <c:pt idx="5">
                  <c:v>40</c:v>
                </c:pt>
                <c:pt idx="6">
                  <c:v>47</c:v>
                </c:pt>
                <c:pt idx="7">
                  <c:v>54</c:v>
                </c:pt>
                <c:pt idx="8">
                  <c:v>61</c:v>
                </c:pt>
                <c:pt idx="9">
                  <c:v>68</c:v>
                </c:pt>
                <c:pt idx="10">
                  <c:v>75</c:v>
                </c:pt>
                <c:pt idx="11">
                  <c:v>82</c:v>
                </c:pt>
                <c:pt idx="12">
                  <c:v>89</c:v>
                </c:pt>
                <c:pt idx="13">
                  <c:v>96</c:v>
                </c:pt>
                <c:pt idx="14">
                  <c:v>103</c:v>
                </c:pt>
                <c:pt idx="15">
                  <c:v>110</c:v>
                </c:pt>
                <c:pt idx="16">
                  <c:v>117</c:v>
                </c:pt>
                <c:pt idx="17">
                  <c:v>124</c:v>
                </c:pt>
                <c:pt idx="18">
                  <c:v>131</c:v>
                </c:pt>
                <c:pt idx="19">
                  <c:v>138</c:v>
                </c:pt>
              </c:numCache>
            </c:numRef>
          </c:xVal>
          <c:yVal>
            <c:numRef>
              <c:f>'COMPARATIVE STUDY (3 REACTORS)'!$J$4:$J$23</c:f>
              <c:numCache>
                <c:formatCode>General</c:formatCode>
                <c:ptCount val="20"/>
                <c:pt idx="0">
                  <c:v>82</c:v>
                </c:pt>
                <c:pt idx="1">
                  <c:v>91</c:v>
                </c:pt>
                <c:pt idx="2">
                  <c:v>77</c:v>
                </c:pt>
                <c:pt idx="3">
                  <c:v>81</c:v>
                </c:pt>
                <c:pt idx="4">
                  <c:v>104</c:v>
                </c:pt>
                <c:pt idx="5">
                  <c:v>142</c:v>
                </c:pt>
                <c:pt idx="6">
                  <c:v>134</c:v>
                </c:pt>
                <c:pt idx="7">
                  <c:v>379</c:v>
                </c:pt>
                <c:pt idx="8">
                  <c:v>387</c:v>
                </c:pt>
                <c:pt idx="9">
                  <c:v>402</c:v>
                </c:pt>
                <c:pt idx="10">
                  <c:v>88</c:v>
                </c:pt>
                <c:pt idx="11">
                  <c:v>58</c:v>
                </c:pt>
                <c:pt idx="12">
                  <c:v>87</c:v>
                </c:pt>
                <c:pt idx="13">
                  <c:v>73</c:v>
                </c:pt>
                <c:pt idx="14">
                  <c:v>67</c:v>
                </c:pt>
                <c:pt idx="15">
                  <c:v>77</c:v>
                </c:pt>
                <c:pt idx="16">
                  <c:v>40</c:v>
                </c:pt>
                <c:pt idx="17">
                  <c:v>21</c:v>
                </c:pt>
                <c:pt idx="18">
                  <c:v>34</c:v>
                </c:pt>
                <c:pt idx="19">
                  <c:v>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79-EE45-B56C-F998BDF13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6199231"/>
        <c:axId val="1926199615"/>
      </c:scatterChart>
      <c:scatterChart>
        <c:scatterStyle val="smoothMarker"/>
        <c:varyColors val="0"/>
        <c:ser>
          <c:idx val="1"/>
          <c:order val="1"/>
          <c:tx>
            <c:v>Alkalinity as CaCO3</c:v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'COMPARATIVE STUDY (3 REACTORS)'!$H$4:$H$23</c:f>
              <c:numCache>
                <c:formatCode>General</c:formatCode>
                <c:ptCount val="20"/>
                <c:pt idx="0">
                  <c:v>5</c:v>
                </c:pt>
                <c:pt idx="1">
                  <c:v>12</c:v>
                </c:pt>
                <c:pt idx="2">
                  <c:v>19</c:v>
                </c:pt>
                <c:pt idx="3">
                  <c:v>26</c:v>
                </c:pt>
                <c:pt idx="4">
                  <c:v>33</c:v>
                </c:pt>
                <c:pt idx="5">
                  <c:v>40</c:v>
                </c:pt>
                <c:pt idx="6">
                  <c:v>47</c:v>
                </c:pt>
                <c:pt idx="7">
                  <c:v>54</c:v>
                </c:pt>
                <c:pt idx="8">
                  <c:v>61</c:v>
                </c:pt>
                <c:pt idx="9">
                  <c:v>68</c:v>
                </c:pt>
                <c:pt idx="10">
                  <c:v>75</c:v>
                </c:pt>
                <c:pt idx="11">
                  <c:v>82</c:v>
                </c:pt>
                <c:pt idx="12">
                  <c:v>89</c:v>
                </c:pt>
                <c:pt idx="13">
                  <c:v>96</c:v>
                </c:pt>
                <c:pt idx="14">
                  <c:v>103</c:v>
                </c:pt>
                <c:pt idx="15">
                  <c:v>110</c:v>
                </c:pt>
                <c:pt idx="16">
                  <c:v>117</c:v>
                </c:pt>
                <c:pt idx="17">
                  <c:v>124</c:v>
                </c:pt>
                <c:pt idx="18">
                  <c:v>131</c:v>
                </c:pt>
                <c:pt idx="19">
                  <c:v>138</c:v>
                </c:pt>
              </c:numCache>
            </c:numRef>
          </c:xVal>
          <c:yVal>
            <c:numRef>
              <c:f>'COMPARATIVE STUDY (3 REACTORS)'!$M$4:$M$23</c:f>
              <c:numCache>
                <c:formatCode>General</c:formatCode>
                <c:ptCount val="20"/>
                <c:pt idx="0">
                  <c:v>933</c:v>
                </c:pt>
                <c:pt idx="1">
                  <c:v>538</c:v>
                </c:pt>
                <c:pt idx="2">
                  <c:v>722</c:v>
                </c:pt>
                <c:pt idx="3">
                  <c:v>550</c:v>
                </c:pt>
                <c:pt idx="4">
                  <c:v>449</c:v>
                </c:pt>
                <c:pt idx="5">
                  <c:v>430</c:v>
                </c:pt>
                <c:pt idx="6">
                  <c:v>639</c:v>
                </c:pt>
                <c:pt idx="7">
                  <c:v>743</c:v>
                </c:pt>
                <c:pt idx="8">
                  <c:v>781</c:v>
                </c:pt>
                <c:pt idx="9">
                  <c:v>408</c:v>
                </c:pt>
                <c:pt idx="10">
                  <c:v>395</c:v>
                </c:pt>
                <c:pt idx="11">
                  <c:v>660</c:v>
                </c:pt>
                <c:pt idx="12">
                  <c:v>474</c:v>
                </c:pt>
                <c:pt idx="13">
                  <c:v>481</c:v>
                </c:pt>
                <c:pt idx="14">
                  <c:v>494</c:v>
                </c:pt>
                <c:pt idx="15">
                  <c:v>347</c:v>
                </c:pt>
                <c:pt idx="16">
                  <c:v>496</c:v>
                </c:pt>
                <c:pt idx="17">
                  <c:v>685</c:v>
                </c:pt>
                <c:pt idx="18">
                  <c:v>703</c:v>
                </c:pt>
                <c:pt idx="19">
                  <c:v>824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79-EE45-B56C-F998BDF13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948528"/>
        <c:axId val="295668752"/>
      </c:scatterChart>
      <c:valAx>
        <c:axId val="1926199231"/>
        <c:scaling>
          <c:orientation val="minMax"/>
          <c:max val="138"/>
          <c:min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Operating</a:t>
                </a:r>
                <a:r>
                  <a:rPr lang="en-US" b="1" baseline="0"/>
                  <a:t> time (Day)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199615"/>
        <c:crosses val="autoZero"/>
        <c:crossBetween val="midCat"/>
        <c:majorUnit val="10"/>
      </c:valAx>
      <c:valAx>
        <c:axId val="19261996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VFA</a:t>
                </a:r>
                <a:r>
                  <a:rPr lang="en-US" b="1" baseline="0"/>
                  <a:t> as Acetic acid (mg/L)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199231"/>
        <c:crosses val="autoZero"/>
        <c:crossBetween val="midCat"/>
      </c:valAx>
      <c:valAx>
        <c:axId val="29566875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Alkalinity</a:t>
                </a:r>
                <a:r>
                  <a:rPr lang="en-US" b="1" baseline="0"/>
                  <a:t> as CaCO3 (mg/L)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48528"/>
        <c:crosses val="max"/>
        <c:crossBetween val="midCat"/>
      </c:valAx>
      <c:valAx>
        <c:axId val="194948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5668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EGSB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46981627296588"/>
          <c:y val="0.13425925925925927"/>
          <c:w val="0.7133937007874015"/>
          <c:h val="0.59688247302420527"/>
        </c:manualLayout>
      </c:layout>
      <c:scatterChart>
        <c:scatterStyle val="smoothMarker"/>
        <c:varyColors val="0"/>
        <c:ser>
          <c:idx val="0"/>
          <c:order val="0"/>
          <c:tx>
            <c:v>VFA as Acetic acid</c:v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'COMPARATIVE STUDY (3 REACTORS)'!$H$28:$H$49</c:f>
              <c:numCache>
                <c:formatCode>General</c:formatCode>
                <c:ptCount val="22"/>
                <c:pt idx="0">
                  <c:v>5</c:v>
                </c:pt>
                <c:pt idx="1">
                  <c:v>12</c:v>
                </c:pt>
                <c:pt idx="2">
                  <c:v>19</c:v>
                </c:pt>
                <c:pt idx="3">
                  <c:v>26</c:v>
                </c:pt>
                <c:pt idx="4">
                  <c:v>33</c:v>
                </c:pt>
                <c:pt idx="5">
                  <c:v>40</c:v>
                </c:pt>
                <c:pt idx="6">
                  <c:v>47</c:v>
                </c:pt>
                <c:pt idx="7">
                  <c:v>54</c:v>
                </c:pt>
                <c:pt idx="8">
                  <c:v>61</c:v>
                </c:pt>
                <c:pt idx="9">
                  <c:v>68</c:v>
                </c:pt>
                <c:pt idx="10">
                  <c:v>75</c:v>
                </c:pt>
                <c:pt idx="11">
                  <c:v>82</c:v>
                </c:pt>
                <c:pt idx="12">
                  <c:v>89</c:v>
                </c:pt>
                <c:pt idx="13">
                  <c:v>96</c:v>
                </c:pt>
                <c:pt idx="14">
                  <c:v>103</c:v>
                </c:pt>
                <c:pt idx="15">
                  <c:v>110</c:v>
                </c:pt>
                <c:pt idx="16">
                  <c:v>117</c:v>
                </c:pt>
                <c:pt idx="17">
                  <c:v>124</c:v>
                </c:pt>
                <c:pt idx="18">
                  <c:v>131</c:v>
                </c:pt>
                <c:pt idx="19">
                  <c:v>138</c:v>
                </c:pt>
                <c:pt idx="20">
                  <c:v>145</c:v>
                </c:pt>
                <c:pt idx="21">
                  <c:v>152</c:v>
                </c:pt>
              </c:numCache>
            </c:numRef>
          </c:xVal>
          <c:yVal>
            <c:numRef>
              <c:f>'COMPARATIVE STUDY (3 REACTORS)'!$M$28:$M$49</c:f>
              <c:numCache>
                <c:formatCode>General</c:formatCode>
                <c:ptCount val="22"/>
                <c:pt idx="0">
                  <c:v>77</c:v>
                </c:pt>
                <c:pt idx="1">
                  <c:v>720</c:v>
                </c:pt>
                <c:pt idx="2">
                  <c:v>794</c:v>
                </c:pt>
                <c:pt idx="3">
                  <c:v>808</c:v>
                </c:pt>
                <c:pt idx="4">
                  <c:v>109</c:v>
                </c:pt>
                <c:pt idx="5">
                  <c:v>720</c:v>
                </c:pt>
                <c:pt idx="6">
                  <c:v>837</c:v>
                </c:pt>
                <c:pt idx="7">
                  <c:v>115</c:v>
                </c:pt>
                <c:pt idx="8">
                  <c:v>98</c:v>
                </c:pt>
                <c:pt idx="9">
                  <c:v>81</c:v>
                </c:pt>
                <c:pt idx="10">
                  <c:v>78</c:v>
                </c:pt>
                <c:pt idx="11">
                  <c:v>88</c:v>
                </c:pt>
                <c:pt idx="12">
                  <c:v>49</c:v>
                </c:pt>
                <c:pt idx="13">
                  <c:v>149</c:v>
                </c:pt>
                <c:pt idx="14">
                  <c:v>135</c:v>
                </c:pt>
                <c:pt idx="15">
                  <c:v>121</c:v>
                </c:pt>
                <c:pt idx="16">
                  <c:v>27</c:v>
                </c:pt>
                <c:pt idx="17">
                  <c:v>71</c:v>
                </c:pt>
                <c:pt idx="18">
                  <c:v>73</c:v>
                </c:pt>
                <c:pt idx="19">
                  <c:v>59</c:v>
                </c:pt>
                <c:pt idx="20">
                  <c:v>54</c:v>
                </c:pt>
                <c:pt idx="21">
                  <c:v>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69-F149-BF34-ECD8A7933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3872"/>
        <c:axId val="263932944"/>
      </c:scatterChart>
      <c:scatterChart>
        <c:scatterStyle val="smoothMarker"/>
        <c:varyColors val="0"/>
        <c:ser>
          <c:idx val="1"/>
          <c:order val="1"/>
          <c:tx>
            <c:v>Alkalinity as CaCO3</c:v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'COMPARATIVE STUDY (3 REACTORS)'!$H$28:$H$49</c:f>
              <c:numCache>
                <c:formatCode>General</c:formatCode>
                <c:ptCount val="22"/>
                <c:pt idx="0">
                  <c:v>5</c:v>
                </c:pt>
                <c:pt idx="1">
                  <c:v>12</c:v>
                </c:pt>
                <c:pt idx="2">
                  <c:v>19</c:v>
                </c:pt>
                <c:pt idx="3">
                  <c:v>26</c:v>
                </c:pt>
                <c:pt idx="4">
                  <c:v>33</c:v>
                </c:pt>
                <c:pt idx="5">
                  <c:v>40</c:v>
                </c:pt>
                <c:pt idx="6">
                  <c:v>47</c:v>
                </c:pt>
                <c:pt idx="7">
                  <c:v>54</c:v>
                </c:pt>
                <c:pt idx="8">
                  <c:v>61</c:v>
                </c:pt>
                <c:pt idx="9">
                  <c:v>68</c:v>
                </c:pt>
                <c:pt idx="10">
                  <c:v>75</c:v>
                </c:pt>
                <c:pt idx="11">
                  <c:v>82</c:v>
                </c:pt>
                <c:pt idx="12">
                  <c:v>89</c:v>
                </c:pt>
                <c:pt idx="13">
                  <c:v>96</c:v>
                </c:pt>
                <c:pt idx="14">
                  <c:v>103</c:v>
                </c:pt>
                <c:pt idx="15">
                  <c:v>110</c:v>
                </c:pt>
                <c:pt idx="16">
                  <c:v>117</c:v>
                </c:pt>
                <c:pt idx="17">
                  <c:v>124</c:v>
                </c:pt>
                <c:pt idx="18">
                  <c:v>131</c:v>
                </c:pt>
                <c:pt idx="19">
                  <c:v>138</c:v>
                </c:pt>
                <c:pt idx="20">
                  <c:v>145</c:v>
                </c:pt>
                <c:pt idx="21">
                  <c:v>152</c:v>
                </c:pt>
              </c:numCache>
            </c:numRef>
          </c:xVal>
          <c:yVal>
            <c:numRef>
              <c:f>'COMPARATIVE STUDY (3 REACTORS)'!$J$28:$J$49</c:f>
              <c:numCache>
                <c:formatCode>General</c:formatCode>
                <c:ptCount val="22"/>
                <c:pt idx="0">
                  <c:v>798</c:v>
                </c:pt>
                <c:pt idx="1">
                  <c:v>527</c:v>
                </c:pt>
                <c:pt idx="2">
                  <c:v>288</c:v>
                </c:pt>
                <c:pt idx="3">
                  <c:v>266</c:v>
                </c:pt>
                <c:pt idx="4">
                  <c:v>252</c:v>
                </c:pt>
                <c:pt idx="5">
                  <c:v>527</c:v>
                </c:pt>
                <c:pt idx="6">
                  <c:v>243</c:v>
                </c:pt>
                <c:pt idx="7">
                  <c:v>276</c:v>
                </c:pt>
                <c:pt idx="8">
                  <c:v>387</c:v>
                </c:pt>
                <c:pt idx="9">
                  <c:v>417</c:v>
                </c:pt>
                <c:pt idx="10">
                  <c:v>366</c:v>
                </c:pt>
                <c:pt idx="11">
                  <c:v>372</c:v>
                </c:pt>
                <c:pt idx="12">
                  <c:v>495</c:v>
                </c:pt>
                <c:pt idx="13">
                  <c:v>641</c:v>
                </c:pt>
                <c:pt idx="14">
                  <c:v>497</c:v>
                </c:pt>
                <c:pt idx="15">
                  <c:v>465</c:v>
                </c:pt>
                <c:pt idx="16">
                  <c:v>714</c:v>
                </c:pt>
                <c:pt idx="17">
                  <c:v>891</c:v>
                </c:pt>
                <c:pt idx="18">
                  <c:v>688</c:v>
                </c:pt>
                <c:pt idx="19">
                  <c:v>651</c:v>
                </c:pt>
                <c:pt idx="20">
                  <c:v>632</c:v>
                </c:pt>
                <c:pt idx="21">
                  <c:v>589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69-F149-BF34-ECD8A7933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324576"/>
        <c:axId val="260213136"/>
      </c:scatterChart>
      <c:valAx>
        <c:axId val="236433872"/>
        <c:scaling>
          <c:orientation val="minMax"/>
          <c:max val="152"/>
          <c:min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Operating</a:t>
                </a:r>
                <a:r>
                  <a:rPr lang="en-US" b="1" baseline="0"/>
                  <a:t> time (Day)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932944"/>
        <c:crosses val="autoZero"/>
        <c:crossBetween val="midCat"/>
        <c:majorUnit val="10"/>
      </c:valAx>
      <c:valAx>
        <c:axId val="2639329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VF</a:t>
                </a:r>
                <a:r>
                  <a:rPr lang="en-US" b="1" baseline="0"/>
                  <a:t>A as Acetic acid (mg/L)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3872"/>
        <c:crosses val="autoZero"/>
        <c:crossBetween val="midCat"/>
      </c:valAx>
      <c:valAx>
        <c:axId val="26021313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Alkalinity</a:t>
                </a:r>
                <a:r>
                  <a:rPr lang="en-US" b="1" baseline="0"/>
                  <a:t> as CaCO3 (mg/L)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324576"/>
        <c:crosses val="max"/>
        <c:crossBetween val="midCat"/>
      </c:valAx>
      <c:valAx>
        <c:axId val="2353245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60213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DEGBR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18020781110227"/>
          <c:y val="0.10526315789473684"/>
          <c:w val="0.74025381658753331"/>
          <c:h val="0.5996560298383754"/>
        </c:manualLayout>
      </c:layout>
      <c:scatterChart>
        <c:scatterStyle val="smoothMarker"/>
        <c:varyColors val="0"/>
        <c:ser>
          <c:idx val="0"/>
          <c:order val="0"/>
          <c:tx>
            <c:v>VFA as Acetic acid</c:v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'COMPARATIVE STUDY (3 REACTORS)'!$H$58:$H$72</c:f>
              <c:numCache>
                <c:formatCode>General</c:formatCode>
                <c:ptCount val="15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35</c:v>
                </c:pt>
                <c:pt idx="5">
                  <c:v>42</c:v>
                </c:pt>
                <c:pt idx="6">
                  <c:v>49</c:v>
                </c:pt>
                <c:pt idx="7">
                  <c:v>56</c:v>
                </c:pt>
                <c:pt idx="8">
                  <c:v>63</c:v>
                </c:pt>
                <c:pt idx="9">
                  <c:v>70</c:v>
                </c:pt>
                <c:pt idx="10">
                  <c:v>77</c:v>
                </c:pt>
                <c:pt idx="11">
                  <c:v>84</c:v>
                </c:pt>
                <c:pt idx="12">
                  <c:v>91</c:v>
                </c:pt>
                <c:pt idx="13">
                  <c:v>98</c:v>
                </c:pt>
                <c:pt idx="14">
                  <c:v>105</c:v>
                </c:pt>
              </c:numCache>
            </c:numRef>
          </c:xVal>
          <c:yVal>
            <c:numRef>
              <c:f>'COMPARATIVE STUDY (3 REACTORS)'!$S$58:$S$72</c:f>
              <c:numCache>
                <c:formatCode>General</c:formatCode>
                <c:ptCount val="15"/>
                <c:pt idx="0">
                  <c:v>49</c:v>
                </c:pt>
                <c:pt idx="1">
                  <c:v>34</c:v>
                </c:pt>
                <c:pt idx="2">
                  <c:v>57</c:v>
                </c:pt>
                <c:pt idx="3">
                  <c:v>51</c:v>
                </c:pt>
                <c:pt idx="4">
                  <c:v>56</c:v>
                </c:pt>
                <c:pt idx="5">
                  <c:v>82</c:v>
                </c:pt>
                <c:pt idx="6">
                  <c:v>83</c:v>
                </c:pt>
                <c:pt idx="7">
                  <c:v>75</c:v>
                </c:pt>
                <c:pt idx="8">
                  <c:v>78</c:v>
                </c:pt>
                <c:pt idx="9">
                  <c:v>38</c:v>
                </c:pt>
                <c:pt idx="10">
                  <c:v>43</c:v>
                </c:pt>
                <c:pt idx="11">
                  <c:v>55</c:v>
                </c:pt>
                <c:pt idx="12">
                  <c:v>29</c:v>
                </c:pt>
                <c:pt idx="13">
                  <c:v>37</c:v>
                </c:pt>
                <c:pt idx="14">
                  <c:v>165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08-8741-94E5-3C89D7E73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309360"/>
        <c:axId val="264647680"/>
      </c:scatterChart>
      <c:scatterChart>
        <c:scatterStyle val="smoothMarker"/>
        <c:varyColors val="0"/>
        <c:ser>
          <c:idx val="1"/>
          <c:order val="1"/>
          <c:tx>
            <c:v>Alkalinity as CaCO3</c:v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'COMPARATIVE STUDY (3 REACTORS)'!$H$58:$H$72</c:f>
              <c:numCache>
                <c:formatCode>General</c:formatCode>
                <c:ptCount val="15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35</c:v>
                </c:pt>
                <c:pt idx="5">
                  <c:v>42</c:v>
                </c:pt>
                <c:pt idx="6">
                  <c:v>49</c:v>
                </c:pt>
                <c:pt idx="7">
                  <c:v>56</c:v>
                </c:pt>
                <c:pt idx="8">
                  <c:v>63</c:v>
                </c:pt>
                <c:pt idx="9">
                  <c:v>70</c:v>
                </c:pt>
                <c:pt idx="10">
                  <c:v>77</c:v>
                </c:pt>
                <c:pt idx="11">
                  <c:v>84</c:v>
                </c:pt>
                <c:pt idx="12">
                  <c:v>91</c:v>
                </c:pt>
                <c:pt idx="13">
                  <c:v>98</c:v>
                </c:pt>
                <c:pt idx="14">
                  <c:v>105</c:v>
                </c:pt>
              </c:numCache>
            </c:numRef>
          </c:xVal>
          <c:yVal>
            <c:numRef>
              <c:f>'COMPARATIVE STUDY (3 REACTORS)'!$U$58:$U$72</c:f>
              <c:numCache>
                <c:formatCode>General</c:formatCode>
                <c:ptCount val="15"/>
                <c:pt idx="0">
                  <c:v>1113</c:v>
                </c:pt>
                <c:pt idx="1">
                  <c:v>447</c:v>
                </c:pt>
                <c:pt idx="2">
                  <c:v>498</c:v>
                </c:pt>
                <c:pt idx="3">
                  <c:v>973</c:v>
                </c:pt>
                <c:pt idx="4">
                  <c:v>1148</c:v>
                </c:pt>
                <c:pt idx="5">
                  <c:v>678</c:v>
                </c:pt>
                <c:pt idx="6">
                  <c:v>722</c:v>
                </c:pt>
                <c:pt idx="7">
                  <c:v>871</c:v>
                </c:pt>
                <c:pt idx="8">
                  <c:v>906</c:v>
                </c:pt>
                <c:pt idx="9">
                  <c:v>653</c:v>
                </c:pt>
                <c:pt idx="10">
                  <c:v>677</c:v>
                </c:pt>
                <c:pt idx="11">
                  <c:v>774</c:v>
                </c:pt>
                <c:pt idx="12">
                  <c:v>736</c:v>
                </c:pt>
                <c:pt idx="13">
                  <c:v>928</c:v>
                </c:pt>
                <c:pt idx="14">
                  <c:v>1221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F08-8741-94E5-3C89D7E73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5959903"/>
        <c:axId val="1928396831"/>
      </c:scatterChart>
      <c:valAx>
        <c:axId val="294309360"/>
        <c:scaling>
          <c:orientation val="minMax"/>
          <c:max val="105"/>
          <c:min val="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Operating</a:t>
                </a:r>
                <a:r>
                  <a:rPr lang="en-US" b="1" baseline="0"/>
                  <a:t> time (Day)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647680"/>
        <c:crosses val="autoZero"/>
        <c:crossBetween val="midCat"/>
        <c:majorUnit val="7"/>
      </c:valAx>
      <c:valAx>
        <c:axId val="2646476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VFA</a:t>
                </a:r>
                <a:r>
                  <a:rPr lang="en-US" b="1" baseline="0"/>
                  <a:t> as Acetic acid (mg/L)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309360"/>
        <c:crosses val="autoZero"/>
        <c:crossBetween val="midCat"/>
      </c:valAx>
      <c:valAx>
        <c:axId val="192839683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Alkalinity</a:t>
                </a:r>
                <a:r>
                  <a:rPr lang="en-US" b="1" baseline="0"/>
                  <a:t> as CaCO3 (mg/L)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959903"/>
        <c:crosses val="max"/>
        <c:crossBetween val="midCat"/>
      </c:valAx>
      <c:valAx>
        <c:axId val="19259599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283968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SGBR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Biodegradability 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3644422572178476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'COMPARATIVE STUDY (3 REACTORS)'!$O$4:$O$23</c:f>
              <c:numCache>
                <c:formatCode>General</c:formatCode>
                <c:ptCount val="20"/>
                <c:pt idx="0">
                  <c:v>543</c:v>
                </c:pt>
                <c:pt idx="1">
                  <c:v>1125</c:v>
                </c:pt>
                <c:pt idx="2">
                  <c:v>1212</c:v>
                </c:pt>
                <c:pt idx="3">
                  <c:v>1804</c:v>
                </c:pt>
                <c:pt idx="4">
                  <c:v>1497</c:v>
                </c:pt>
                <c:pt idx="5">
                  <c:v>1364</c:v>
                </c:pt>
                <c:pt idx="6">
                  <c:v>1724</c:v>
                </c:pt>
                <c:pt idx="7">
                  <c:v>2043</c:v>
                </c:pt>
                <c:pt idx="8">
                  <c:v>3286</c:v>
                </c:pt>
                <c:pt idx="9">
                  <c:v>2329</c:v>
                </c:pt>
                <c:pt idx="10">
                  <c:v>4241</c:v>
                </c:pt>
                <c:pt idx="11">
                  <c:v>2975</c:v>
                </c:pt>
                <c:pt idx="12">
                  <c:v>3723</c:v>
                </c:pt>
                <c:pt idx="13">
                  <c:v>4466</c:v>
                </c:pt>
                <c:pt idx="14">
                  <c:v>5634</c:v>
                </c:pt>
                <c:pt idx="15">
                  <c:v>4635</c:v>
                </c:pt>
                <c:pt idx="16">
                  <c:v>3523</c:v>
                </c:pt>
                <c:pt idx="17">
                  <c:v>7760</c:v>
                </c:pt>
                <c:pt idx="18">
                  <c:v>8847</c:v>
                </c:pt>
                <c:pt idx="19">
                  <c:v>1597</c:v>
                </c:pt>
              </c:numCache>
            </c:numRef>
          </c:xVal>
          <c:yVal>
            <c:numRef>
              <c:f>'COMPARATIVE STUDY (3 REACTORS)'!$R$4:$R$23</c:f>
              <c:numCache>
                <c:formatCode>General</c:formatCode>
                <c:ptCount val="20"/>
                <c:pt idx="0">
                  <c:v>325</c:v>
                </c:pt>
                <c:pt idx="1">
                  <c:v>450</c:v>
                </c:pt>
                <c:pt idx="2">
                  <c:v>525</c:v>
                </c:pt>
                <c:pt idx="3">
                  <c:v>875</c:v>
                </c:pt>
                <c:pt idx="4">
                  <c:v>1000</c:v>
                </c:pt>
                <c:pt idx="5">
                  <c:v>750</c:v>
                </c:pt>
                <c:pt idx="6">
                  <c:v>1050</c:v>
                </c:pt>
                <c:pt idx="7">
                  <c:v>1200</c:v>
                </c:pt>
                <c:pt idx="8">
                  <c:v>1700</c:v>
                </c:pt>
                <c:pt idx="9">
                  <c:v>1500</c:v>
                </c:pt>
                <c:pt idx="10">
                  <c:v>2125</c:v>
                </c:pt>
                <c:pt idx="11">
                  <c:v>1500</c:v>
                </c:pt>
                <c:pt idx="12">
                  <c:v>1750</c:v>
                </c:pt>
                <c:pt idx="13">
                  <c:v>2375</c:v>
                </c:pt>
                <c:pt idx="14" formatCode="0">
                  <c:v>4000</c:v>
                </c:pt>
                <c:pt idx="15" formatCode="0">
                  <c:v>3250</c:v>
                </c:pt>
                <c:pt idx="16">
                  <c:v>2125</c:v>
                </c:pt>
                <c:pt idx="17">
                  <c:v>4750</c:v>
                </c:pt>
                <c:pt idx="18">
                  <c:v>5000</c:v>
                </c:pt>
                <c:pt idx="19">
                  <c:v>925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16-CE4D-A2AE-5956DB1E8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033744"/>
        <c:axId val="235787280"/>
      </c:scatterChart>
      <c:valAx>
        <c:axId val="237033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tCOD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787280"/>
        <c:crosses val="autoZero"/>
        <c:crossBetween val="midCat"/>
      </c:valAx>
      <c:valAx>
        <c:axId val="2357872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BOD</a:t>
                </a:r>
                <a:r>
                  <a:rPr lang="en-US" baseline="0"/>
                  <a:t>5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033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EGSB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46981627296588"/>
          <c:y val="0.17171296296296296"/>
          <c:w val="0.8216412948381453"/>
          <c:h val="0.63292468649752109"/>
        </c:manualLayout>
      </c:layout>
      <c:scatterChart>
        <c:scatterStyle val="smoothMarker"/>
        <c:varyColors val="0"/>
        <c:ser>
          <c:idx val="0"/>
          <c:order val="0"/>
          <c:tx>
            <c:v>Biodegradability 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523118985126861"/>
                  <c:y val="-5.198272090988626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'COMPARATIVE STUDY (3 REACTORS)'!$O$28:$O$51</c:f>
              <c:numCache>
                <c:formatCode>General</c:formatCode>
                <c:ptCount val="24"/>
                <c:pt idx="0">
                  <c:v>3215</c:v>
                </c:pt>
                <c:pt idx="1">
                  <c:v>3215</c:v>
                </c:pt>
                <c:pt idx="2">
                  <c:v>3215</c:v>
                </c:pt>
                <c:pt idx="3">
                  <c:v>3215</c:v>
                </c:pt>
                <c:pt idx="4">
                  <c:v>3215</c:v>
                </c:pt>
                <c:pt idx="5">
                  <c:v>3215</c:v>
                </c:pt>
                <c:pt idx="6">
                  <c:v>2153</c:v>
                </c:pt>
                <c:pt idx="7">
                  <c:v>2153</c:v>
                </c:pt>
                <c:pt idx="8">
                  <c:v>2153</c:v>
                </c:pt>
                <c:pt idx="9">
                  <c:v>2153</c:v>
                </c:pt>
                <c:pt idx="10">
                  <c:v>2153</c:v>
                </c:pt>
                <c:pt idx="11">
                  <c:v>3545</c:v>
                </c:pt>
                <c:pt idx="12">
                  <c:v>4149</c:v>
                </c:pt>
                <c:pt idx="13">
                  <c:v>6880</c:v>
                </c:pt>
                <c:pt idx="14">
                  <c:v>2999</c:v>
                </c:pt>
                <c:pt idx="15">
                  <c:v>3414</c:v>
                </c:pt>
                <c:pt idx="16">
                  <c:v>4886</c:v>
                </c:pt>
                <c:pt idx="17">
                  <c:v>5136</c:v>
                </c:pt>
                <c:pt idx="18">
                  <c:v>6023</c:v>
                </c:pt>
                <c:pt idx="19">
                  <c:v>5780</c:v>
                </c:pt>
                <c:pt idx="20">
                  <c:v>5360</c:v>
                </c:pt>
                <c:pt idx="21">
                  <c:v>8448</c:v>
                </c:pt>
                <c:pt idx="22">
                  <c:v>7463</c:v>
                </c:pt>
                <c:pt idx="23">
                  <c:v>6095</c:v>
                </c:pt>
              </c:numCache>
            </c:numRef>
          </c:xVal>
          <c:yVal>
            <c:numRef>
              <c:f>'COMPARATIVE STUDY (3 REACTORS)'!$R$28:$R$51</c:f>
              <c:numCache>
                <c:formatCode>General</c:formatCode>
                <c:ptCount val="24"/>
                <c:pt idx="0">
                  <c:v>1950</c:v>
                </c:pt>
                <c:pt idx="1">
                  <c:v>1950</c:v>
                </c:pt>
                <c:pt idx="2">
                  <c:v>1950</c:v>
                </c:pt>
                <c:pt idx="3">
                  <c:v>1950</c:v>
                </c:pt>
                <c:pt idx="4">
                  <c:v>1950</c:v>
                </c:pt>
                <c:pt idx="5">
                  <c:v>1950</c:v>
                </c:pt>
                <c:pt idx="6">
                  <c:v>850</c:v>
                </c:pt>
                <c:pt idx="7">
                  <c:v>850</c:v>
                </c:pt>
                <c:pt idx="8">
                  <c:v>850</c:v>
                </c:pt>
                <c:pt idx="9">
                  <c:v>850</c:v>
                </c:pt>
                <c:pt idx="10">
                  <c:v>850</c:v>
                </c:pt>
                <c:pt idx="11">
                  <c:v>2500</c:v>
                </c:pt>
                <c:pt idx="12">
                  <c:v>2400</c:v>
                </c:pt>
                <c:pt idx="13">
                  <c:v>4875</c:v>
                </c:pt>
                <c:pt idx="14">
                  <c:v>1650</c:v>
                </c:pt>
                <c:pt idx="15">
                  <c:v>1625</c:v>
                </c:pt>
                <c:pt idx="16">
                  <c:v>1875</c:v>
                </c:pt>
                <c:pt idx="17">
                  <c:v>2750</c:v>
                </c:pt>
                <c:pt idx="18">
                  <c:v>4125</c:v>
                </c:pt>
                <c:pt idx="19">
                  <c:v>3375</c:v>
                </c:pt>
                <c:pt idx="20">
                  <c:v>3250</c:v>
                </c:pt>
                <c:pt idx="21">
                  <c:v>4000</c:v>
                </c:pt>
                <c:pt idx="22">
                  <c:v>6125</c:v>
                </c:pt>
                <c:pt idx="23">
                  <c:v>5000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A3-8447-A16B-7E6C0D0DE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973631"/>
        <c:axId val="1942009663"/>
      </c:scatterChart>
      <c:valAx>
        <c:axId val="19419736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tCOD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009663"/>
        <c:crosses val="autoZero"/>
        <c:crossBetween val="midCat"/>
      </c:valAx>
      <c:valAx>
        <c:axId val="19420096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BOD5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973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DEGBR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1"/>
            <c:dispEq val="1"/>
            <c:trendlineLbl>
              <c:layout>
                <c:manualLayout>
                  <c:x val="-0.44696062992125984"/>
                  <c:y val="-2.988954505686789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'COMPARATIVE STUDY (3 REACTORS)'!$I$58:$I$72</c:f>
              <c:numCache>
                <c:formatCode>General</c:formatCode>
                <c:ptCount val="15"/>
                <c:pt idx="0">
                  <c:v>1664</c:v>
                </c:pt>
                <c:pt idx="1">
                  <c:v>4315</c:v>
                </c:pt>
                <c:pt idx="2">
                  <c:v>5207</c:v>
                </c:pt>
                <c:pt idx="3">
                  <c:v>5421</c:v>
                </c:pt>
                <c:pt idx="4">
                  <c:v>4645</c:v>
                </c:pt>
                <c:pt idx="5">
                  <c:v>5141</c:v>
                </c:pt>
                <c:pt idx="6">
                  <c:v>5189</c:v>
                </c:pt>
                <c:pt idx="7">
                  <c:v>5014</c:v>
                </c:pt>
                <c:pt idx="8">
                  <c:v>6817</c:v>
                </c:pt>
                <c:pt idx="9">
                  <c:v>6137</c:v>
                </c:pt>
                <c:pt idx="10">
                  <c:v>8829</c:v>
                </c:pt>
                <c:pt idx="11">
                  <c:v>8237</c:v>
                </c:pt>
                <c:pt idx="12">
                  <c:v>32375</c:v>
                </c:pt>
                <c:pt idx="13">
                  <c:v>17903</c:v>
                </c:pt>
                <c:pt idx="14">
                  <c:v>7374</c:v>
                </c:pt>
              </c:numCache>
            </c:numRef>
          </c:xVal>
          <c:yVal>
            <c:numRef>
              <c:f>'COMPARATIVE STUDY (3 REACTORS)'!$L$58:$L$72</c:f>
              <c:numCache>
                <c:formatCode>General</c:formatCode>
                <c:ptCount val="15"/>
                <c:pt idx="0">
                  <c:v>850</c:v>
                </c:pt>
                <c:pt idx="1">
                  <c:v>2125</c:v>
                </c:pt>
                <c:pt idx="2">
                  <c:v>2750</c:v>
                </c:pt>
                <c:pt idx="3">
                  <c:v>3000</c:v>
                </c:pt>
                <c:pt idx="4">
                  <c:v>2625</c:v>
                </c:pt>
                <c:pt idx="5">
                  <c:v>3875</c:v>
                </c:pt>
                <c:pt idx="6">
                  <c:v>3625</c:v>
                </c:pt>
                <c:pt idx="7">
                  <c:v>3125</c:v>
                </c:pt>
                <c:pt idx="8">
                  <c:v>4250</c:v>
                </c:pt>
                <c:pt idx="9">
                  <c:v>5250</c:v>
                </c:pt>
                <c:pt idx="10">
                  <c:v>6000</c:v>
                </c:pt>
                <c:pt idx="11">
                  <c:v>6250</c:v>
                </c:pt>
                <c:pt idx="12">
                  <c:v>20500</c:v>
                </c:pt>
                <c:pt idx="13">
                  <c:v>9250</c:v>
                </c:pt>
                <c:pt idx="14">
                  <c:v>3500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83-5C40-94ED-FE0006763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9977888"/>
        <c:axId val="1940450847"/>
      </c:scatterChart>
      <c:valAx>
        <c:axId val="219977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tCOD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450847"/>
        <c:crosses val="autoZero"/>
        <c:crossBetween val="midCat"/>
      </c:valAx>
      <c:valAx>
        <c:axId val="19404508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BOD</a:t>
                </a:r>
                <a:r>
                  <a:rPr lang="en-US" baseline="0"/>
                  <a:t>5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977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EGSB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v>BOD5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'COMPARATIVE STUDY (3 REACTORS)'!$R$28:$R$51</c:f>
              <c:numCache>
                <c:formatCode>General</c:formatCode>
                <c:ptCount val="24"/>
                <c:pt idx="0">
                  <c:v>1950</c:v>
                </c:pt>
                <c:pt idx="1">
                  <c:v>1950</c:v>
                </c:pt>
                <c:pt idx="2">
                  <c:v>1950</c:v>
                </c:pt>
                <c:pt idx="3">
                  <c:v>1950</c:v>
                </c:pt>
                <c:pt idx="4">
                  <c:v>1950</c:v>
                </c:pt>
                <c:pt idx="5">
                  <c:v>1950</c:v>
                </c:pt>
                <c:pt idx="6">
                  <c:v>850</c:v>
                </c:pt>
                <c:pt idx="7">
                  <c:v>850</c:v>
                </c:pt>
                <c:pt idx="8">
                  <c:v>850</c:v>
                </c:pt>
                <c:pt idx="9">
                  <c:v>850</c:v>
                </c:pt>
                <c:pt idx="10">
                  <c:v>850</c:v>
                </c:pt>
                <c:pt idx="11">
                  <c:v>2500</c:v>
                </c:pt>
                <c:pt idx="12">
                  <c:v>2400</c:v>
                </c:pt>
                <c:pt idx="13">
                  <c:v>4875</c:v>
                </c:pt>
                <c:pt idx="14">
                  <c:v>1650</c:v>
                </c:pt>
                <c:pt idx="15">
                  <c:v>1625</c:v>
                </c:pt>
                <c:pt idx="16">
                  <c:v>1875</c:v>
                </c:pt>
                <c:pt idx="17">
                  <c:v>2750</c:v>
                </c:pt>
                <c:pt idx="18">
                  <c:v>4125</c:v>
                </c:pt>
                <c:pt idx="19">
                  <c:v>3375</c:v>
                </c:pt>
                <c:pt idx="20">
                  <c:v>3250</c:v>
                </c:pt>
                <c:pt idx="21">
                  <c:v>4000</c:v>
                </c:pt>
                <c:pt idx="22">
                  <c:v>6125</c:v>
                </c:pt>
                <c:pt idx="23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4C-C148-BF66-C24381425D48}"/>
            </c:ext>
          </c:extLst>
        </c:ser>
        <c:ser>
          <c:idx val="1"/>
          <c:order val="1"/>
          <c:tx>
            <c:v>tCOD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'COMPARATIVE STUDY (3 REACTORS)'!$O$28:$O$51</c:f>
              <c:numCache>
                <c:formatCode>General</c:formatCode>
                <c:ptCount val="24"/>
                <c:pt idx="0">
                  <c:v>3215</c:v>
                </c:pt>
                <c:pt idx="1">
                  <c:v>3215</c:v>
                </c:pt>
                <c:pt idx="2">
                  <c:v>3215</c:v>
                </c:pt>
                <c:pt idx="3">
                  <c:v>3215</c:v>
                </c:pt>
                <c:pt idx="4">
                  <c:v>3215</c:v>
                </c:pt>
                <c:pt idx="5">
                  <c:v>3215</c:v>
                </c:pt>
                <c:pt idx="6">
                  <c:v>2153</c:v>
                </c:pt>
                <c:pt idx="7">
                  <c:v>2153</c:v>
                </c:pt>
                <c:pt idx="8">
                  <c:v>2153</c:v>
                </c:pt>
                <c:pt idx="9">
                  <c:v>2153</c:v>
                </c:pt>
                <c:pt idx="10">
                  <c:v>2153</c:v>
                </c:pt>
                <c:pt idx="11">
                  <c:v>3545</c:v>
                </c:pt>
                <c:pt idx="12">
                  <c:v>4149</c:v>
                </c:pt>
                <c:pt idx="13">
                  <c:v>6880</c:v>
                </c:pt>
                <c:pt idx="14">
                  <c:v>2999</c:v>
                </c:pt>
                <c:pt idx="15">
                  <c:v>3414</c:v>
                </c:pt>
                <c:pt idx="16">
                  <c:v>4886</c:v>
                </c:pt>
                <c:pt idx="17">
                  <c:v>5136</c:v>
                </c:pt>
                <c:pt idx="18">
                  <c:v>6023</c:v>
                </c:pt>
                <c:pt idx="19">
                  <c:v>5780</c:v>
                </c:pt>
                <c:pt idx="20">
                  <c:v>5360</c:v>
                </c:pt>
                <c:pt idx="21">
                  <c:v>8448</c:v>
                </c:pt>
                <c:pt idx="22">
                  <c:v>7463</c:v>
                </c:pt>
                <c:pt idx="23">
                  <c:v>6095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4C-C148-BF66-C24381425D48}"/>
            </c:ext>
          </c:extLst>
        </c:ser>
        <c:ser>
          <c:idx val="2"/>
          <c:order val="2"/>
          <c:tx>
            <c:v>FOG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'COMPARATIVE STUDY (3 REACTORS)'!$U$28:$U$51</c:f>
              <c:numCache>
                <c:formatCode>General</c:formatCode>
                <c:ptCount val="24"/>
                <c:pt idx="0">
                  <c:v>514</c:v>
                </c:pt>
                <c:pt idx="1">
                  <c:v>514</c:v>
                </c:pt>
                <c:pt idx="2">
                  <c:v>514</c:v>
                </c:pt>
                <c:pt idx="3">
                  <c:v>514</c:v>
                </c:pt>
                <c:pt idx="4">
                  <c:v>514</c:v>
                </c:pt>
                <c:pt idx="5">
                  <c:v>514</c:v>
                </c:pt>
                <c:pt idx="6">
                  <c:v>312</c:v>
                </c:pt>
                <c:pt idx="7">
                  <c:v>312</c:v>
                </c:pt>
                <c:pt idx="8">
                  <c:v>312</c:v>
                </c:pt>
                <c:pt idx="9">
                  <c:v>312</c:v>
                </c:pt>
                <c:pt idx="10">
                  <c:v>312</c:v>
                </c:pt>
                <c:pt idx="11">
                  <c:v>348</c:v>
                </c:pt>
                <c:pt idx="12">
                  <c:v>836</c:v>
                </c:pt>
                <c:pt idx="13">
                  <c:v>1542</c:v>
                </c:pt>
                <c:pt idx="14">
                  <c:v>402</c:v>
                </c:pt>
                <c:pt idx="15">
                  <c:v>520</c:v>
                </c:pt>
                <c:pt idx="16">
                  <c:v>366</c:v>
                </c:pt>
                <c:pt idx="17">
                  <c:v>790</c:v>
                </c:pt>
                <c:pt idx="18">
                  <c:v>1186</c:v>
                </c:pt>
                <c:pt idx="19">
                  <c:v>1000</c:v>
                </c:pt>
                <c:pt idx="20">
                  <c:v>1238</c:v>
                </c:pt>
                <c:pt idx="21">
                  <c:v>1382</c:v>
                </c:pt>
                <c:pt idx="22">
                  <c:v>757</c:v>
                </c:pt>
                <c:pt idx="23">
                  <c:v>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4C-C148-BF66-C24381425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63928704"/>
        <c:axId val="239369136"/>
        <c:axId val="0"/>
      </c:bar3DChart>
      <c:catAx>
        <c:axId val="263928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Samples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369136"/>
        <c:crosses val="autoZero"/>
        <c:auto val="1"/>
        <c:lblAlgn val="ctr"/>
        <c:lblOffset val="100"/>
        <c:noMultiLvlLbl val="0"/>
      </c:catAx>
      <c:valAx>
        <c:axId val="23936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92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EGSB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BOD5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'COMPARATIVE STUDY (3 REACTORS)'!$R$28:$R$51</c:f>
              <c:numCache>
                <c:formatCode>General</c:formatCode>
                <c:ptCount val="24"/>
                <c:pt idx="0">
                  <c:v>1950</c:v>
                </c:pt>
                <c:pt idx="1">
                  <c:v>1950</c:v>
                </c:pt>
                <c:pt idx="2">
                  <c:v>1950</c:v>
                </c:pt>
                <c:pt idx="3">
                  <c:v>1950</c:v>
                </c:pt>
                <c:pt idx="4">
                  <c:v>1950</c:v>
                </c:pt>
                <c:pt idx="5">
                  <c:v>1950</c:v>
                </c:pt>
                <c:pt idx="6">
                  <c:v>850</c:v>
                </c:pt>
                <c:pt idx="7">
                  <c:v>850</c:v>
                </c:pt>
                <c:pt idx="8">
                  <c:v>850</c:v>
                </c:pt>
                <c:pt idx="9">
                  <c:v>850</c:v>
                </c:pt>
                <c:pt idx="10">
                  <c:v>850</c:v>
                </c:pt>
                <c:pt idx="11">
                  <c:v>2500</c:v>
                </c:pt>
                <c:pt idx="12">
                  <c:v>2400</c:v>
                </c:pt>
                <c:pt idx="13">
                  <c:v>4875</c:v>
                </c:pt>
                <c:pt idx="14">
                  <c:v>1650</c:v>
                </c:pt>
                <c:pt idx="15">
                  <c:v>1625</c:v>
                </c:pt>
                <c:pt idx="16">
                  <c:v>1875</c:v>
                </c:pt>
                <c:pt idx="17">
                  <c:v>2750</c:v>
                </c:pt>
                <c:pt idx="18">
                  <c:v>4125</c:v>
                </c:pt>
                <c:pt idx="19">
                  <c:v>3375</c:v>
                </c:pt>
                <c:pt idx="20">
                  <c:v>3250</c:v>
                </c:pt>
                <c:pt idx="21">
                  <c:v>4000</c:v>
                </c:pt>
                <c:pt idx="22">
                  <c:v>6125</c:v>
                </c:pt>
                <c:pt idx="23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A3-3E49-8FEA-34134E4502B0}"/>
            </c:ext>
          </c:extLst>
        </c:ser>
        <c:ser>
          <c:idx val="1"/>
          <c:order val="1"/>
          <c:tx>
            <c:v>tCOD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'COMPARATIVE STUDY (3 REACTORS)'!$O$28:$O$51</c:f>
              <c:numCache>
                <c:formatCode>General</c:formatCode>
                <c:ptCount val="24"/>
                <c:pt idx="0">
                  <c:v>3215</c:v>
                </c:pt>
                <c:pt idx="1">
                  <c:v>3215</c:v>
                </c:pt>
                <c:pt idx="2">
                  <c:v>3215</c:v>
                </c:pt>
                <c:pt idx="3">
                  <c:v>3215</c:v>
                </c:pt>
                <c:pt idx="4">
                  <c:v>3215</c:v>
                </c:pt>
                <c:pt idx="5">
                  <c:v>3215</c:v>
                </c:pt>
                <c:pt idx="6">
                  <c:v>2153</c:v>
                </c:pt>
                <c:pt idx="7">
                  <c:v>2153</c:v>
                </c:pt>
                <c:pt idx="8">
                  <c:v>2153</c:v>
                </c:pt>
                <c:pt idx="9">
                  <c:v>2153</c:v>
                </c:pt>
                <c:pt idx="10">
                  <c:v>2153</c:v>
                </c:pt>
                <c:pt idx="11">
                  <c:v>3545</c:v>
                </c:pt>
                <c:pt idx="12">
                  <c:v>4149</c:v>
                </c:pt>
                <c:pt idx="13">
                  <c:v>6880</c:v>
                </c:pt>
                <c:pt idx="14">
                  <c:v>2999</c:v>
                </c:pt>
                <c:pt idx="15">
                  <c:v>3414</c:v>
                </c:pt>
                <c:pt idx="16">
                  <c:v>4886</c:v>
                </c:pt>
                <c:pt idx="17">
                  <c:v>5136</c:v>
                </c:pt>
                <c:pt idx="18">
                  <c:v>6023</c:v>
                </c:pt>
                <c:pt idx="19">
                  <c:v>5780</c:v>
                </c:pt>
                <c:pt idx="20">
                  <c:v>5360</c:v>
                </c:pt>
                <c:pt idx="21">
                  <c:v>8448</c:v>
                </c:pt>
                <c:pt idx="22">
                  <c:v>7463</c:v>
                </c:pt>
                <c:pt idx="23">
                  <c:v>6095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A3-3E49-8FEA-34134E4502B0}"/>
            </c:ext>
          </c:extLst>
        </c:ser>
        <c:ser>
          <c:idx val="2"/>
          <c:order val="2"/>
          <c:tx>
            <c:v>FOG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'COMPARATIVE STUDY (3 REACTORS)'!$U$28:$U$51</c:f>
              <c:numCache>
                <c:formatCode>General</c:formatCode>
                <c:ptCount val="24"/>
                <c:pt idx="0">
                  <c:v>514</c:v>
                </c:pt>
                <c:pt idx="1">
                  <c:v>514</c:v>
                </c:pt>
                <c:pt idx="2">
                  <c:v>514</c:v>
                </c:pt>
                <c:pt idx="3">
                  <c:v>514</c:v>
                </c:pt>
                <c:pt idx="4">
                  <c:v>514</c:v>
                </c:pt>
                <c:pt idx="5">
                  <c:v>514</c:v>
                </c:pt>
                <c:pt idx="6">
                  <c:v>312</c:v>
                </c:pt>
                <c:pt idx="7">
                  <c:v>312</c:v>
                </c:pt>
                <c:pt idx="8">
                  <c:v>312</c:v>
                </c:pt>
                <c:pt idx="9">
                  <c:v>312</c:v>
                </c:pt>
                <c:pt idx="10">
                  <c:v>312</c:v>
                </c:pt>
                <c:pt idx="11">
                  <c:v>348</c:v>
                </c:pt>
                <c:pt idx="12">
                  <c:v>836</c:v>
                </c:pt>
                <c:pt idx="13">
                  <c:v>1542</c:v>
                </c:pt>
                <c:pt idx="14">
                  <c:v>402</c:v>
                </c:pt>
                <c:pt idx="15">
                  <c:v>520</c:v>
                </c:pt>
                <c:pt idx="16">
                  <c:v>366</c:v>
                </c:pt>
                <c:pt idx="17">
                  <c:v>790</c:v>
                </c:pt>
                <c:pt idx="18">
                  <c:v>1186</c:v>
                </c:pt>
                <c:pt idx="19">
                  <c:v>1000</c:v>
                </c:pt>
                <c:pt idx="20">
                  <c:v>1238</c:v>
                </c:pt>
                <c:pt idx="21">
                  <c:v>1382</c:v>
                </c:pt>
                <c:pt idx="22">
                  <c:v>757</c:v>
                </c:pt>
                <c:pt idx="23">
                  <c:v>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A3-3E49-8FEA-34134E450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63928704"/>
        <c:axId val="239369136"/>
        <c:axId val="0"/>
      </c:bar3DChart>
      <c:catAx>
        <c:axId val="263928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Samples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369136"/>
        <c:crosses val="autoZero"/>
        <c:auto val="1"/>
        <c:lblAlgn val="ctr"/>
        <c:lblOffset val="100"/>
        <c:noMultiLvlLbl val="0"/>
      </c:catAx>
      <c:valAx>
        <c:axId val="23936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92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EGSB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TCOD vs FOG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548184601924759"/>
                  <c:y val="-5.97896617089530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'COMPARATIVE STUDY (3 REACTORS)'!$O$28:$O$51</c:f>
              <c:numCache>
                <c:formatCode>General</c:formatCode>
                <c:ptCount val="24"/>
                <c:pt idx="0">
                  <c:v>3215</c:v>
                </c:pt>
                <c:pt idx="1">
                  <c:v>3215</c:v>
                </c:pt>
                <c:pt idx="2">
                  <c:v>3215</c:v>
                </c:pt>
                <c:pt idx="3">
                  <c:v>3215</c:v>
                </c:pt>
                <c:pt idx="4">
                  <c:v>3215</c:v>
                </c:pt>
                <c:pt idx="5">
                  <c:v>3215</c:v>
                </c:pt>
                <c:pt idx="6">
                  <c:v>2153</c:v>
                </c:pt>
                <c:pt idx="7">
                  <c:v>2153</c:v>
                </c:pt>
                <c:pt idx="8">
                  <c:v>2153</c:v>
                </c:pt>
                <c:pt idx="9">
                  <c:v>2153</c:v>
                </c:pt>
                <c:pt idx="10">
                  <c:v>2153</c:v>
                </c:pt>
                <c:pt idx="11">
                  <c:v>3545</c:v>
                </c:pt>
                <c:pt idx="12">
                  <c:v>4149</c:v>
                </c:pt>
                <c:pt idx="13">
                  <c:v>6880</c:v>
                </c:pt>
                <c:pt idx="14">
                  <c:v>2999</c:v>
                </c:pt>
                <c:pt idx="15">
                  <c:v>3414</c:v>
                </c:pt>
                <c:pt idx="16">
                  <c:v>4886</c:v>
                </c:pt>
                <c:pt idx="17">
                  <c:v>5136</c:v>
                </c:pt>
                <c:pt idx="18">
                  <c:v>6023</c:v>
                </c:pt>
                <c:pt idx="19">
                  <c:v>5780</c:v>
                </c:pt>
                <c:pt idx="20">
                  <c:v>5360</c:v>
                </c:pt>
                <c:pt idx="21">
                  <c:v>8448</c:v>
                </c:pt>
                <c:pt idx="22">
                  <c:v>7463</c:v>
                </c:pt>
                <c:pt idx="23">
                  <c:v>6095</c:v>
                </c:pt>
              </c:numCache>
            </c:numRef>
          </c:xVal>
          <c:yVal>
            <c:numRef>
              <c:f>'COMPARATIVE STUDY (3 REACTORS)'!$U$28:$U$51</c:f>
              <c:numCache>
                <c:formatCode>General</c:formatCode>
                <c:ptCount val="24"/>
                <c:pt idx="0">
                  <c:v>514</c:v>
                </c:pt>
                <c:pt idx="1">
                  <c:v>514</c:v>
                </c:pt>
                <c:pt idx="2">
                  <c:v>514</c:v>
                </c:pt>
                <c:pt idx="3">
                  <c:v>514</c:v>
                </c:pt>
                <c:pt idx="4">
                  <c:v>514</c:v>
                </c:pt>
                <c:pt idx="5">
                  <c:v>514</c:v>
                </c:pt>
                <c:pt idx="6">
                  <c:v>312</c:v>
                </c:pt>
                <c:pt idx="7">
                  <c:v>312</c:v>
                </c:pt>
                <c:pt idx="8">
                  <c:v>312</c:v>
                </c:pt>
                <c:pt idx="9">
                  <c:v>312</c:v>
                </c:pt>
                <c:pt idx="10">
                  <c:v>312</c:v>
                </c:pt>
                <c:pt idx="11">
                  <c:v>348</c:v>
                </c:pt>
                <c:pt idx="12">
                  <c:v>836</c:v>
                </c:pt>
                <c:pt idx="13">
                  <c:v>1542</c:v>
                </c:pt>
                <c:pt idx="14">
                  <c:v>402</c:v>
                </c:pt>
                <c:pt idx="15">
                  <c:v>520</c:v>
                </c:pt>
                <c:pt idx="16">
                  <c:v>366</c:v>
                </c:pt>
                <c:pt idx="17">
                  <c:v>790</c:v>
                </c:pt>
                <c:pt idx="18">
                  <c:v>1186</c:v>
                </c:pt>
                <c:pt idx="19">
                  <c:v>1000</c:v>
                </c:pt>
                <c:pt idx="20">
                  <c:v>1238</c:v>
                </c:pt>
                <c:pt idx="21">
                  <c:v>1382</c:v>
                </c:pt>
                <c:pt idx="22">
                  <c:v>757</c:v>
                </c:pt>
                <c:pt idx="23">
                  <c:v>734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93-844F-B766-637E6D74A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1360159"/>
        <c:axId val="1939848927"/>
      </c:scatterChart>
      <c:valAx>
        <c:axId val="1961360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tCOD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848927"/>
        <c:crosses val="autoZero"/>
        <c:crossBetween val="midCat"/>
      </c:valAx>
      <c:valAx>
        <c:axId val="19398489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FOG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360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SGBR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FOG Vs TCOD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2656889763779526"/>
                  <c:y val="-3.28240740740740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'COMPARATIVE STUDY (3 REACTORS)'!$O$4:$O$23</c:f>
              <c:numCache>
                <c:formatCode>General</c:formatCode>
                <c:ptCount val="20"/>
                <c:pt idx="0">
                  <c:v>543</c:v>
                </c:pt>
                <c:pt idx="1">
                  <c:v>1125</c:v>
                </c:pt>
                <c:pt idx="2">
                  <c:v>1212</c:v>
                </c:pt>
                <c:pt idx="3">
                  <c:v>1804</c:v>
                </c:pt>
                <c:pt idx="4">
                  <c:v>1497</c:v>
                </c:pt>
                <c:pt idx="5">
                  <c:v>1364</c:v>
                </c:pt>
                <c:pt idx="6">
                  <c:v>1724</c:v>
                </c:pt>
                <c:pt idx="7">
                  <c:v>2043</c:v>
                </c:pt>
                <c:pt idx="8">
                  <c:v>3286</c:v>
                </c:pt>
                <c:pt idx="9">
                  <c:v>2329</c:v>
                </c:pt>
                <c:pt idx="10">
                  <c:v>4241</c:v>
                </c:pt>
                <c:pt idx="11">
                  <c:v>2975</c:v>
                </c:pt>
                <c:pt idx="12">
                  <c:v>3723</c:v>
                </c:pt>
                <c:pt idx="13">
                  <c:v>4466</c:v>
                </c:pt>
                <c:pt idx="14">
                  <c:v>5634</c:v>
                </c:pt>
                <c:pt idx="15">
                  <c:v>4635</c:v>
                </c:pt>
                <c:pt idx="16">
                  <c:v>3523</c:v>
                </c:pt>
                <c:pt idx="17">
                  <c:v>7760</c:v>
                </c:pt>
                <c:pt idx="18">
                  <c:v>8847</c:v>
                </c:pt>
                <c:pt idx="19">
                  <c:v>1597</c:v>
                </c:pt>
              </c:numCache>
            </c:numRef>
          </c:xVal>
          <c:yVal>
            <c:numRef>
              <c:f>'COMPARATIVE STUDY (3 REACTORS)'!$U$4:$U$23</c:f>
              <c:numCache>
                <c:formatCode>General</c:formatCode>
                <c:ptCount val="20"/>
                <c:pt idx="0">
                  <c:v>122</c:v>
                </c:pt>
                <c:pt idx="1">
                  <c:v>144</c:v>
                </c:pt>
                <c:pt idx="2">
                  <c:v>194</c:v>
                </c:pt>
                <c:pt idx="3">
                  <c:v>238</c:v>
                </c:pt>
                <c:pt idx="4">
                  <c:v>254</c:v>
                </c:pt>
                <c:pt idx="5">
                  <c:v>286</c:v>
                </c:pt>
                <c:pt idx="6">
                  <c:v>202</c:v>
                </c:pt>
                <c:pt idx="7">
                  <c:v>258</c:v>
                </c:pt>
                <c:pt idx="8">
                  <c:v>406</c:v>
                </c:pt>
                <c:pt idx="9">
                  <c:v>494</c:v>
                </c:pt>
                <c:pt idx="10">
                  <c:v>584</c:v>
                </c:pt>
                <c:pt idx="11">
                  <c:v>382</c:v>
                </c:pt>
                <c:pt idx="12">
                  <c:v>472</c:v>
                </c:pt>
                <c:pt idx="13">
                  <c:v>584</c:v>
                </c:pt>
                <c:pt idx="14" formatCode="0">
                  <c:v>1194</c:v>
                </c:pt>
                <c:pt idx="15" formatCode="0">
                  <c:v>1012</c:v>
                </c:pt>
                <c:pt idx="16">
                  <c:v>430</c:v>
                </c:pt>
                <c:pt idx="17">
                  <c:v>1614</c:v>
                </c:pt>
                <c:pt idx="18">
                  <c:v>1710</c:v>
                </c:pt>
                <c:pt idx="19">
                  <c:v>156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C14C-91DF-F9D4695C2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5898143"/>
        <c:axId val="1942216751"/>
      </c:scatterChart>
      <c:valAx>
        <c:axId val="1925898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tCOD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216751"/>
        <c:crosses val="autoZero"/>
        <c:crossBetween val="midCat"/>
      </c:valAx>
      <c:valAx>
        <c:axId val="1942216751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FOG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898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SGBR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tCOD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'COMPARATIVE STUDY (3 REACTORS)'!$O$3:$O$23</c:f>
              <c:numCache>
                <c:formatCode>General</c:formatCode>
                <c:ptCount val="21"/>
                <c:pt idx="0">
                  <c:v>0</c:v>
                </c:pt>
                <c:pt idx="1">
                  <c:v>543</c:v>
                </c:pt>
                <c:pt idx="2">
                  <c:v>1125</c:v>
                </c:pt>
                <c:pt idx="3">
                  <c:v>1212</c:v>
                </c:pt>
                <c:pt idx="4">
                  <c:v>1804</c:v>
                </c:pt>
                <c:pt idx="5">
                  <c:v>1497</c:v>
                </c:pt>
                <c:pt idx="6">
                  <c:v>1364</c:v>
                </c:pt>
                <c:pt idx="7">
                  <c:v>1724</c:v>
                </c:pt>
                <c:pt idx="8">
                  <c:v>2043</c:v>
                </c:pt>
                <c:pt idx="9">
                  <c:v>3286</c:v>
                </c:pt>
                <c:pt idx="10">
                  <c:v>2329</c:v>
                </c:pt>
                <c:pt idx="11">
                  <c:v>4241</c:v>
                </c:pt>
                <c:pt idx="12">
                  <c:v>2975</c:v>
                </c:pt>
                <c:pt idx="13">
                  <c:v>3723</c:v>
                </c:pt>
                <c:pt idx="14">
                  <c:v>4466</c:v>
                </c:pt>
                <c:pt idx="15">
                  <c:v>5634</c:v>
                </c:pt>
                <c:pt idx="16">
                  <c:v>4635</c:v>
                </c:pt>
                <c:pt idx="17">
                  <c:v>3523</c:v>
                </c:pt>
                <c:pt idx="18">
                  <c:v>7760</c:v>
                </c:pt>
                <c:pt idx="19">
                  <c:v>8847</c:v>
                </c:pt>
                <c:pt idx="20">
                  <c:v>1597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F3-7B43-A871-5B842F918051}"/>
            </c:ext>
          </c:extLst>
        </c:ser>
        <c:ser>
          <c:idx val="1"/>
          <c:order val="1"/>
          <c:tx>
            <c:v>BOD5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'COMPARATIVE STUDY (3 REACTORS)'!$R$4:$R$23</c:f>
              <c:numCache>
                <c:formatCode>General</c:formatCode>
                <c:ptCount val="20"/>
                <c:pt idx="0">
                  <c:v>325</c:v>
                </c:pt>
                <c:pt idx="1">
                  <c:v>450</c:v>
                </c:pt>
                <c:pt idx="2">
                  <c:v>525</c:v>
                </c:pt>
                <c:pt idx="3">
                  <c:v>875</c:v>
                </c:pt>
                <c:pt idx="4">
                  <c:v>1000</c:v>
                </c:pt>
                <c:pt idx="5">
                  <c:v>750</c:v>
                </c:pt>
                <c:pt idx="6">
                  <c:v>1050</c:v>
                </c:pt>
                <c:pt idx="7">
                  <c:v>1200</c:v>
                </c:pt>
                <c:pt idx="8">
                  <c:v>1700</c:v>
                </c:pt>
                <c:pt idx="9">
                  <c:v>1500</c:v>
                </c:pt>
                <c:pt idx="10">
                  <c:v>2125</c:v>
                </c:pt>
                <c:pt idx="11">
                  <c:v>1500</c:v>
                </c:pt>
                <c:pt idx="12">
                  <c:v>1750</c:v>
                </c:pt>
                <c:pt idx="13">
                  <c:v>2375</c:v>
                </c:pt>
                <c:pt idx="14" formatCode="0">
                  <c:v>4000</c:v>
                </c:pt>
                <c:pt idx="15" formatCode="0">
                  <c:v>3250</c:v>
                </c:pt>
                <c:pt idx="16">
                  <c:v>2125</c:v>
                </c:pt>
                <c:pt idx="17">
                  <c:v>4750</c:v>
                </c:pt>
                <c:pt idx="18">
                  <c:v>5000</c:v>
                </c:pt>
                <c:pt idx="19">
                  <c:v>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F3-7B43-A871-5B842F918051}"/>
            </c:ext>
          </c:extLst>
        </c:ser>
        <c:ser>
          <c:idx val="2"/>
          <c:order val="2"/>
          <c:tx>
            <c:v>FOG</c:v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'COMPARATIVE STUDY (3 REACTORS)'!$U$4:$U$23</c:f>
              <c:numCache>
                <c:formatCode>General</c:formatCode>
                <c:ptCount val="20"/>
                <c:pt idx="0">
                  <c:v>122</c:v>
                </c:pt>
                <c:pt idx="1">
                  <c:v>144</c:v>
                </c:pt>
                <c:pt idx="2">
                  <c:v>194</c:v>
                </c:pt>
                <c:pt idx="3">
                  <c:v>238</c:v>
                </c:pt>
                <c:pt idx="4">
                  <c:v>254</c:v>
                </c:pt>
                <c:pt idx="5">
                  <c:v>286</c:v>
                </c:pt>
                <c:pt idx="6">
                  <c:v>202</c:v>
                </c:pt>
                <c:pt idx="7">
                  <c:v>258</c:v>
                </c:pt>
                <c:pt idx="8">
                  <c:v>406</c:v>
                </c:pt>
                <c:pt idx="9">
                  <c:v>494</c:v>
                </c:pt>
                <c:pt idx="10">
                  <c:v>584</c:v>
                </c:pt>
                <c:pt idx="11">
                  <c:v>382</c:v>
                </c:pt>
                <c:pt idx="12">
                  <c:v>472</c:v>
                </c:pt>
                <c:pt idx="13">
                  <c:v>584</c:v>
                </c:pt>
                <c:pt idx="14" formatCode="0">
                  <c:v>1194</c:v>
                </c:pt>
                <c:pt idx="15" formatCode="0">
                  <c:v>1012</c:v>
                </c:pt>
                <c:pt idx="16">
                  <c:v>430</c:v>
                </c:pt>
                <c:pt idx="17">
                  <c:v>1614</c:v>
                </c:pt>
                <c:pt idx="18">
                  <c:v>1710</c:v>
                </c:pt>
                <c:pt idx="19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F3-7B43-A871-5B842F918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40953359"/>
        <c:axId val="198240544"/>
        <c:axId val="0"/>
      </c:bar3DChart>
      <c:catAx>
        <c:axId val="1940953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40544"/>
        <c:crosses val="autoZero"/>
        <c:auto val="1"/>
        <c:lblAlgn val="ctr"/>
        <c:lblOffset val="100"/>
        <c:noMultiLvlLbl val="0"/>
      </c:catAx>
      <c:valAx>
        <c:axId val="19824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953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SGBR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v>tCOD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'COMPARATIVE STUDY (3 REACTORS)'!$O$3:$O$23</c:f>
              <c:numCache>
                <c:formatCode>General</c:formatCode>
                <c:ptCount val="21"/>
                <c:pt idx="0">
                  <c:v>0</c:v>
                </c:pt>
                <c:pt idx="1">
                  <c:v>543</c:v>
                </c:pt>
                <c:pt idx="2">
                  <c:v>1125</c:v>
                </c:pt>
                <c:pt idx="3">
                  <c:v>1212</c:v>
                </c:pt>
                <c:pt idx="4">
                  <c:v>1804</c:v>
                </c:pt>
                <c:pt idx="5">
                  <c:v>1497</c:v>
                </c:pt>
                <c:pt idx="6">
                  <c:v>1364</c:v>
                </c:pt>
                <c:pt idx="7">
                  <c:v>1724</c:v>
                </c:pt>
                <c:pt idx="8">
                  <c:v>2043</c:v>
                </c:pt>
                <c:pt idx="9">
                  <c:v>3286</c:v>
                </c:pt>
                <c:pt idx="10">
                  <c:v>2329</c:v>
                </c:pt>
                <c:pt idx="11">
                  <c:v>4241</c:v>
                </c:pt>
                <c:pt idx="12">
                  <c:v>2975</c:v>
                </c:pt>
                <c:pt idx="13">
                  <c:v>3723</c:v>
                </c:pt>
                <c:pt idx="14">
                  <c:v>4466</c:v>
                </c:pt>
                <c:pt idx="15">
                  <c:v>5634</c:v>
                </c:pt>
                <c:pt idx="16">
                  <c:v>4635</c:v>
                </c:pt>
                <c:pt idx="17">
                  <c:v>3523</c:v>
                </c:pt>
                <c:pt idx="18">
                  <c:v>7760</c:v>
                </c:pt>
                <c:pt idx="19">
                  <c:v>8847</c:v>
                </c:pt>
                <c:pt idx="20">
                  <c:v>1597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B8-B44E-BFF9-1D0A1CFD0E91}"/>
            </c:ext>
          </c:extLst>
        </c:ser>
        <c:ser>
          <c:idx val="1"/>
          <c:order val="1"/>
          <c:tx>
            <c:v>BOD5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'COMPARATIVE STUDY (3 REACTORS)'!$R$4:$R$23</c:f>
              <c:numCache>
                <c:formatCode>General</c:formatCode>
                <c:ptCount val="20"/>
                <c:pt idx="0">
                  <c:v>325</c:v>
                </c:pt>
                <c:pt idx="1">
                  <c:v>450</c:v>
                </c:pt>
                <c:pt idx="2">
                  <c:v>525</c:v>
                </c:pt>
                <c:pt idx="3">
                  <c:v>875</c:v>
                </c:pt>
                <c:pt idx="4">
                  <c:v>1000</c:v>
                </c:pt>
                <c:pt idx="5">
                  <c:v>750</c:v>
                </c:pt>
                <c:pt idx="6">
                  <c:v>1050</c:v>
                </c:pt>
                <c:pt idx="7">
                  <c:v>1200</c:v>
                </c:pt>
                <c:pt idx="8">
                  <c:v>1700</c:v>
                </c:pt>
                <c:pt idx="9">
                  <c:v>1500</c:v>
                </c:pt>
                <c:pt idx="10">
                  <c:v>2125</c:v>
                </c:pt>
                <c:pt idx="11">
                  <c:v>1500</c:v>
                </c:pt>
                <c:pt idx="12">
                  <c:v>1750</c:v>
                </c:pt>
                <c:pt idx="13">
                  <c:v>2375</c:v>
                </c:pt>
                <c:pt idx="14" formatCode="0">
                  <c:v>4000</c:v>
                </c:pt>
                <c:pt idx="15" formatCode="0">
                  <c:v>3250</c:v>
                </c:pt>
                <c:pt idx="16">
                  <c:v>2125</c:v>
                </c:pt>
                <c:pt idx="17">
                  <c:v>4750</c:v>
                </c:pt>
                <c:pt idx="18">
                  <c:v>5000</c:v>
                </c:pt>
                <c:pt idx="19">
                  <c:v>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B8-B44E-BFF9-1D0A1CFD0E91}"/>
            </c:ext>
          </c:extLst>
        </c:ser>
        <c:ser>
          <c:idx val="2"/>
          <c:order val="2"/>
          <c:tx>
            <c:v>FOG</c:v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'COMPARATIVE STUDY (3 REACTORS)'!$U$4:$U$23</c:f>
              <c:numCache>
                <c:formatCode>General</c:formatCode>
                <c:ptCount val="20"/>
                <c:pt idx="0">
                  <c:v>122</c:v>
                </c:pt>
                <c:pt idx="1">
                  <c:v>144</c:v>
                </c:pt>
                <c:pt idx="2">
                  <c:v>194</c:v>
                </c:pt>
                <c:pt idx="3">
                  <c:v>238</c:v>
                </c:pt>
                <c:pt idx="4">
                  <c:v>254</c:v>
                </c:pt>
                <c:pt idx="5">
                  <c:v>286</c:v>
                </c:pt>
                <c:pt idx="6">
                  <c:v>202</c:v>
                </c:pt>
                <c:pt idx="7">
                  <c:v>258</c:v>
                </c:pt>
                <c:pt idx="8">
                  <c:v>406</c:v>
                </c:pt>
                <c:pt idx="9">
                  <c:v>494</c:v>
                </c:pt>
                <c:pt idx="10">
                  <c:v>584</c:v>
                </c:pt>
                <c:pt idx="11">
                  <c:v>382</c:v>
                </c:pt>
                <c:pt idx="12">
                  <c:v>472</c:v>
                </c:pt>
                <c:pt idx="13">
                  <c:v>584</c:v>
                </c:pt>
                <c:pt idx="14" formatCode="0">
                  <c:v>1194</c:v>
                </c:pt>
                <c:pt idx="15" formatCode="0">
                  <c:v>1012</c:v>
                </c:pt>
                <c:pt idx="16">
                  <c:v>430</c:v>
                </c:pt>
                <c:pt idx="17">
                  <c:v>1614</c:v>
                </c:pt>
                <c:pt idx="18">
                  <c:v>1710</c:v>
                </c:pt>
                <c:pt idx="19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B8-B44E-BFF9-1D0A1CFD0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40953359"/>
        <c:axId val="198240544"/>
        <c:axId val="0"/>
      </c:bar3DChart>
      <c:catAx>
        <c:axId val="1940953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40544"/>
        <c:crosses val="autoZero"/>
        <c:auto val="1"/>
        <c:lblAlgn val="ctr"/>
        <c:lblOffset val="100"/>
        <c:noMultiLvlLbl val="0"/>
      </c:catAx>
      <c:valAx>
        <c:axId val="19824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953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DEGBR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0631014873140858"/>
                  <c:y val="-4.983814523184604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'COMPARATIVE STUDY (3 REACTORS)'!$I$58:$I$72</c:f>
              <c:numCache>
                <c:formatCode>General</c:formatCode>
                <c:ptCount val="15"/>
                <c:pt idx="0">
                  <c:v>1664</c:v>
                </c:pt>
                <c:pt idx="1">
                  <c:v>4315</c:v>
                </c:pt>
                <c:pt idx="2">
                  <c:v>5207</c:v>
                </c:pt>
                <c:pt idx="3">
                  <c:v>5421</c:v>
                </c:pt>
                <c:pt idx="4">
                  <c:v>4645</c:v>
                </c:pt>
                <c:pt idx="5">
                  <c:v>5141</c:v>
                </c:pt>
                <c:pt idx="6">
                  <c:v>5189</c:v>
                </c:pt>
                <c:pt idx="7">
                  <c:v>5014</c:v>
                </c:pt>
                <c:pt idx="8">
                  <c:v>6817</c:v>
                </c:pt>
                <c:pt idx="9">
                  <c:v>6137</c:v>
                </c:pt>
                <c:pt idx="10">
                  <c:v>8829</c:v>
                </c:pt>
                <c:pt idx="11">
                  <c:v>8237</c:v>
                </c:pt>
                <c:pt idx="12">
                  <c:v>32375</c:v>
                </c:pt>
                <c:pt idx="13">
                  <c:v>17903</c:v>
                </c:pt>
                <c:pt idx="14">
                  <c:v>7374</c:v>
                </c:pt>
              </c:numCache>
            </c:numRef>
          </c:xVal>
          <c:yVal>
            <c:numRef>
              <c:f>'COMPARATIVE STUDY (3 REACTORS)'!$O$58:$O$72</c:f>
              <c:numCache>
                <c:formatCode>General</c:formatCode>
                <c:ptCount val="15"/>
                <c:pt idx="0">
                  <c:v>280</c:v>
                </c:pt>
                <c:pt idx="1">
                  <c:v>762</c:v>
                </c:pt>
                <c:pt idx="2">
                  <c:v>696</c:v>
                </c:pt>
                <c:pt idx="3">
                  <c:v>940</c:v>
                </c:pt>
                <c:pt idx="4">
                  <c:v>656</c:v>
                </c:pt>
                <c:pt idx="5">
                  <c:v>738</c:v>
                </c:pt>
                <c:pt idx="6">
                  <c:v>1160</c:v>
                </c:pt>
                <c:pt idx="7">
                  <c:v>564</c:v>
                </c:pt>
                <c:pt idx="8">
                  <c:v>1668</c:v>
                </c:pt>
                <c:pt idx="9">
                  <c:v>1974</c:v>
                </c:pt>
                <c:pt idx="10">
                  <c:v>2560</c:v>
                </c:pt>
                <c:pt idx="11">
                  <c:v>1394</c:v>
                </c:pt>
                <c:pt idx="12">
                  <c:v>8228</c:v>
                </c:pt>
                <c:pt idx="13">
                  <c:v>2458</c:v>
                </c:pt>
                <c:pt idx="14">
                  <c:v>752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FE-B446-8A57-5FA3D23F3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9851647"/>
        <c:axId val="1942836783"/>
      </c:scatterChart>
      <c:valAx>
        <c:axId val="1959851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tCOD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836783"/>
        <c:crosses val="autoZero"/>
        <c:crossBetween val="midCat"/>
      </c:valAx>
      <c:valAx>
        <c:axId val="1942836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FOG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851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DEGBR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tCOD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'COMPARATIVE STUDY (3 REACTORS)'!$I$58:$I$72</c:f>
              <c:numCache>
                <c:formatCode>General</c:formatCode>
                <c:ptCount val="15"/>
                <c:pt idx="0">
                  <c:v>1664</c:v>
                </c:pt>
                <c:pt idx="1">
                  <c:v>4315</c:v>
                </c:pt>
                <c:pt idx="2">
                  <c:v>5207</c:v>
                </c:pt>
                <c:pt idx="3">
                  <c:v>5421</c:v>
                </c:pt>
                <c:pt idx="4">
                  <c:v>4645</c:v>
                </c:pt>
                <c:pt idx="5">
                  <c:v>5141</c:v>
                </c:pt>
                <c:pt idx="6">
                  <c:v>5189</c:v>
                </c:pt>
                <c:pt idx="7">
                  <c:v>5014</c:v>
                </c:pt>
                <c:pt idx="8">
                  <c:v>6817</c:v>
                </c:pt>
                <c:pt idx="9">
                  <c:v>6137</c:v>
                </c:pt>
                <c:pt idx="10">
                  <c:v>8829</c:v>
                </c:pt>
                <c:pt idx="11">
                  <c:v>8237</c:v>
                </c:pt>
                <c:pt idx="12">
                  <c:v>32375</c:v>
                </c:pt>
                <c:pt idx="13">
                  <c:v>17903</c:v>
                </c:pt>
                <c:pt idx="14">
                  <c:v>7374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0C-8647-A617-5A2AC6F8C20F}"/>
            </c:ext>
          </c:extLst>
        </c:ser>
        <c:ser>
          <c:idx val="1"/>
          <c:order val="1"/>
          <c:tx>
            <c:v>BOD5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'COMPARATIVE STUDY (3 REACTORS)'!$L$58:$L$72</c:f>
              <c:numCache>
                <c:formatCode>General</c:formatCode>
                <c:ptCount val="15"/>
                <c:pt idx="0">
                  <c:v>850</c:v>
                </c:pt>
                <c:pt idx="1">
                  <c:v>2125</c:v>
                </c:pt>
                <c:pt idx="2">
                  <c:v>2750</c:v>
                </c:pt>
                <c:pt idx="3">
                  <c:v>3000</c:v>
                </c:pt>
                <c:pt idx="4">
                  <c:v>2625</c:v>
                </c:pt>
                <c:pt idx="5">
                  <c:v>3875</c:v>
                </c:pt>
                <c:pt idx="6">
                  <c:v>3625</c:v>
                </c:pt>
                <c:pt idx="7">
                  <c:v>3125</c:v>
                </c:pt>
                <c:pt idx="8">
                  <c:v>4250</c:v>
                </c:pt>
                <c:pt idx="9">
                  <c:v>5250</c:v>
                </c:pt>
                <c:pt idx="10">
                  <c:v>6000</c:v>
                </c:pt>
                <c:pt idx="11">
                  <c:v>6250</c:v>
                </c:pt>
                <c:pt idx="12">
                  <c:v>20500</c:v>
                </c:pt>
                <c:pt idx="13">
                  <c:v>9250</c:v>
                </c:pt>
                <c:pt idx="14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0C-8647-A617-5A2AC6F8C20F}"/>
            </c:ext>
          </c:extLst>
        </c:ser>
        <c:ser>
          <c:idx val="2"/>
          <c:order val="2"/>
          <c:tx>
            <c:v>FOG</c:v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'COMPARATIVE STUDY (3 REACTORS)'!$O$58:$O$72</c:f>
              <c:numCache>
                <c:formatCode>General</c:formatCode>
                <c:ptCount val="15"/>
                <c:pt idx="0">
                  <c:v>280</c:v>
                </c:pt>
                <c:pt idx="1">
                  <c:v>762</c:v>
                </c:pt>
                <c:pt idx="2">
                  <c:v>696</c:v>
                </c:pt>
                <c:pt idx="3">
                  <c:v>940</c:v>
                </c:pt>
                <c:pt idx="4">
                  <c:v>656</c:v>
                </c:pt>
                <c:pt idx="5">
                  <c:v>738</c:v>
                </c:pt>
                <c:pt idx="6">
                  <c:v>1160</c:v>
                </c:pt>
                <c:pt idx="7">
                  <c:v>564</c:v>
                </c:pt>
                <c:pt idx="8">
                  <c:v>1668</c:v>
                </c:pt>
                <c:pt idx="9">
                  <c:v>1974</c:v>
                </c:pt>
                <c:pt idx="10">
                  <c:v>2560</c:v>
                </c:pt>
                <c:pt idx="11">
                  <c:v>1394</c:v>
                </c:pt>
                <c:pt idx="12">
                  <c:v>8228</c:v>
                </c:pt>
                <c:pt idx="13">
                  <c:v>2458</c:v>
                </c:pt>
                <c:pt idx="14">
                  <c:v>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0C-8647-A617-5A2AC6F8C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83570191"/>
        <c:axId val="1955712207"/>
        <c:axId val="0"/>
      </c:bar3DChart>
      <c:catAx>
        <c:axId val="1983570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712207"/>
        <c:crosses val="autoZero"/>
        <c:auto val="1"/>
        <c:lblAlgn val="ctr"/>
        <c:lblOffset val="100"/>
        <c:noMultiLvlLbl val="0"/>
      </c:catAx>
      <c:valAx>
        <c:axId val="195571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57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DEGBR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v>tCOD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'COMPARATIVE STUDY (3 REACTORS)'!$I$58:$I$72</c:f>
              <c:numCache>
                <c:formatCode>General</c:formatCode>
                <c:ptCount val="15"/>
                <c:pt idx="0">
                  <c:v>1664</c:v>
                </c:pt>
                <c:pt idx="1">
                  <c:v>4315</c:v>
                </c:pt>
                <c:pt idx="2">
                  <c:v>5207</c:v>
                </c:pt>
                <c:pt idx="3">
                  <c:v>5421</c:v>
                </c:pt>
                <c:pt idx="4">
                  <c:v>4645</c:v>
                </c:pt>
                <c:pt idx="5">
                  <c:v>5141</c:v>
                </c:pt>
                <c:pt idx="6">
                  <c:v>5189</c:v>
                </c:pt>
                <c:pt idx="7">
                  <c:v>5014</c:v>
                </c:pt>
                <c:pt idx="8">
                  <c:v>6817</c:v>
                </c:pt>
                <c:pt idx="9">
                  <c:v>6137</c:v>
                </c:pt>
                <c:pt idx="10">
                  <c:v>8829</c:v>
                </c:pt>
                <c:pt idx="11">
                  <c:v>8237</c:v>
                </c:pt>
                <c:pt idx="12">
                  <c:v>32375</c:v>
                </c:pt>
                <c:pt idx="13">
                  <c:v>17903</c:v>
                </c:pt>
                <c:pt idx="14">
                  <c:v>7374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23-9F46-B669-B50CEEE12E21}"/>
            </c:ext>
          </c:extLst>
        </c:ser>
        <c:ser>
          <c:idx val="1"/>
          <c:order val="1"/>
          <c:tx>
            <c:v>BOD5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'COMPARATIVE STUDY (3 REACTORS)'!$L$58:$L$72</c:f>
              <c:numCache>
                <c:formatCode>General</c:formatCode>
                <c:ptCount val="15"/>
                <c:pt idx="0">
                  <c:v>850</c:v>
                </c:pt>
                <c:pt idx="1">
                  <c:v>2125</c:v>
                </c:pt>
                <c:pt idx="2">
                  <c:v>2750</c:v>
                </c:pt>
                <c:pt idx="3">
                  <c:v>3000</c:v>
                </c:pt>
                <c:pt idx="4">
                  <c:v>2625</c:v>
                </c:pt>
                <c:pt idx="5">
                  <c:v>3875</c:v>
                </c:pt>
                <c:pt idx="6">
                  <c:v>3625</c:v>
                </c:pt>
                <c:pt idx="7">
                  <c:v>3125</c:v>
                </c:pt>
                <c:pt idx="8">
                  <c:v>4250</c:v>
                </c:pt>
                <c:pt idx="9">
                  <c:v>5250</c:v>
                </c:pt>
                <c:pt idx="10">
                  <c:v>6000</c:v>
                </c:pt>
                <c:pt idx="11">
                  <c:v>6250</c:v>
                </c:pt>
                <c:pt idx="12">
                  <c:v>20500</c:v>
                </c:pt>
                <c:pt idx="13">
                  <c:v>9250</c:v>
                </c:pt>
                <c:pt idx="14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23-9F46-B669-B50CEEE12E21}"/>
            </c:ext>
          </c:extLst>
        </c:ser>
        <c:ser>
          <c:idx val="2"/>
          <c:order val="2"/>
          <c:tx>
            <c:v>FOG</c:v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'COMPARATIVE STUDY (3 REACTORS)'!$O$58:$O$72</c:f>
              <c:numCache>
                <c:formatCode>General</c:formatCode>
                <c:ptCount val="15"/>
                <c:pt idx="0">
                  <c:v>280</c:v>
                </c:pt>
                <c:pt idx="1">
                  <c:v>762</c:v>
                </c:pt>
                <c:pt idx="2">
                  <c:v>696</c:v>
                </c:pt>
                <c:pt idx="3">
                  <c:v>940</c:v>
                </c:pt>
                <c:pt idx="4">
                  <c:v>656</c:v>
                </c:pt>
                <c:pt idx="5">
                  <c:v>738</c:v>
                </c:pt>
                <c:pt idx="6">
                  <c:v>1160</c:v>
                </c:pt>
                <c:pt idx="7">
                  <c:v>564</c:v>
                </c:pt>
                <c:pt idx="8">
                  <c:v>1668</c:v>
                </c:pt>
                <c:pt idx="9">
                  <c:v>1974</c:v>
                </c:pt>
                <c:pt idx="10">
                  <c:v>2560</c:v>
                </c:pt>
                <c:pt idx="11">
                  <c:v>1394</c:v>
                </c:pt>
                <c:pt idx="12">
                  <c:v>8228</c:v>
                </c:pt>
                <c:pt idx="13">
                  <c:v>2458</c:v>
                </c:pt>
                <c:pt idx="14">
                  <c:v>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23-9F46-B669-B50CEEE12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83570191"/>
        <c:axId val="1955712207"/>
        <c:axId val="0"/>
      </c:bar3DChart>
      <c:catAx>
        <c:axId val="1983570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712207"/>
        <c:crosses val="autoZero"/>
        <c:auto val="1"/>
        <c:lblAlgn val="ctr"/>
        <c:lblOffset val="100"/>
        <c:noMultiLvlLbl val="0"/>
      </c:catAx>
      <c:valAx>
        <c:axId val="195571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57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DEGBR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BOD5 vs tCOD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5552668416447947"/>
                  <c:y val="-3.28240740740740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'COMPARATIVE STUDY (3 REACTORS)'!$K$58:$K$72</c:f>
              <c:numCache>
                <c:formatCode>0.0</c:formatCode>
                <c:ptCount val="15"/>
                <c:pt idx="0">
                  <c:v>73.016826923076934</c:v>
                </c:pt>
                <c:pt idx="1">
                  <c:v>97.033603707995368</c:v>
                </c:pt>
                <c:pt idx="2">
                  <c:v>97.54177069329748</c:v>
                </c:pt>
                <c:pt idx="3">
                  <c:v>93.156244235380925</c:v>
                </c:pt>
                <c:pt idx="4">
                  <c:v>94.359526372443497</c:v>
                </c:pt>
                <c:pt idx="5">
                  <c:v>97.101731180704149</c:v>
                </c:pt>
                <c:pt idx="6">
                  <c:v>97.43688571979186</c:v>
                </c:pt>
                <c:pt idx="7">
                  <c:v>95.333067411248507</c:v>
                </c:pt>
                <c:pt idx="8">
                  <c:v>97.344873111339297</c:v>
                </c:pt>
                <c:pt idx="9">
                  <c:v>94.948671989571451</c:v>
                </c:pt>
                <c:pt idx="10">
                  <c:v>96.386906784460308</c:v>
                </c:pt>
                <c:pt idx="11">
                  <c:v>97.960422483914044</c:v>
                </c:pt>
                <c:pt idx="12">
                  <c:v>99.613899613899619</c:v>
                </c:pt>
                <c:pt idx="13">
                  <c:v>99.061609786069369</c:v>
                </c:pt>
                <c:pt idx="14">
                  <c:v>97.219962028749663</c:v>
                </c:pt>
              </c:numCache>
            </c:numRef>
          </c:xVal>
          <c:yVal>
            <c:numRef>
              <c:f>'COMPARATIVE STUDY (3 REACTORS)'!$N$58:$N$72</c:f>
              <c:numCache>
                <c:formatCode>0.0</c:formatCode>
                <c:ptCount val="15"/>
                <c:pt idx="0">
                  <c:v>84.705882352941174</c:v>
                </c:pt>
                <c:pt idx="1">
                  <c:v>98.588235294117638</c:v>
                </c:pt>
                <c:pt idx="2">
                  <c:v>98.909090909090907</c:v>
                </c:pt>
                <c:pt idx="3">
                  <c:v>94.666666666666671</c:v>
                </c:pt>
                <c:pt idx="4">
                  <c:v>98.285714285714292</c:v>
                </c:pt>
                <c:pt idx="5">
                  <c:v>99.225806451612911</c:v>
                </c:pt>
                <c:pt idx="6">
                  <c:v>98.758620689655174</c:v>
                </c:pt>
                <c:pt idx="7">
                  <c:v>92.800000000000011</c:v>
                </c:pt>
                <c:pt idx="8">
                  <c:v>98.82352941176471</c:v>
                </c:pt>
                <c:pt idx="9">
                  <c:v>98.476190476190467</c:v>
                </c:pt>
                <c:pt idx="10">
                  <c:v>98.833333333333329</c:v>
                </c:pt>
                <c:pt idx="11">
                  <c:v>97.84</c:v>
                </c:pt>
                <c:pt idx="12">
                  <c:v>99.878048780487802</c:v>
                </c:pt>
                <c:pt idx="13">
                  <c:v>99.513513513513516</c:v>
                </c:pt>
                <c:pt idx="14">
                  <c:v>98.285714285714292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3B-8046-B718-03FDEA781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7224319"/>
        <c:axId val="1959724383"/>
      </c:scatterChart>
      <c:valAx>
        <c:axId val="1957224319"/>
        <c:scaling>
          <c:orientation val="minMax"/>
          <c:max val="100"/>
          <c:min val="7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tCOD</a:t>
                </a:r>
                <a:r>
                  <a:rPr lang="en-US" baseline="0"/>
                  <a:t> removal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724383"/>
        <c:crosses val="autoZero"/>
        <c:crossBetween val="midCat"/>
      </c:valAx>
      <c:valAx>
        <c:axId val="1959724383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BOD5</a:t>
                </a:r>
                <a:r>
                  <a:rPr lang="en-US" baseline="0"/>
                  <a:t> removal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224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EGSB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779593175853017"/>
                  <c:y val="-0.109609215514727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'COMPARATIVE STUDY (3 REACTORS)'!$Q$28:$Q$51</c:f>
              <c:numCache>
                <c:formatCode>0.0</c:formatCode>
                <c:ptCount val="24"/>
                <c:pt idx="0">
                  <c:v>96.734059097978232</c:v>
                </c:pt>
                <c:pt idx="1">
                  <c:v>95.085536547433904</c:v>
                </c:pt>
                <c:pt idx="2">
                  <c:v>96.298600311041994</c:v>
                </c:pt>
                <c:pt idx="3">
                  <c:v>94.090202177293932</c:v>
                </c:pt>
                <c:pt idx="4">
                  <c:v>96.920684292379462</c:v>
                </c:pt>
                <c:pt idx="5">
                  <c:v>95.085536547433904</c:v>
                </c:pt>
                <c:pt idx="6">
                  <c:v>86.994890849976784</c:v>
                </c:pt>
                <c:pt idx="7">
                  <c:v>95.819786344635389</c:v>
                </c:pt>
                <c:pt idx="8">
                  <c:v>98.467254993032981</c:v>
                </c:pt>
                <c:pt idx="9">
                  <c:v>92.475615420343701</c:v>
                </c:pt>
                <c:pt idx="10">
                  <c:v>99.071063632141204</c:v>
                </c:pt>
                <c:pt idx="11">
                  <c:v>90.550070521861784</c:v>
                </c:pt>
                <c:pt idx="12">
                  <c:v>96.023138105567611</c:v>
                </c:pt>
                <c:pt idx="13">
                  <c:v>95.784883720930239</c:v>
                </c:pt>
                <c:pt idx="14">
                  <c:v>93.831277092364118</c:v>
                </c:pt>
                <c:pt idx="15">
                  <c:v>95.371997656707677</c:v>
                </c:pt>
                <c:pt idx="16">
                  <c:v>93.573475235366359</c:v>
                </c:pt>
                <c:pt idx="17">
                  <c:v>89.875389408099693</c:v>
                </c:pt>
                <c:pt idx="18">
                  <c:v>94.73684210526315</c:v>
                </c:pt>
                <c:pt idx="19">
                  <c:v>97.318339100346023</c:v>
                </c:pt>
                <c:pt idx="20">
                  <c:v>96.455223880597018</c:v>
                </c:pt>
                <c:pt idx="21">
                  <c:v>97.561553030303031</c:v>
                </c:pt>
                <c:pt idx="22">
                  <c:v>97.413908615838125</c:v>
                </c:pt>
                <c:pt idx="23">
                  <c:v>96.817063166529934</c:v>
                </c:pt>
              </c:numCache>
            </c:numRef>
          </c:xVal>
          <c:yVal>
            <c:numRef>
              <c:f>'COMPARATIVE STUDY (3 REACTORS)'!$T$28:$T$51</c:f>
              <c:numCache>
                <c:formatCode>0.0</c:formatCode>
                <c:ptCount val="24"/>
                <c:pt idx="0">
                  <c:v>98.974358974358978</c:v>
                </c:pt>
                <c:pt idx="1">
                  <c:v>98.71794871794873</c:v>
                </c:pt>
                <c:pt idx="2">
                  <c:v>96.15384615384616</c:v>
                </c:pt>
                <c:pt idx="3">
                  <c:v>98.205128205128204</c:v>
                </c:pt>
                <c:pt idx="4">
                  <c:v>99.487179487179489</c:v>
                </c:pt>
                <c:pt idx="5">
                  <c:v>98.71794871794873</c:v>
                </c:pt>
                <c:pt idx="6">
                  <c:v>91.17647058823529</c:v>
                </c:pt>
                <c:pt idx="7">
                  <c:v>88.823529411764696</c:v>
                </c:pt>
                <c:pt idx="8">
                  <c:v>95.294117647058812</c:v>
                </c:pt>
                <c:pt idx="9">
                  <c:v>97.764705882352942</c:v>
                </c:pt>
                <c:pt idx="10">
                  <c:v>83.529411764705884</c:v>
                </c:pt>
                <c:pt idx="11">
                  <c:v>92.320000000000007</c:v>
                </c:pt>
                <c:pt idx="12">
                  <c:v>91.25</c:v>
                </c:pt>
                <c:pt idx="13">
                  <c:v>94.871794871794862</c:v>
                </c:pt>
                <c:pt idx="14">
                  <c:v>92.121212121212125</c:v>
                </c:pt>
                <c:pt idx="15">
                  <c:v>94.15384615384616</c:v>
                </c:pt>
                <c:pt idx="16">
                  <c:v>87.2</c:v>
                </c:pt>
                <c:pt idx="17">
                  <c:v>90</c:v>
                </c:pt>
                <c:pt idx="18">
                  <c:v>94.666666666666671</c:v>
                </c:pt>
                <c:pt idx="19">
                  <c:v>96.148148148148152</c:v>
                </c:pt>
                <c:pt idx="20">
                  <c:v>96.15384615384616</c:v>
                </c:pt>
                <c:pt idx="21">
                  <c:v>96.375</c:v>
                </c:pt>
                <c:pt idx="22">
                  <c:v>99.183673469387756</c:v>
                </c:pt>
                <c:pt idx="23">
                  <c:v>98.5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DA-B74F-A378-539E77D44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341264"/>
        <c:axId val="1984014127"/>
      </c:scatterChart>
      <c:valAx>
        <c:axId val="125341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tCOD</a:t>
                </a:r>
                <a:r>
                  <a:rPr lang="en-US" baseline="0"/>
                  <a:t> removal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014127"/>
        <c:crosses val="autoZero"/>
        <c:crossBetween val="midCat"/>
      </c:valAx>
      <c:valAx>
        <c:axId val="19840141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BOD5</a:t>
                </a:r>
                <a:r>
                  <a:rPr lang="en-US" baseline="0"/>
                  <a:t> (removal)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41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SGBR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534776902887142"/>
                  <c:y val="-3.106955380577427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'COMPARATIVE STUDY (3 REACTORS)'!$Q$4:$Q$23</c:f>
              <c:numCache>
                <c:formatCode>0.0</c:formatCode>
                <c:ptCount val="20"/>
                <c:pt idx="0">
                  <c:v>69.981583793738494</c:v>
                </c:pt>
                <c:pt idx="1">
                  <c:v>93.155555555555551</c:v>
                </c:pt>
                <c:pt idx="2">
                  <c:v>92.491749174917487</c:v>
                </c:pt>
                <c:pt idx="3">
                  <c:v>95.731707317073173</c:v>
                </c:pt>
                <c:pt idx="4">
                  <c:v>92.384769539078164</c:v>
                </c:pt>
                <c:pt idx="5">
                  <c:v>92.668621700879754</c:v>
                </c:pt>
                <c:pt idx="6">
                  <c:v>92.517401392111367</c:v>
                </c:pt>
                <c:pt idx="7">
                  <c:v>93.392070484581495</c:v>
                </c:pt>
                <c:pt idx="8">
                  <c:v>94.735240413877051</c:v>
                </c:pt>
                <c:pt idx="9">
                  <c:v>92.614856161442688</c:v>
                </c:pt>
                <c:pt idx="10">
                  <c:v>96.510257014854986</c:v>
                </c:pt>
                <c:pt idx="11">
                  <c:v>95.126050420168056</c:v>
                </c:pt>
                <c:pt idx="12">
                  <c:v>95.917271017996242</c:v>
                </c:pt>
                <c:pt idx="13">
                  <c:v>96.909986565158974</c:v>
                </c:pt>
                <c:pt idx="14">
                  <c:v>97.568335108271214</c:v>
                </c:pt>
                <c:pt idx="15">
                  <c:v>96.202804746494067</c:v>
                </c:pt>
                <c:pt idx="16">
                  <c:v>96.13965370422936</c:v>
                </c:pt>
                <c:pt idx="17">
                  <c:v>97.409793814432987</c:v>
                </c:pt>
                <c:pt idx="18">
                  <c:v>97.524584604950832</c:v>
                </c:pt>
                <c:pt idx="19">
                  <c:v>88.541014402003754</c:v>
                </c:pt>
              </c:numCache>
            </c:numRef>
          </c:xVal>
          <c:yVal>
            <c:numRef>
              <c:f>'COMPARATIVE STUDY (3 REACTORS)'!$T$4:$T$23</c:f>
              <c:numCache>
                <c:formatCode>0.0</c:formatCode>
                <c:ptCount val="20"/>
                <c:pt idx="0">
                  <c:v>84.615384615384613</c:v>
                </c:pt>
                <c:pt idx="1">
                  <c:v>97.777777777777771</c:v>
                </c:pt>
                <c:pt idx="2">
                  <c:v>93.333333333333329</c:v>
                </c:pt>
                <c:pt idx="3">
                  <c:v>97.714285714285708</c:v>
                </c:pt>
                <c:pt idx="4">
                  <c:v>83</c:v>
                </c:pt>
                <c:pt idx="5">
                  <c:v>98.666666666666671</c:v>
                </c:pt>
                <c:pt idx="6">
                  <c:v>94.285714285714278</c:v>
                </c:pt>
                <c:pt idx="7">
                  <c:v>99.166666666666671</c:v>
                </c:pt>
                <c:pt idx="8">
                  <c:v>89.705882352941174</c:v>
                </c:pt>
                <c:pt idx="9">
                  <c:v>89</c:v>
                </c:pt>
                <c:pt idx="10">
                  <c:v>97.176470588235304</c:v>
                </c:pt>
                <c:pt idx="11">
                  <c:v>89.666666666666657</c:v>
                </c:pt>
                <c:pt idx="12">
                  <c:v>95.142857142857139</c:v>
                </c:pt>
                <c:pt idx="13">
                  <c:v>93.263157894736835</c:v>
                </c:pt>
                <c:pt idx="14">
                  <c:v>97.625</c:v>
                </c:pt>
                <c:pt idx="15">
                  <c:v>96.15384615384616</c:v>
                </c:pt>
                <c:pt idx="16">
                  <c:v>93.882352941176478</c:v>
                </c:pt>
                <c:pt idx="17">
                  <c:v>98.73684210526315</c:v>
                </c:pt>
                <c:pt idx="18">
                  <c:v>97</c:v>
                </c:pt>
                <c:pt idx="19">
                  <c:v>81.621621621621614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78-A44A-AE32-F509B4520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160271"/>
        <c:axId val="1980803103"/>
      </c:scatterChart>
      <c:valAx>
        <c:axId val="1981160271"/>
        <c:scaling>
          <c:orientation val="minMax"/>
          <c:max val="100"/>
          <c:min val="6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tCOD</a:t>
                </a:r>
                <a:r>
                  <a:rPr lang="en-US" baseline="0"/>
                  <a:t> removal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803103"/>
        <c:crosses val="autoZero"/>
        <c:crossBetween val="midCat"/>
      </c:valAx>
      <c:valAx>
        <c:axId val="1980803103"/>
        <c:scaling>
          <c:orientation val="minMax"/>
          <c:max val="100"/>
          <c:min val="7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BOD</a:t>
                </a:r>
                <a:r>
                  <a:rPr lang="en-US" baseline="0"/>
                  <a:t> 5 Removal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160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TCOD removed Vs Methane produced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6982778415614233"/>
                  <c:y val="-5.366401056155405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'COMPARATIVE STUDY (3 REACTORS)'!$U$77:$U$91</c:f>
              <c:numCache>
                <c:formatCode>General</c:formatCode>
                <c:ptCount val="15"/>
                <c:pt idx="0">
                  <c:v>226</c:v>
                </c:pt>
                <c:pt idx="1">
                  <c:v>319</c:v>
                </c:pt>
                <c:pt idx="2">
                  <c:v>473</c:v>
                </c:pt>
                <c:pt idx="3">
                  <c:v>572</c:v>
                </c:pt>
                <c:pt idx="4">
                  <c:v>590</c:v>
                </c:pt>
                <c:pt idx="5">
                  <c:v>665</c:v>
                </c:pt>
                <c:pt idx="6">
                  <c:v>768</c:v>
                </c:pt>
                <c:pt idx="7">
                  <c:v>927</c:v>
                </c:pt>
                <c:pt idx="8">
                  <c:v>1151</c:v>
                </c:pt>
                <c:pt idx="9">
                  <c:v>1313</c:v>
                </c:pt>
                <c:pt idx="10">
                  <c:v>1452</c:v>
                </c:pt>
                <c:pt idx="11">
                  <c:v>1582</c:v>
                </c:pt>
                <c:pt idx="12">
                  <c:v>1701</c:v>
                </c:pt>
                <c:pt idx="13">
                  <c:v>1826</c:v>
                </c:pt>
                <c:pt idx="14">
                  <c:v>2041</c:v>
                </c:pt>
              </c:numCache>
            </c:numRef>
          </c:xVal>
          <c:yVal>
            <c:numRef>
              <c:f>'COMPARATIVE STUDY (3 REACTORS)'!$V$77:$V$91</c:f>
              <c:numCache>
                <c:formatCode>General</c:formatCode>
                <c:ptCount val="15"/>
                <c:pt idx="0">
                  <c:v>1215</c:v>
                </c:pt>
                <c:pt idx="1">
                  <c:v>5402</c:v>
                </c:pt>
                <c:pt idx="2">
                  <c:v>10481</c:v>
                </c:pt>
                <c:pt idx="3">
                  <c:v>15531</c:v>
                </c:pt>
                <c:pt idx="4">
                  <c:v>19914</c:v>
                </c:pt>
                <c:pt idx="5">
                  <c:v>24906</c:v>
                </c:pt>
                <c:pt idx="6">
                  <c:v>29962</c:v>
                </c:pt>
                <c:pt idx="7">
                  <c:v>34742</c:v>
                </c:pt>
                <c:pt idx="8">
                  <c:v>41378</c:v>
                </c:pt>
                <c:pt idx="9">
                  <c:v>47205</c:v>
                </c:pt>
                <c:pt idx="10">
                  <c:v>55715</c:v>
                </c:pt>
                <c:pt idx="11">
                  <c:v>63784</c:v>
                </c:pt>
                <c:pt idx="12">
                  <c:v>96034</c:v>
                </c:pt>
                <c:pt idx="13">
                  <c:v>113769</c:v>
                </c:pt>
                <c:pt idx="14">
                  <c:v>120938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B31-304A-B6AD-08CD29CEA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613824"/>
        <c:axId val="298666704"/>
      </c:scatterChart>
      <c:valAx>
        <c:axId val="295613824"/>
        <c:scaling>
          <c:orientation val="minMax"/>
          <c:max val="2041"/>
          <c:min val="22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Methane</a:t>
                </a:r>
                <a:r>
                  <a:rPr lang="en-US" b="1" baseline="0"/>
                  <a:t> produced (mL)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666704"/>
        <c:crosses val="autoZero"/>
        <c:crossBetween val="midCat"/>
      </c:valAx>
      <c:valAx>
        <c:axId val="298666704"/>
        <c:scaling>
          <c:orientation val="minMax"/>
          <c:max val="120938"/>
          <c:min val="121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Accumulated</a:t>
                </a:r>
                <a:r>
                  <a:rPr lang="en-US" b="1" baseline="0"/>
                  <a:t> &amp;/or removed TCOD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613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7108696499571218"/>
                  <c:y val="-7.382983377077865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'COMPARATIVE STUDY (3 REACTORS)'!$X$77:$X$91</c:f>
              <c:numCache>
                <c:formatCode>General</c:formatCode>
                <c:ptCount val="15"/>
                <c:pt idx="0">
                  <c:v>1.2150000000000001</c:v>
                </c:pt>
                <c:pt idx="1">
                  <c:v>5.4020000000000001</c:v>
                </c:pt>
                <c:pt idx="2">
                  <c:v>10.481</c:v>
                </c:pt>
                <c:pt idx="3">
                  <c:v>15.531000000000001</c:v>
                </c:pt>
                <c:pt idx="4">
                  <c:v>19.914000000000001</c:v>
                </c:pt>
                <c:pt idx="5">
                  <c:v>24.905999999999999</c:v>
                </c:pt>
                <c:pt idx="6">
                  <c:v>29.962</c:v>
                </c:pt>
                <c:pt idx="7">
                  <c:v>34.741999999999997</c:v>
                </c:pt>
                <c:pt idx="8">
                  <c:v>41.378</c:v>
                </c:pt>
                <c:pt idx="9">
                  <c:v>47.204999999999998</c:v>
                </c:pt>
                <c:pt idx="10">
                  <c:v>55.715000000000003</c:v>
                </c:pt>
                <c:pt idx="11">
                  <c:v>63.783999999999999</c:v>
                </c:pt>
                <c:pt idx="12">
                  <c:v>96.034000000000006</c:v>
                </c:pt>
                <c:pt idx="13">
                  <c:v>113.76900000000001</c:v>
                </c:pt>
                <c:pt idx="14">
                  <c:v>120.938</c:v>
                </c:pt>
              </c:numCache>
            </c:numRef>
          </c:xVal>
          <c:yVal>
            <c:numRef>
              <c:f>'COMPARATIVE STUDY (3 REACTORS)'!$Y$77:$Y$91</c:f>
              <c:numCache>
                <c:formatCode>General</c:formatCode>
                <c:ptCount val="15"/>
                <c:pt idx="0">
                  <c:v>92.207999999999998</c:v>
                </c:pt>
                <c:pt idx="1">
                  <c:v>130.15199999999999</c:v>
                </c:pt>
                <c:pt idx="2">
                  <c:v>192.98399999999998</c:v>
                </c:pt>
                <c:pt idx="3">
                  <c:v>233.37599999999998</c:v>
                </c:pt>
                <c:pt idx="4">
                  <c:v>240.71999999999997</c:v>
                </c:pt>
                <c:pt idx="5">
                  <c:v>271.32</c:v>
                </c:pt>
                <c:pt idx="6">
                  <c:v>313.34399999999999</c:v>
                </c:pt>
                <c:pt idx="7">
                  <c:v>378.21599999999995</c:v>
                </c:pt>
                <c:pt idx="8">
                  <c:v>469.60799999999995</c:v>
                </c:pt>
                <c:pt idx="9">
                  <c:v>535.70399999999995</c:v>
                </c:pt>
                <c:pt idx="10">
                  <c:v>592.41599999999994</c:v>
                </c:pt>
                <c:pt idx="11">
                  <c:v>645.4559999999999</c:v>
                </c:pt>
                <c:pt idx="12">
                  <c:v>694.00799999999992</c:v>
                </c:pt>
                <c:pt idx="13">
                  <c:v>745.00799999999992</c:v>
                </c:pt>
                <c:pt idx="14">
                  <c:v>832.72799999999995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53-8F44-94FE-893E7AD87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8140432"/>
        <c:axId val="293618496"/>
      </c:scatterChart>
      <c:valAx>
        <c:axId val="298140432"/>
        <c:scaling>
          <c:orientation val="minMax"/>
          <c:max val="121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TCOD</a:t>
                </a:r>
                <a:r>
                  <a:rPr lang="en-US" baseline="0"/>
                  <a:t> removed (gCOD/L)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618496"/>
        <c:crosses val="autoZero"/>
        <c:crossBetween val="midCat"/>
        <c:majorUnit val="10"/>
      </c:valAx>
      <c:valAx>
        <c:axId val="2936184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</a:t>
                </a:r>
                <a:r>
                  <a:rPr lang="en-US" baseline="0"/>
                  <a:t> produced (mL)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140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SGBR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64900919444256"/>
          <c:y val="0.16484444444444443"/>
          <c:w val="0.74345660553219994"/>
          <c:h val="0.58502922134733149"/>
        </c:manualLayout>
      </c:layout>
      <c:scatterChart>
        <c:scatterStyle val="smoothMarker"/>
        <c:varyColors val="0"/>
        <c:ser>
          <c:idx val="0"/>
          <c:order val="0"/>
          <c:tx>
            <c:v>VFA as Acetic acid</c:v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'COMPARATIVE STUDY (3 REACTORS)'!$H$4:$H$23</c:f>
              <c:numCache>
                <c:formatCode>General</c:formatCode>
                <c:ptCount val="20"/>
                <c:pt idx="0">
                  <c:v>5</c:v>
                </c:pt>
                <c:pt idx="1">
                  <c:v>12</c:v>
                </c:pt>
                <c:pt idx="2">
                  <c:v>19</c:v>
                </c:pt>
                <c:pt idx="3">
                  <c:v>26</c:v>
                </c:pt>
                <c:pt idx="4">
                  <c:v>33</c:v>
                </c:pt>
                <c:pt idx="5">
                  <c:v>40</c:v>
                </c:pt>
                <c:pt idx="6">
                  <c:v>47</c:v>
                </c:pt>
                <c:pt idx="7">
                  <c:v>54</c:v>
                </c:pt>
                <c:pt idx="8">
                  <c:v>61</c:v>
                </c:pt>
                <c:pt idx="9">
                  <c:v>68</c:v>
                </c:pt>
                <c:pt idx="10">
                  <c:v>75</c:v>
                </c:pt>
                <c:pt idx="11">
                  <c:v>82</c:v>
                </c:pt>
                <c:pt idx="12">
                  <c:v>89</c:v>
                </c:pt>
                <c:pt idx="13">
                  <c:v>96</c:v>
                </c:pt>
                <c:pt idx="14">
                  <c:v>103</c:v>
                </c:pt>
                <c:pt idx="15">
                  <c:v>110</c:v>
                </c:pt>
                <c:pt idx="16">
                  <c:v>117</c:v>
                </c:pt>
                <c:pt idx="17">
                  <c:v>124</c:v>
                </c:pt>
                <c:pt idx="18">
                  <c:v>131</c:v>
                </c:pt>
                <c:pt idx="19">
                  <c:v>138</c:v>
                </c:pt>
              </c:numCache>
            </c:numRef>
          </c:xVal>
          <c:yVal>
            <c:numRef>
              <c:f>'COMPARATIVE STUDY (3 REACTORS)'!$J$4:$J$23</c:f>
              <c:numCache>
                <c:formatCode>General</c:formatCode>
                <c:ptCount val="20"/>
                <c:pt idx="0">
                  <c:v>82</c:v>
                </c:pt>
                <c:pt idx="1">
                  <c:v>91</c:v>
                </c:pt>
                <c:pt idx="2">
                  <c:v>77</c:v>
                </c:pt>
                <c:pt idx="3">
                  <c:v>81</c:v>
                </c:pt>
                <c:pt idx="4">
                  <c:v>104</c:v>
                </c:pt>
                <c:pt idx="5">
                  <c:v>142</c:v>
                </c:pt>
                <c:pt idx="6">
                  <c:v>134</c:v>
                </c:pt>
                <c:pt idx="7">
                  <c:v>379</c:v>
                </c:pt>
                <c:pt idx="8">
                  <c:v>387</c:v>
                </c:pt>
                <c:pt idx="9">
                  <c:v>402</c:v>
                </c:pt>
                <c:pt idx="10">
                  <c:v>88</c:v>
                </c:pt>
                <c:pt idx="11">
                  <c:v>58</c:v>
                </c:pt>
                <c:pt idx="12">
                  <c:v>87</c:v>
                </c:pt>
                <c:pt idx="13">
                  <c:v>73</c:v>
                </c:pt>
                <c:pt idx="14">
                  <c:v>67</c:v>
                </c:pt>
                <c:pt idx="15">
                  <c:v>77</c:v>
                </c:pt>
                <c:pt idx="16">
                  <c:v>40</c:v>
                </c:pt>
                <c:pt idx="17">
                  <c:v>21</c:v>
                </c:pt>
                <c:pt idx="18">
                  <c:v>34</c:v>
                </c:pt>
                <c:pt idx="19">
                  <c:v>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A1-974D-87CF-D139BA1E1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6199231"/>
        <c:axId val="1926199615"/>
      </c:scatterChart>
      <c:scatterChart>
        <c:scatterStyle val="smoothMarker"/>
        <c:varyColors val="0"/>
        <c:ser>
          <c:idx val="1"/>
          <c:order val="1"/>
          <c:tx>
            <c:v>Alkalinity as CaCO3</c:v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'COMPARATIVE STUDY (3 REACTORS)'!$H$4:$H$23</c:f>
              <c:numCache>
                <c:formatCode>General</c:formatCode>
                <c:ptCount val="20"/>
                <c:pt idx="0">
                  <c:v>5</c:v>
                </c:pt>
                <c:pt idx="1">
                  <c:v>12</c:v>
                </c:pt>
                <c:pt idx="2">
                  <c:v>19</c:v>
                </c:pt>
                <c:pt idx="3">
                  <c:v>26</c:v>
                </c:pt>
                <c:pt idx="4">
                  <c:v>33</c:v>
                </c:pt>
                <c:pt idx="5">
                  <c:v>40</c:v>
                </c:pt>
                <c:pt idx="6">
                  <c:v>47</c:v>
                </c:pt>
                <c:pt idx="7">
                  <c:v>54</c:v>
                </c:pt>
                <c:pt idx="8">
                  <c:v>61</c:v>
                </c:pt>
                <c:pt idx="9">
                  <c:v>68</c:v>
                </c:pt>
                <c:pt idx="10">
                  <c:v>75</c:v>
                </c:pt>
                <c:pt idx="11">
                  <c:v>82</c:v>
                </c:pt>
                <c:pt idx="12">
                  <c:v>89</c:v>
                </c:pt>
                <c:pt idx="13">
                  <c:v>96</c:v>
                </c:pt>
                <c:pt idx="14">
                  <c:v>103</c:v>
                </c:pt>
                <c:pt idx="15">
                  <c:v>110</c:v>
                </c:pt>
                <c:pt idx="16">
                  <c:v>117</c:v>
                </c:pt>
                <c:pt idx="17">
                  <c:v>124</c:v>
                </c:pt>
                <c:pt idx="18">
                  <c:v>131</c:v>
                </c:pt>
                <c:pt idx="19">
                  <c:v>138</c:v>
                </c:pt>
              </c:numCache>
            </c:numRef>
          </c:xVal>
          <c:yVal>
            <c:numRef>
              <c:f>'COMPARATIVE STUDY (3 REACTORS)'!$M$4:$M$23</c:f>
              <c:numCache>
                <c:formatCode>General</c:formatCode>
                <c:ptCount val="20"/>
                <c:pt idx="0">
                  <c:v>933</c:v>
                </c:pt>
                <c:pt idx="1">
                  <c:v>538</c:v>
                </c:pt>
                <c:pt idx="2">
                  <c:v>722</c:v>
                </c:pt>
                <c:pt idx="3">
                  <c:v>550</c:v>
                </c:pt>
                <c:pt idx="4">
                  <c:v>449</c:v>
                </c:pt>
                <c:pt idx="5">
                  <c:v>430</c:v>
                </c:pt>
                <c:pt idx="6">
                  <c:v>639</c:v>
                </c:pt>
                <c:pt idx="7">
                  <c:v>743</c:v>
                </c:pt>
                <c:pt idx="8">
                  <c:v>781</c:v>
                </c:pt>
                <c:pt idx="9">
                  <c:v>408</c:v>
                </c:pt>
                <c:pt idx="10">
                  <c:v>395</c:v>
                </c:pt>
                <c:pt idx="11">
                  <c:v>660</c:v>
                </c:pt>
                <c:pt idx="12">
                  <c:v>474</c:v>
                </c:pt>
                <c:pt idx="13">
                  <c:v>481</c:v>
                </c:pt>
                <c:pt idx="14">
                  <c:v>494</c:v>
                </c:pt>
                <c:pt idx="15">
                  <c:v>347</c:v>
                </c:pt>
                <c:pt idx="16">
                  <c:v>496</c:v>
                </c:pt>
                <c:pt idx="17">
                  <c:v>685</c:v>
                </c:pt>
                <c:pt idx="18">
                  <c:v>703</c:v>
                </c:pt>
                <c:pt idx="19">
                  <c:v>824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A1-974D-87CF-D139BA1E1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948528"/>
        <c:axId val="295668752"/>
      </c:scatterChart>
      <c:valAx>
        <c:axId val="1926199231"/>
        <c:scaling>
          <c:orientation val="minMax"/>
          <c:max val="138"/>
          <c:min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Operating</a:t>
                </a:r>
                <a:r>
                  <a:rPr lang="en-US" b="1" baseline="0"/>
                  <a:t> time (Day)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199615"/>
        <c:crosses val="autoZero"/>
        <c:crossBetween val="midCat"/>
        <c:majorUnit val="10"/>
      </c:valAx>
      <c:valAx>
        <c:axId val="19261996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VFA</a:t>
                </a:r>
                <a:r>
                  <a:rPr lang="en-US" b="1" baseline="0"/>
                  <a:t> as Acetic acid (mg/L)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199231"/>
        <c:crosses val="autoZero"/>
        <c:crossBetween val="midCat"/>
      </c:valAx>
      <c:valAx>
        <c:axId val="29566875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Alkalinity</a:t>
                </a:r>
                <a:r>
                  <a:rPr lang="en-US" b="1" baseline="0"/>
                  <a:t> as CaCO3 (mg/L)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48528"/>
        <c:crosses val="max"/>
        <c:crossBetween val="midCat"/>
      </c:valAx>
      <c:valAx>
        <c:axId val="194948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5668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EGSB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46981627296588"/>
          <c:y val="0.13425925925925927"/>
          <c:w val="0.7133937007874015"/>
          <c:h val="0.59688247302420527"/>
        </c:manualLayout>
      </c:layout>
      <c:scatterChart>
        <c:scatterStyle val="smoothMarker"/>
        <c:varyColors val="0"/>
        <c:ser>
          <c:idx val="0"/>
          <c:order val="0"/>
          <c:tx>
            <c:v>VFA as Acetic acid</c:v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'COMPARATIVE STUDY (3 REACTORS)'!$H$28:$H$49</c:f>
              <c:numCache>
                <c:formatCode>General</c:formatCode>
                <c:ptCount val="22"/>
                <c:pt idx="0">
                  <c:v>5</c:v>
                </c:pt>
                <c:pt idx="1">
                  <c:v>12</c:v>
                </c:pt>
                <c:pt idx="2">
                  <c:v>19</c:v>
                </c:pt>
                <c:pt idx="3">
                  <c:v>26</c:v>
                </c:pt>
                <c:pt idx="4">
                  <c:v>33</c:v>
                </c:pt>
                <c:pt idx="5">
                  <c:v>40</c:v>
                </c:pt>
                <c:pt idx="6">
                  <c:v>47</c:v>
                </c:pt>
                <c:pt idx="7">
                  <c:v>54</c:v>
                </c:pt>
                <c:pt idx="8">
                  <c:v>61</c:v>
                </c:pt>
                <c:pt idx="9">
                  <c:v>68</c:v>
                </c:pt>
                <c:pt idx="10">
                  <c:v>75</c:v>
                </c:pt>
                <c:pt idx="11">
                  <c:v>82</c:v>
                </c:pt>
                <c:pt idx="12">
                  <c:v>89</c:v>
                </c:pt>
                <c:pt idx="13">
                  <c:v>96</c:v>
                </c:pt>
                <c:pt idx="14">
                  <c:v>103</c:v>
                </c:pt>
                <c:pt idx="15">
                  <c:v>110</c:v>
                </c:pt>
                <c:pt idx="16">
                  <c:v>117</c:v>
                </c:pt>
                <c:pt idx="17">
                  <c:v>124</c:v>
                </c:pt>
                <c:pt idx="18">
                  <c:v>131</c:v>
                </c:pt>
                <c:pt idx="19">
                  <c:v>138</c:v>
                </c:pt>
                <c:pt idx="20">
                  <c:v>145</c:v>
                </c:pt>
                <c:pt idx="21">
                  <c:v>152</c:v>
                </c:pt>
              </c:numCache>
            </c:numRef>
          </c:xVal>
          <c:yVal>
            <c:numRef>
              <c:f>'COMPARATIVE STUDY (3 REACTORS)'!$M$28:$M$49</c:f>
              <c:numCache>
                <c:formatCode>General</c:formatCode>
                <c:ptCount val="22"/>
                <c:pt idx="0">
                  <c:v>77</c:v>
                </c:pt>
                <c:pt idx="1">
                  <c:v>720</c:v>
                </c:pt>
                <c:pt idx="2">
                  <c:v>794</c:v>
                </c:pt>
                <c:pt idx="3">
                  <c:v>808</c:v>
                </c:pt>
                <c:pt idx="4">
                  <c:v>109</c:v>
                </c:pt>
                <c:pt idx="5">
                  <c:v>720</c:v>
                </c:pt>
                <c:pt idx="6">
                  <c:v>837</c:v>
                </c:pt>
                <c:pt idx="7">
                  <c:v>115</c:v>
                </c:pt>
                <c:pt idx="8">
                  <c:v>98</c:v>
                </c:pt>
                <c:pt idx="9">
                  <c:v>81</c:v>
                </c:pt>
                <c:pt idx="10">
                  <c:v>78</c:v>
                </c:pt>
                <c:pt idx="11">
                  <c:v>88</c:v>
                </c:pt>
                <c:pt idx="12">
                  <c:v>49</c:v>
                </c:pt>
                <c:pt idx="13">
                  <c:v>149</c:v>
                </c:pt>
                <c:pt idx="14">
                  <c:v>135</c:v>
                </c:pt>
                <c:pt idx="15">
                  <c:v>121</c:v>
                </c:pt>
                <c:pt idx="16">
                  <c:v>27</c:v>
                </c:pt>
                <c:pt idx="17">
                  <c:v>71</c:v>
                </c:pt>
                <c:pt idx="18">
                  <c:v>73</c:v>
                </c:pt>
                <c:pt idx="19">
                  <c:v>59</c:v>
                </c:pt>
                <c:pt idx="20">
                  <c:v>54</c:v>
                </c:pt>
                <c:pt idx="21">
                  <c:v>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F6-7845-A032-62D9C85F1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3872"/>
        <c:axId val="263932944"/>
      </c:scatterChart>
      <c:scatterChart>
        <c:scatterStyle val="smoothMarker"/>
        <c:varyColors val="0"/>
        <c:ser>
          <c:idx val="1"/>
          <c:order val="1"/>
          <c:tx>
            <c:v>Alkalinity as CaCO3</c:v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'COMPARATIVE STUDY (3 REACTORS)'!$H$28:$H$49</c:f>
              <c:numCache>
                <c:formatCode>General</c:formatCode>
                <c:ptCount val="22"/>
                <c:pt idx="0">
                  <c:v>5</c:v>
                </c:pt>
                <c:pt idx="1">
                  <c:v>12</c:v>
                </c:pt>
                <c:pt idx="2">
                  <c:v>19</c:v>
                </c:pt>
                <c:pt idx="3">
                  <c:v>26</c:v>
                </c:pt>
                <c:pt idx="4">
                  <c:v>33</c:v>
                </c:pt>
                <c:pt idx="5">
                  <c:v>40</c:v>
                </c:pt>
                <c:pt idx="6">
                  <c:v>47</c:v>
                </c:pt>
                <c:pt idx="7">
                  <c:v>54</c:v>
                </c:pt>
                <c:pt idx="8">
                  <c:v>61</c:v>
                </c:pt>
                <c:pt idx="9">
                  <c:v>68</c:v>
                </c:pt>
                <c:pt idx="10">
                  <c:v>75</c:v>
                </c:pt>
                <c:pt idx="11">
                  <c:v>82</c:v>
                </c:pt>
                <c:pt idx="12">
                  <c:v>89</c:v>
                </c:pt>
                <c:pt idx="13">
                  <c:v>96</c:v>
                </c:pt>
                <c:pt idx="14">
                  <c:v>103</c:v>
                </c:pt>
                <c:pt idx="15">
                  <c:v>110</c:v>
                </c:pt>
                <c:pt idx="16">
                  <c:v>117</c:v>
                </c:pt>
                <c:pt idx="17">
                  <c:v>124</c:v>
                </c:pt>
                <c:pt idx="18">
                  <c:v>131</c:v>
                </c:pt>
                <c:pt idx="19">
                  <c:v>138</c:v>
                </c:pt>
                <c:pt idx="20">
                  <c:v>145</c:v>
                </c:pt>
                <c:pt idx="21">
                  <c:v>152</c:v>
                </c:pt>
              </c:numCache>
            </c:numRef>
          </c:xVal>
          <c:yVal>
            <c:numRef>
              <c:f>'COMPARATIVE STUDY (3 REACTORS)'!$J$28:$J$49</c:f>
              <c:numCache>
                <c:formatCode>General</c:formatCode>
                <c:ptCount val="22"/>
                <c:pt idx="0">
                  <c:v>798</c:v>
                </c:pt>
                <c:pt idx="1">
                  <c:v>527</c:v>
                </c:pt>
                <c:pt idx="2">
                  <c:v>288</c:v>
                </c:pt>
                <c:pt idx="3">
                  <c:v>266</c:v>
                </c:pt>
                <c:pt idx="4">
                  <c:v>252</c:v>
                </c:pt>
                <c:pt idx="5">
                  <c:v>527</c:v>
                </c:pt>
                <c:pt idx="6">
                  <c:v>243</c:v>
                </c:pt>
                <c:pt idx="7">
                  <c:v>276</c:v>
                </c:pt>
                <c:pt idx="8">
                  <c:v>387</c:v>
                </c:pt>
                <c:pt idx="9">
                  <c:v>417</c:v>
                </c:pt>
                <c:pt idx="10">
                  <c:v>366</c:v>
                </c:pt>
                <c:pt idx="11">
                  <c:v>372</c:v>
                </c:pt>
                <c:pt idx="12">
                  <c:v>495</c:v>
                </c:pt>
                <c:pt idx="13">
                  <c:v>641</c:v>
                </c:pt>
                <c:pt idx="14">
                  <c:v>497</c:v>
                </c:pt>
                <c:pt idx="15">
                  <c:v>465</c:v>
                </c:pt>
                <c:pt idx="16">
                  <c:v>714</c:v>
                </c:pt>
                <c:pt idx="17">
                  <c:v>891</c:v>
                </c:pt>
                <c:pt idx="18">
                  <c:v>688</c:v>
                </c:pt>
                <c:pt idx="19">
                  <c:v>651</c:v>
                </c:pt>
                <c:pt idx="20">
                  <c:v>632</c:v>
                </c:pt>
                <c:pt idx="21">
                  <c:v>589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F6-7845-A032-62D9C85F1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324576"/>
        <c:axId val="260213136"/>
      </c:scatterChart>
      <c:valAx>
        <c:axId val="236433872"/>
        <c:scaling>
          <c:orientation val="minMax"/>
          <c:max val="152"/>
          <c:min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Operating</a:t>
                </a:r>
                <a:r>
                  <a:rPr lang="en-US" b="1" baseline="0"/>
                  <a:t> time (Day)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932944"/>
        <c:crosses val="autoZero"/>
        <c:crossBetween val="midCat"/>
        <c:majorUnit val="10"/>
      </c:valAx>
      <c:valAx>
        <c:axId val="2639329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VF</a:t>
                </a:r>
                <a:r>
                  <a:rPr lang="en-US" b="1" baseline="0"/>
                  <a:t>A as Acetic acid (mg/L)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3872"/>
        <c:crosses val="autoZero"/>
        <c:crossBetween val="midCat"/>
      </c:valAx>
      <c:valAx>
        <c:axId val="26021313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Alkalinity</a:t>
                </a:r>
                <a:r>
                  <a:rPr lang="en-US" b="1" baseline="0"/>
                  <a:t> as CaCO3 (mg/L)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324576"/>
        <c:crosses val="max"/>
        <c:crossBetween val="midCat"/>
      </c:valAx>
      <c:valAx>
        <c:axId val="2353245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60213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DEGBR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18020781110227"/>
          <c:y val="0.10526315789473684"/>
          <c:w val="0.74025381658753331"/>
          <c:h val="0.5996560298383754"/>
        </c:manualLayout>
      </c:layout>
      <c:scatterChart>
        <c:scatterStyle val="smoothMarker"/>
        <c:varyColors val="0"/>
        <c:ser>
          <c:idx val="0"/>
          <c:order val="0"/>
          <c:tx>
            <c:v>VFA as Acetic acid</c:v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'COMPARATIVE STUDY (3 REACTORS)'!$H$58:$H$72</c:f>
              <c:numCache>
                <c:formatCode>General</c:formatCode>
                <c:ptCount val="15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35</c:v>
                </c:pt>
                <c:pt idx="5">
                  <c:v>42</c:v>
                </c:pt>
                <c:pt idx="6">
                  <c:v>49</c:v>
                </c:pt>
                <c:pt idx="7">
                  <c:v>56</c:v>
                </c:pt>
                <c:pt idx="8">
                  <c:v>63</c:v>
                </c:pt>
                <c:pt idx="9">
                  <c:v>70</c:v>
                </c:pt>
                <c:pt idx="10">
                  <c:v>77</c:v>
                </c:pt>
                <c:pt idx="11">
                  <c:v>84</c:v>
                </c:pt>
                <c:pt idx="12">
                  <c:v>91</c:v>
                </c:pt>
                <c:pt idx="13">
                  <c:v>98</c:v>
                </c:pt>
                <c:pt idx="14">
                  <c:v>105</c:v>
                </c:pt>
              </c:numCache>
            </c:numRef>
          </c:xVal>
          <c:yVal>
            <c:numRef>
              <c:f>'COMPARATIVE STUDY (3 REACTORS)'!$S$58:$S$72</c:f>
              <c:numCache>
                <c:formatCode>General</c:formatCode>
                <c:ptCount val="15"/>
                <c:pt idx="0">
                  <c:v>49</c:v>
                </c:pt>
                <c:pt idx="1">
                  <c:v>34</c:v>
                </c:pt>
                <c:pt idx="2">
                  <c:v>57</c:v>
                </c:pt>
                <c:pt idx="3">
                  <c:v>51</c:v>
                </c:pt>
                <c:pt idx="4">
                  <c:v>56</c:v>
                </c:pt>
                <c:pt idx="5">
                  <c:v>82</c:v>
                </c:pt>
                <c:pt idx="6">
                  <c:v>83</c:v>
                </c:pt>
                <c:pt idx="7">
                  <c:v>75</c:v>
                </c:pt>
                <c:pt idx="8">
                  <c:v>78</c:v>
                </c:pt>
                <c:pt idx="9">
                  <c:v>38</c:v>
                </c:pt>
                <c:pt idx="10">
                  <c:v>43</c:v>
                </c:pt>
                <c:pt idx="11">
                  <c:v>55</c:v>
                </c:pt>
                <c:pt idx="12">
                  <c:v>29</c:v>
                </c:pt>
                <c:pt idx="13">
                  <c:v>37</c:v>
                </c:pt>
                <c:pt idx="14">
                  <c:v>165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74-F24F-A60A-8EB804D65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309360"/>
        <c:axId val="264647680"/>
      </c:scatterChart>
      <c:scatterChart>
        <c:scatterStyle val="smoothMarker"/>
        <c:varyColors val="0"/>
        <c:ser>
          <c:idx val="1"/>
          <c:order val="1"/>
          <c:tx>
            <c:v>Alkalinity as CaCO3</c:v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'COMPARATIVE STUDY (3 REACTORS)'!$H$58:$H$72</c:f>
              <c:numCache>
                <c:formatCode>General</c:formatCode>
                <c:ptCount val="15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35</c:v>
                </c:pt>
                <c:pt idx="5">
                  <c:v>42</c:v>
                </c:pt>
                <c:pt idx="6">
                  <c:v>49</c:v>
                </c:pt>
                <c:pt idx="7">
                  <c:v>56</c:v>
                </c:pt>
                <c:pt idx="8">
                  <c:v>63</c:v>
                </c:pt>
                <c:pt idx="9">
                  <c:v>70</c:v>
                </c:pt>
                <c:pt idx="10">
                  <c:v>77</c:v>
                </c:pt>
                <c:pt idx="11">
                  <c:v>84</c:v>
                </c:pt>
                <c:pt idx="12">
                  <c:v>91</c:v>
                </c:pt>
                <c:pt idx="13">
                  <c:v>98</c:v>
                </c:pt>
                <c:pt idx="14">
                  <c:v>105</c:v>
                </c:pt>
              </c:numCache>
            </c:numRef>
          </c:xVal>
          <c:yVal>
            <c:numRef>
              <c:f>'COMPARATIVE STUDY (3 REACTORS)'!$U$58:$U$72</c:f>
              <c:numCache>
                <c:formatCode>General</c:formatCode>
                <c:ptCount val="15"/>
                <c:pt idx="0">
                  <c:v>1113</c:v>
                </c:pt>
                <c:pt idx="1">
                  <c:v>447</c:v>
                </c:pt>
                <c:pt idx="2">
                  <c:v>498</c:v>
                </c:pt>
                <c:pt idx="3">
                  <c:v>973</c:v>
                </c:pt>
                <c:pt idx="4">
                  <c:v>1148</c:v>
                </c:pt>
                <c:pt idx="5">
                  <c:v>678</c:v>
                </c:pt>
                <c:pt idx="6">
                  <c:v>722</c:v>
                </c:pt>
                <c:pt idx="7">
                  <c:v>871</c:v>
                </c:pt>
                <c:pt idx="8">
                  <c:v>906</c:v>
                </c:pt>
                <c:pt idx="9">
                  <c:v>653</c:v>
                </c:pt>
                <c:pt idx="10">
                  <c:v>677</c:v>
                </c:pt>
                <c:pt idx="11">
                  <c:v>774</c:v>
                </c:pt>
                <c:pt idx="12">
                  <c:v>736</c:v>
                </c:pt>
                <c:pt idx="13">
                  <c:v>928</c:v>
                </c:pt>
                <c:pt idx="14">
                  <c:v>1221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74-F24F-A60A-8EB804D65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5959903"/>
        <c:axId val="1928396831"/>
      </c:scatterChart>
      <c:valAx>
        <c:axId val="294309360"/>
        <c:scaling>
          <c:orientation val="minMax"/>
          <c:max val="105"/>
          <c:min val="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Operating</a:t>
                </a:r>
                <a:r>
                  <a:rPr lang="en-US" b="1" baseline="0"/>
                  <a:t> time (Day)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647680"/>
        <c:crosses val="autoZero"/>
        <c:crossBetween val="midCat"/>
        <c:majorUnit val="7"/>
      </c:valAx>
      <c:valAx>
        <c:axId val="2646476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VFA</a:t>
                </a:r>
                <a:r>
                  <a:rPr lang="en-US" b="1" baseline="0"/>
                  <a:t> as Acetic acid (mg/L)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309360"/>
        <c:crosses val="autoZero"/>
        <c:crossBetween val="midCat"/>
      </c:valAx>
      <c:valAx>
        <c:axId val="192839683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Alkalinity</a:t>
                </a:r>
                <a:r>
                  <a:rPr lang="en-US" b="1" baseline="0"/>
                  <a:t> as CaCO3 (mg/L)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959903"/>
        <c:crosses val="max"/>
        <c:crossBetween val="midCat"/>
      </c:valAx>
      <c:valAx>
        <c:axId val="19259599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283968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SGBR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Biodegradability 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3644422572178476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'COMPARATIVE STUDY (3 REACTORS)'!$O$4:$O$23</c:f>
              <c:numCache>
                <c:formatCode>General</c:formatCode>
                <c:ptCount val="20"/>
                <c:pt idx="0">
                  <c:v>543</c:v>
                </c:pt>
                <c:pt idx="1">
                  <c:v>1125</c:v>
                </c:pt>
                <c:pt idx="2">
                  <c:v>1212</c:v>
                </c:pt>
                <c:pt idx="3">
                  <c:v>1804</c:v>
                </c:pt>
                <c:pt idx="4">
                  <c:v>1497</c:v>
                </c:pt>
                <c:pt idx="5">
                  <c:v>1364</c:v>
                </c:pt>
                <c:pt idx="6">
                  <c:v>1724</c:v>
                </c:pt>
                <c:pt idx="7">
                  <c:v>2043</c:v>
                </c:pt>
                <c:pt idx="8">
                  <c:v>3286</c:v>
                </c:pt>
                <c:pt idx="9">
                  <c:v>2329</c:v>
                </c:pt>
                <c:pt idx="10">
                  <c:v>4241</c:v>
                </c:pt>
                <c:pt idx="11">
                  <c:v>2975</c:v>
                </c:pt>
                <c:pt idx="12">
                  <c:v>3723</c:v>
                </c:pt>
                <c:pt idx="13">
                  <c:v>4466</c:v>
                </c:pt>
                <c:pt idx="14">
                  <c:v>5634</c:v>
                </c:pt>
                <c:pt idx="15">
                  <c:v>4635</c:v>
                </c:pt>
                <c:pt idx="16">
                  <c:v>3523</c:v>
                </c:pt>
                <c:pt idx="17">
                  <c:v>7760</c:v>
                </c:pt>
                <c:pt idx="18">
                  <c:v>8847</c:v>
                </c:pt>
                <c:pt idx="19">
                  <c:v>1597</c:v>
                </c:pt>
              </c:numCache>
            </c:numRef>
          </c:xVal>
          <c:yVal>
            <c:numRef>
              <c:f>'COMPARATIVE STUDY (3 REACTORS)'!$R$4:$R$23</c:f>
              <c:numCache>
                <c:formatCode>General</c:formatCode>
                <c:ptCount val="20"/>
                <c:pt idx="0">
                  <c:v>325</c:v>
                </c:pt>
                <c:pt idx="1">
                  <c:v>450</c:v>
                </c:pt>
                <c:pt idx="2">
                  <c:v>525</c:v>
                </c:pt>
                <c:pt idx="3">
                  <c:v>875</c:v>
                </c:pt>
                <c:pt idx="4">
                  <c:v>1000</c:v>
                </c:pt>
                <c:pt idx="5">
                  <c:v>750</c:v>
                </c:pt>
                <c:pt idx="6">
                  <c:v>1050</c:v>
                </c:pt>
                <c:pt idx="7">
                  <c:v>1200</c:v>
                </c:pt>
                <c:pt idx="8">
                  <c:v>1700</c:v>
                </c:pt>
                <c:pt idx="9">
                  <c:v>1500</c:v>
                </c:pt>
                <c:pt idx="10">
                  <c:v>2125</c:v>
                </c:pt>
                <c:pt idx="11">
                  <c:v>1500</c:v>
                </c:pt>
                <c:pt idx="12">
                  <c:v>1750</c:v>
                </c:pt>
                <c:pt idx="13">
                  <c:v>2375</c:v>
                </c:pt>
                <c:pt idx="14" formatCode="0">
                  <c:v>4000</c:v>
                </c:pt>
                <c:pt idx="15" formatCode="0">
                  <c:v>3250</c:v>
                </c:pt>
                <c:pt idx="16">
                  <c:v>2125</c:v>
                </c:pt>
                <c:pt idx="17">
                  <c:v>4750</c:v>
                </c:pt>
                <c:pt idx="18">
                  <c:v>5000</c:v>
                </c:pt>
                <c:pt idx="19">
                  <c:v>925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1A4-A546-A61B-C597E554B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033744"/>
        <c:axId val="235787280"/>
      </c:scatterChart>
      <c:valAx>
        <c:axId val="237033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tCOD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787280"/>
        <c:crosses val="autoZero"/>
        <c:crossBetween val="midCat"/>
      </c:valAx>
      <c:valAx>
        <c:axId val="2357872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BOD</a:t>
                </a:r>
                <a:r>
                  <a:rPr lang="en-US" baseline="0"/>
                  <a:t>5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033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EGSB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46981627296588"/>
          <c:y val="0.17171296296296296"/>
          <c:w val="0.8216412948381453"/>
          <c:h val="0.63292468649752109"/>
        </c:manualLayout>
      </c:layout>
      <c:scatterChart>
        <c:scatterStyle val="smoothMarker"/>
        <c:varyColors val="0"/>
        <c:ser>
          <c:idx val="0"/>
          <c:order val="0"/>
          <c:tx>
            <c:v>Biodegradability 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523118985126861"/>
                  <c:y val="-5.198272090988626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'COMPARATIVE STUDY (3 REACTORS)'!$O$28:$O$51</c:f>
              <c:numCache>
                <c:formatCode>General</c:formatCode>
                <c:ptCount val="24"/>
                <c:pt idx="0">
                  <c:v>3215</c:v>
                </c:pt>
                <c:pt idx="1">
                  <c:v>3215</c:v>
                </c:pt>
                <c:pt idx="2">
                  <c:v>3215</c:v>
                </c:pt>
                <c:pt idx="3">
                  <c:v>3215</c:v>
                </c:pt>
                <c:pt idx="4">
                  <c:v>3215</c:v>
                </c:pt>
                <c:pt idx="5">
                  <c:v>3215</c:v>
                </c:pt>
                <c:pt idx="6">
                  <c:v>2153</c:v>
                </c:pt>
                <c:pt idx="7">
                  <c:v>2153</c:v>
                </c:pt>
                <c:pt idx="8">
                  <c:v>2153</c:v>
                </c:pt>
                <c:pt idx="9">
                  <c:v>2153</c:v>
                </c:pt>
                <c:pt idx="10">
                  <c:v>2153</c:v>
                </c:pt>
                <c:pt idx="11">
                  <c:v>3545</c:v>
                </c:pt>
                <c:pt idx="12">
                  <c:v>4149</c:v>
                </c:pt>
                <c:pt idx="13">
                  <c:v>6880</c:v>
                </c:pt>
                <c:pt idx="14">
                  <c:v>2999</c:v>
                </c:pt>
                <c:pt idx="15">
                  <c:v>3414</c:v>
                </c:pt>
                <c:pt idx="16">
                  <c:v>4886</c:v>
                </c:pt>
                <c:pt idx="17">
                  <c:v>5136</c:v>
                </c:pt>
                <c:pt idx="18">
                  <c:v>6023</c:v>
                </c:pt>
                <c:pt idx="19">
                  <c:v>5780</c:v>
                </c:pt>
                <c:pt idx="20">
                  <c:v>5360</c:v>
                </c:pt>
                <c:pt idx="21">
                  <c:v>8448</c:v>
                </c:pt>
                <c:pt idx="22">
                  <c:v>7463</c:v>
                </c:pt>
                <c:pt idx="23">
                  <c:v>6095</c:v>
                </c:pt>
              </c:numCache>
            </c:numRef>
          </c:xVal>
          <c:yVal>
            <c:numRef>
              <c:f>'COMPARATIVE STUDY (3 REACTORS)'!$R$28:$R$51</c:f>
              <c:numCache>
                <c:formatCode>General</c:formatCode>
                <c:ptCount val="24"/>
                <c:pt idx="0">
                  <c:v>1950</c:v>
                </c:pt>
                <c:pt idx="1">
                  <c:v>1950</c:v>
                </c:pt>
                <c:pt idx="2">
                  <c:v>1950</c:v>
                </c:pt>
                <c:pt idx="3">
                  <c:v>1950</c:v>
                </c:pt>
                <c:pt idx="4">
                  <c:v>1950</c:v>
                </c:pt>
                <c:pt idx="5">
                  <c:v>1950</c:v>
                </c:pt>
                <c:pt idx="6">
                  <c:v>850</c:v>
                </c:pt>
                <c:pt idx="7">
                  <c:v>850</c:v>
                </c:pt>
                <c:pt idx="8">
                  <c:v>850</c:v>
                </c:pt>
                <c:pt idx="9">
                  <c:v>850</c:v>
                </c:pt>
                <c:pt idx="10">
                  <c:v>850</c:v>
                </c:pt>
                <c:pt idx="11">
                  <c:v>2500</c:v>
                </c:pt>
                <c:pt idx="12">
                  <c:v>2400</c:v>
                </c:pt>
                <c:pt idx="13">
                  <c:v>4875</c:v>
                </c:pt>
                <c:pt idx="14">
                  <c:v>1650</c:v>
                </c:pt>
                <c:pt idx="15">
                  <c:v>1625</c:v>
                </c:pt>
                <c:pt idx="16">
                  <c:v>1875</c:v>
                </c:pt>
                <c:pt idx="17">
                  <c:v>2750</c:v>
                </c:pt>
                <c:pt idx="18">
                  <c:v>4125</c:v>
                </c:pt>
                <c:pt idx="19">
                  <c:v>3375</c:v>
                </c:pt>
                <c:pt idx="20">
                  <c:v>3250</c:v>
                </c:pt>
                <c:pt idx="21">
                  <c:v>4000</c:v>
                </c:pt>
                <c:pt idx="22">
                  <c:v>6125</c:v>
                </c:pt>
                <c:pt idx="23">
                  <c:v>5000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F0-4C47-B2B0-36CF71729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973631"/>
        <c:axId val="1942009663"/>
      </c:scatterChart>
      <c:valAx>
        <c:axId val="19419736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tCOD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009663"/>
        <c:crosses val="autoZero"/>
        <c:crossBetween val="midCat"/>
      </c:valAx>
      <c:valAx>
        <c:axId val="19420096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BOD5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973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DEGBR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1"/>
            <c:dispEq val="1"/>
            <c:trendlineLbl>
              <c:layout>
                <c:manualLayout>
                  <c:x val="-0.44696062992125984"/>
                  <c:y val="-2.988954505686789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'COMPARATIVE STUDY (3 REACTORS)'!$I$58:$I$72</c:f>
              <c:numCache>
                <c:formatCode>General</c:formatCode>
                <c:ptCount val="15"/>
                <c:pt idx="0">
                  <c:v>1664</c:v>
                </c:pt>
                <c:pt idx="1">
                  <c:v>4315</c:v>
                </c:pt>
                <c:pt idx="2">
                  <c:v>5207</c:v>
                </c:pt>
                <c:pt idx="3">
                  <c:v>5421</c:v>
                </c:pt>
                <c:pt idx="4">
                  <c:v>4645</c:v>
                </c:pt>
                <c:pt idx="5">
                  <c:v>5141</c:v>
                </c:pt>
                <c:pt idx="6">
                  <c:v>5189</c:v>
                </c:pt>
                <c:pt idx="7">
                  <c:v>5014</c:v>
                </c:pt>
                <c:pt idx="8">
                  <c:v>6817</c:v>
                </c:pt>
                <c:pt idx="9">
                  <c:v>6137</c:v>
                </c:pt>
                <c:pt idx="10">
                  <c:v>8829</c:v>
                </c:pt>
                <c:pt idx="11">
                  <c:v>8237</c:v>
                </c:pt>
                <c:pt idx="12">
                  <c:v>32375</c:v>
                </c:pt>
                <c:pt idx="13">
                  <c:v>17903</c:v>
                </c:pt>
                <c:pt idx="14">
                  <c:v>7374</c:v>
                </c:pt>
              </c:numCache>
            </c:numRef>
          </c:xVal>
          <c:yVal>
            <c:numRef>
              <c:f>'COMPARATIVE STUDY (3 REACTORS)'!$L$58:$L$72</c:f>
              <c:numCache>
                <c:formatCode>General</c:formatCode>
                <c:ptCount val="15"/>
                <c:pt idx="0">
                  <c:v>850</c:v>
                </c:pt>
                <c:pt idx="1">
                  <c:v>2125</c:v>
                </c:pt>
                <c:pt idx="2">
                  <c:v>2750</c:v>
                </c:pt>
                <c:pt idx="3">
                  <c:v>3000</c:v>
                </c:pt>
                <c:pt idx="4">
                  <c:v>2625</c:v>
                </c:pt>
                <c:pt idx="5">
                  <c:v>3875</c:v>
                </c:pt>
                <c:pt idx="6">
                  <c:v>3625</c:v>
                </c:pt>
                <c:pt idx="7">
                  <c:v>3125</c:v>
                </c:pt>
                <c:pt idx="8">
                  <c:v>4250</c:v>
                </c:pt>
                <c:pt idx="9">
                  <c:v>5250</c:v>
                </c:pt>
                <c:pt idx="10">
                  <c:v>6000</c:v>
                </c:pt>
                <c:pt idx="11">
                  <c:v>6250</c:v>
                </c:pt>
                <c:pt idx="12">
                  <c:v>20500</c:v>
                </c:pt>
                <c:pt idx="13">
                  <c:v>9250</c:v>
                </c:pt>
                <c:pt idx="14">
                  <c:v>3500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9D6-6C4A-9A9F-9DD146DFF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9977888"/>
        <c:axId val="1940450847"/>
      </c:scatterChart>
      <c:valAx>
        <c:axId val="219977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tCOD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450847"/>
        <c:crosses val="autoZero"/>
        <c:crossBetween val="midCat"/>
      </c:valAx>
      <c:valAx>
        <c:axId val="19404508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BOD</a:t>
                </a:r>
                <a:r>
                  <a:rPr lang="en-US" baseline="0"/>
                  <a:t>5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977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EGSB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v>BOD5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'COMPARATIVE STUDY (3 REACTORS)'!$R$28:$R$51</c:f>
              <c:numCache>
                <c:formatCode>General</c:formatCode>
                <c:ptCount val="24"/>
                <c:pt idx="0">
                  <c:v>1950</c:v>
                </c:pt>
                <c:pt idx="1">
                  <c:v>1950</c:v>
                </c:pt>
                <c:pt idx="2">
                  <c:v>1950</c:v>
                </c:pt>
                <c:pt idx="3">
                  <c:v>1950</c:v>
                </c:pt>
                <c:pt idx="4">
                  <c:v>1950</c:v>
                </c:pt>
                <c:pt idx="5">
                  <c:v>1950</c:v>
                </c:pt>
                <c:pt idx="6">
                  <c:v>850</c:v>
                </c:pt>
                <c:pt idx="7">
                  <c:v>850</c:v>
                </c:pt>
                <c:pt idx="8">
                  <c:v>850</c:v>
                </c:pt>
                <c:pt idx="9">
                  <c:v>850</c:v>
                </c:pt>
                <c:pt idx="10">
                  <c:v>850</c:v>
                </c:pt>
                <c:pt idx="11">
                  <c:v>2500</c:v>
                </c:pt>
                <c:pt idx="12">
                  <c:v>2400</c:v>
                </c:pt>
                <c:pt idx="13">
                  <c:v>4875</c:v>
                </c:pt>
                <c:pt idx="14">
                  <c:v>1650</c:v>
                </c:pt>
                <c:pt idx="15">
                  <c:v>1625</c:v>
                </c:pt>
                <c:pt idx="16">
                  <c:v>1875</c:v>
                </c:pt>
                <c:pt idx="17">
                  <c:v>2750</c:v>
                </c:pt>
                <c:pt idx="18">
                  <c:v>4125</c:v>
                </c:pt>
                <c:pt idx="19">
                  <c:v>3375</c:v>
                </c:pt>
                <c:pt idx="20">
                  <c:v>3250</c:v>
                </c:pt>
                <c:pt idx="21">
                  <c:v>4000</c:v>
                </c:pt>
                <c:pt idx="22">
                  <c:v>6125</c:v>
                </c:pt>
                <c:pt idx="23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7F-8240-825D-491D885B9127}"/>
            </c:ext>
          </c:extLst>
        </c:ser>
        <c:ser>
          <c:idx val="1"/>
          <c:order val="1"/>
          <c:tx>
            <c:v>tCOD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'COMPARATIVE STUDY (3 REACTORS)'!$O$28:$O$51</c:f>
              <c:numCache>
                <c:formatCode>General</c:formatCode>
                <c:ptCount val="24"/>
                <c:pt idx="0">
                  <c:v>3215</c:v>
                </c:pt>
                <c:pt idx="1">
                  <c:v>3215</c:v>
                </c:pt>
                <c:pt idx="2">
                  <c:v>3215</c:v>
                </c:pt>
                <c:pt idx="3">
                  <c:v>3215</c:v>
                </c:pt>
                <c:pt idx="4">
                  <c:v>3215</c:v>
                </c:pt>
                <c:pt idx="5">
                  <c:v>3215</c:v>
                </c:pt>
                <c:pt idx="6">
                  <c:v>2153</c:v>
                </c:pt>
                <c:pt idx="7">
                  <c:v>2153</c:v>
                </c:pt>
                <c:pt idx="8">
                  <c:v>2153</c:v>
                </c:pt>
                <c:pt idx="9">
                  <c:v>2153</c:v>
                </c:pt>
                <c:pt idx="10">
                  <c:v>2153</c:v>
                </c:pt>
                <c:pt idx="11">
                  <c:v>3545</c:v>
                </c:pt>
                <c:pt idx="12">
                  <c:v>4149</c:v>
                </c:pt>
                <c:pt idx="13">
                  <c:v>6880</c:v>
                </c:pt>
                <c:pt idx="14">
                  <c:v>2999</c:v>
                </c:pt>
                <c:pt idx="15">
                  <c:v>3414</c:v>
                </c:pt>
                <c:pt idx="16">
                  <c:v>4886</c:v>
                </c:pt>
                <c:pt idx="17">
                  <c:v>5136</c:v>
                </c:pt>
                <c:pt idx="18">
                  <c:v>6023</c:v>
                </c:pt>
                <c:pt idx="19">
                  <c:v>5780</c:v>
                </c:pt>
                <c:pt idx="20">
                  <c:v>5360</c:v>
                </c:pt>
                <c:pt idx="21">
                  <c:v>8448</c:v>
                </c:pt>
                <c:pt idx="22">
                  <c:v>7463</c:v>
                </c:pt>
                <c:pt idx="23">
                  <c:v>6095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7F-8240-825D-491D885B9127}"/>
            </c:ext>
          </c:extLst>
        </c:ser>
        <c:ser>
          <c:idx val="2"/>
          <c:order val="2"/>
          <c:tx>
            <c:v>FOG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'COMPARATIVE STUDY (3 REACTORS)'!$U$28:$U$51</c:f>
              <c:numCache>
                <c:formatCode>General</c:formatCode>
                <c:ptCount val="24"/>
                <c:pt idx="0">
                  <c:v>514</c:v>
                </c:pt>
                <c:pt idx="1">
                  <c:v>514</c:v>
                </c:pt>
                <c:pt idx="2">
                  <c:v>514</c:v>
                </c:pt>
                <c:pt idx="3">
                  <c:v>514</c:v>
                </c:pt>
                <c:pt idx="4">
                  <c:v>514</c:v>
                </c:pt>
                <c:pt idx="5">
                  <c:v>514</c:v>
                </c:pt>
                <c:pt idx="6">
                  <c:v>312</c:v>
                </c:pt>
                <c:pt idx="7">
                  <c:v>312</c:v>
                </c:pt>
                <c:pt idx="8">
                  <c:v>312</c:v>
                </c:pt>
                <c:pt idx="9">
                  <c:v>312</c:v>
                </c:pt>
                <c:pt idx="10">
                  <c:v>312</c:v>
                </c:pt>
                <c:pt idx="11">
                  <c:v>348</c:v>
                </c:pt>
                <c:pt idx="12">
                  <c:v>836</c:v>
                </c:pt>
                <c:pt idx="13">
                  <c:v>1542</c:v>
                </c:pt>
                <c:pt idx="14">
                  <c:v>402</c:v>
                </c:pt>
                <c:pt idx="15">
                  <c:v>520</c:v>
                </c:pt>
                <c:pt idx="16">
                  <c:v>366</c:v>
                </c:pt>
                <c:pt idx="17">
                  <c:v>790</c:v>
                </c:pt>
                <c:pt idx="18">
                  <c:v>1186</c:v>
                </c:pt>
                <c:pt idx="19">
                  <c:v>1000</c:v>
                </c:pt>
                <c:pt idx="20">
                  <c:v>1238</c:v>
                </c:pt>
                <c:pt idx="21">
                  <c:v>1382</c:v>
                </c:pt>
                <c:pt idx="22">
                  <c:v>757</c:v>
                </c:pt>
                <c:pt idx="23">
                  <c:v>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7F-8240-825D-491D885B9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63928704"/>
        <c:axId val="239369136"/>
        <c:axId val="0"/>
      </c:bar3DChart>
      <c:catAx>
        <c:axId val="263928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Samples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369136"/>
        <c:crosses val="autoZero"/>
        <c:auto val="1"/>
        <c:lblAlgn val="ctr"/>
        <c:lblOffset val="100"/>
        <c:noMultiLvlLbl val="0"/>
      </c:catAx>
      <c:valAx>
        <c:axId val="23936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92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EGSB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BOD5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'COMPARATIVE STUDY (3 REACTORS)'!$R$28:$R$51</c:f>
              <c:numCache>
                <c:formatCode>General</c:formatCode>
                <c:ptCount val="24"/>
                <c:pt idx="0">
                  <c:v>1950</c:v>
                </c:pt>
                <c:pt idx="1">
                  <c:v>1950</c:v>
                </c:pt>
                <c:pt idx="2">
                  <c:v>1950</c:v>
                </c:pt>
                <c:pt idx="3">
                  <c:v>1950</c:v>
                </c:pt>
                <c:pt idx="4">
                  <c:v>1950</c:v>
                </c:pt>
                <c:pt idx="5">
                  <c:v>1950</c:v>
                </c:pt>
                <c:pt idx="6">
                  <c:v>850</c:v>
                </c:pt>
                <c:pt idx="7">
                  <c:v>850</c:v>
                </c:pt>
                <c:pt idx="8">
                  <c:v>850</c:v>
                </c:pt>
                <c:pt idx="9">
                  <c:v>850</c:v>
                </c:pt>
                <c:pt idx="10">
                  <c:v>850</c:v>
                </c:pt>
                <c:pt idx="11">
                  <c:v>2500</c:v>
                </c:pt>
                <c:pt idx="12">
                  <c:v>2400</c:v>
                </c:pt>
                <c:pt idx="13">
                  <c:v>4875</c:v>
                </c:pt>
                <c:pt idx="14">
                  <c:v>1650</c:v>
                </c:pt>
                <c:pt idx="15">
                  <c:v>1625</c:v>
                </c:pt>
                <c:pt idx="16">
                  <c:v>1875</c:v>
                </c:pt>
                <c:pt idx="17">
                  <c:v>2750</c:v>
                </c:pt>
                <c:pt idx="18">
                  <c:v>4125</c:v>
                </c:pt>
                <c:pt idx="19">
                  <c:v>3375</c:v>
                </c:pt>
                <c:pt idx="20">
                  <c:v>3250</c:v>
                </c:pt>
                <c:pt idx="21">
                  <c:v>4000</c:v>
                </c:pt>
                <c:pt idx="22">
                  <c:v>6125</c:v>
                </c:pt>
                <c:pt idx="23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E-E547-9562-5C8B99BD9E3D}"/>
            </c:ext>
          </c:extLst>
        </c:ser>
        <c:ser>
          <c:idx val="1"/>
          <c:order val="1"/>
          <c:tx>
            <c:v>tCOD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'COMPARATIVE STUDY (3 REACTORS)'!$O$28:$O$51</c:f>
              <c:numCache>
                <c:formatCode>General</c:formatCode>
                <c:ptCount val="24"/>
                <c:pt idx="0">
                  <c:v>3215</c:v>
                </c:pt>
                <c:pt idx="1">
                  <c:v>3215</c:v>
                </c:pt>
                <c:pt idx="2">
                  <c:v>3215</c:v>
                </c:pt>
                <c:pt idx="3">
                  <c:v>3215</c:v>
                </c:pt>
                <c:pt idx="4">
                  <c:v>3215</c:v>
                </c:pt>
                <c:pt idx="5">
                  <c:v>3215</c:v>
                </c:pt>
                <c:pt idx="6">
                  <c:v>2153</c:v>
                </c:pt>
                <c:pt idx="7">
                  <c:v>2153</c:v>
                </c:pt>
                <c:pt idx="8">
                  <c:v>2153</c:v>
                </c:pt>
                <c:pt idx="9">
                  <c:v>2153</c:v>
                </c:pt>
                <c:pt idx="10">
                  <c:v>2153</c:v>
                </c:pt>
                <c:pt idx="11">
                  <c:v>3545</c:v>
                </c:pt>
                <c:pt idx="12">
                  <c:v>4149</c:v>
                </c:pt>
                <c:pt idx="13">
                  <c:v>6880</c:v>
                </c:pt>
                <c:pt idx="14">
                  <c:v>2999</c:v>
                </c:pt>
                <c:pt idx="15">
                  <c:v>3414</c:v>
                </c:pt>
                <c:pt idx="16">
                  <c:v>4886</c:v>
                </c:pt>
                <c:pt idx="17">
                  <c:v>5136</c:v>
                </c:pt>
                <c:pt idx="18">
                  <c:v>6023</c:v>
                </c:pt>
                <c:pt idx="19">
                  <c:v>5780</c:v>
                </c:pt>
                <c:pt idx="20">
                  <c:v>5360</c:v>
                </c:pt>
                <c:pt idx="21">
                  <c:v>8448</c:v>
                </c:pt>
                <c:pt idx="22">
                  <c:v>7463</c:v>
                </c:pt>
                <c:pt idx="23">
                  <c:v>6095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9E-E547-9562-5C8B99BD9E3D}"/>
            </c:ext>
          </c:extLst>
        </c:ser>
        <c:ser>
          <c:idx val="2"/>
          <c:order val="2"/>
          <c:tx>
            <c:v>FOG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'COMPARATIVE STUDY (3 REACTORS)'!$U$28:$U$51</c:f>
              <c:numCache>
                <c:formatCode>General</c:formatCode>
                <c:ptCount val="24"/>
                <c:pt idx="0">
                  <c:v>514</c:v>
                </c:pt>
                <c:pt idx="1">
                  <c:v>514</c:v>
                </c:pt>
                <c:pt idx="2">
                  <c:v>514</c:v>
                </c:pt>
                <c:pt idx="3">
                  <c:v>514</c:v>
                </c:pt>
                <c:pt idx="4">
                  <c:v>514</c:v>
                </c:pt>
                <c:pt idx="5">
                  <c:v>514</c:v>
                </c:pt>
                <c:pt idx="6">
                  <c:v>312</c:v>
                </c:pt>
                <c:pt idx="7">
                  <c:v>312</c:v>
                </c:pt>
                <c:pt idx="8">
                  <c:v>312</c:v>
                </c:pt>
                <c:pt idx="9">
                  <c:v>312</c:v>
                </c:pt>
                <c:pt idx="10">
                  <c:v>312</c:v>
                </c:pt>
                <c:pt idx="11">
                  <c:v>348</c:v>
                </c:pt>
                <c:pt idx="12">
                  <c:v>836</c:v>
                </c:pt>
                <c:pt idx="13">
                  <c:v>1542</c:v>
                </c:pt>
                <c:pt idx="14">
                  <c:v>402</c:v>
                </c:pt>
                <c:pt idx="15">
                  <c:v>520</c:v>
                </c:pt>
                <c:pt idx="16">
                  <c:v>366</c:v>
                </c:pt>
                <c:pt idx="17">
                  <c:v>790</c:v>
                </c:pt>
                <c:pt idx="18">
                  <c:v>1186</c:v>
                </c:pt>
                <c:pt idx="19">
                  <c:v>1000</c:v>
                </c:pt>
                <c:pt idx="20">
                  <c:v>1238</c:v>
                </c:pt>
                <c:pt idx="21">
                  <c:v>1382</c:v>
                </c:pt>
                <c:pt idx="22">
                  <c:v>757</c:v>
                </c:pt>
                <c:pt idx="23">
                  <c:v>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9E-E547-9562-5C8B99BD9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63928704"/>
        <c:axId val="239369136"/>
        <c:axId val="0"/>
      </c:bar3DChart>
      <c:catAx>
        <c:axId val="263928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Samples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369136"/>
        <c:crosses val="autoZero"/>
        <c:auto val="1"/>
        <c:lblAlgn val="ctr"/>
        <c:lblOffset val="100"/>
        <c:noMultiLvlLbl val="0"/>
      </c:catAx>
      <c:valAx>
        <c:axId val="23936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92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EGSB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TCOD vs FOG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548184601924759"/>
                  <c:y val="-5.97896617089530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'COMPARATIVE STUDY (3 REACTORS)'!$O$28:$O$51</c:f>
              <c:numCache>
                <c:formatCode>General</c:formatCode>
                <c:ptCount val="24"/>
                <c:pt idx="0">
                  <c:v>3215</c:v>
                </c:pt>
                <c:pt idx="1">
                  <c:v>3215</c:v>
                </c:pt>
                <c:pt idx="2">
                  <c:v>3215</c:v>
                </c:pt>
                <c:pt idx="3">
                  <c:v>3215</c:v>
                </c:pt>
                <c:pt idx="4">
                  <c:v>3215</c:v>
                </c:pt>
                <c:pt idx="5">
                  <c:v>3215</c:v>
                </c:pt>
                <c:pt idx="6">
                  <c:v>2153</c:v>
                </c:pt>
                <c:pt idx="7">
                  <c:v>2153</c:v>
                </c:pt>
                <c:pt idx="8">
                  <c:v>2153</c:v>
                </c:pt>
                <c:pt idx="9">
                  <c:v>2153</c:v>
                </c:pt>
                <c:pt idx="10">
                  <c:v>2153</c:v>
                </c:pt>
                <c:pt idx="11">
                  <c:v>3545</c:v>
                </c:pt>
                <c:pt idx="12">
                  <c:v>4149</c:v>
                </c:pt>
                <c:pt idx="13">
                  <c:v>6880</c:v>
                </c:pt>
                <c:pt idx="14">
                  <c:v>2999</c:v>
                </c:pt>
                <c:pt idx="15">
                  <c:v>3414</c:v>
                </c:pt>
                <c:pt idx="16">
                  <c:v>4886</c:v>
                </c:pt>
                <c:pt idx="17">
                  <c:v>5136</c:v>
                </c:pt>
                <c:pt idx="18">
                  <c:v>6023</c:v>
                </c:pt>
                <c:pt idx="19">
                  <c:v>5780</c:v>
                </c:pt>
                <c:pt idx="20">
                  <c:v>5360</c:v>
                </c:pt>
                <c:pt idx="21">
                  <c:v>8448</c:v>
                </c:pt>
                <c:pt idx="22">
                  <c:v>7463</c:v>
                </c:pt>
                <c:pt idx="23">
                  <c:v>6095</c:v>
                </c:pt>
              </c:numCache>
            </c:numRef>
          </c:xVal>
          <c:yVal>
            <c:numRef>
              <c:f>'COMPARATIVE STUDY (3 REACTORS)'!$U$28:$U$51</c:f>
              <c:numCache>
                <c:formatCode>General</c:formatCode>
                <c:ptCount val="24"/>
                <c:pt idx="0">
                  <c:v>514</c:v>
                </c:pt>
                <c:pt idx="1">
                  <c:v>514</c:v>
                </c:pt>
                <c:pt idx="2">
                  <c:v>514</c:v>
                </c:pt>
                <c:pt idx="3">
                  <c:v>514</c:v>
                </c:pt>
                <c:pt idx="4">
                  <c:v>514</c:v>
                </c:pt>
                <c:pt idx="5">
                  <c:v>514</c:v>
                </c:pt>
                <c:pt idx="6">
                  <c:v>312</c:v>
                </c:pt>
                <c:pt idx="7">
                  <c:v>312</c:v>
                </c:pt>
                <c:pt idx="8">
                  <c:v>312</c:v>
                </c:pt>
                <c:pt idx="9">
                  <c:v>312</c:v>
                </c:pt>
                <c:pt idx="10">
                  <c:v>312</c:v>
                </c:pt>
                <c:pt idx="11">
                  <c:v>348</c:v>
                </c:pt>
                <c:pt idx="12">
                  <c:v>836</c:v>
                </c:pt>
                <c:pt idx="13">
                  <c:v>1542</c:v>
                </c:pt>
                <c:pt idx="14">
                  <c:v>402</c:v>
                </c:pt>
                <c:pt idx="15">
                  <c:v>520</c:v>
                </c:pt>
                <c:pt idx="16">
                  <c:v>366</c:v>
                </c:pt>
                <c:pt idx="17">
                  <c:v>790</c:v>
                </c:pt>
                <c:pt idx="18">
                  <c:v>1186</c:v>
                </c:pt>
                <c:pt idx="19">
                  <c:v>1000</c:v>
                </c:pt>
                <c:pt idx="20">
                  <c:v>1238</c:v>
                </c:pt>
                <c:pt idx="21">
                  <c:v>1382</c:v>
                </c:pt>
                <c:pt idx="22">
                  <c:v>757</c:v>
                </c:pt>
                <c:pt idx="23">
                  <c:v>734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A1-514B-8F61-919C652B7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1360159"/>
        <c:axId val="1939848927"/>
      </c:scatterChart>
      <c:valAx>
        <c:axId val="1961360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tCOD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848927"/>
        <c:crosses val="autoZero"/>
        <c:crossBetween val="midCat"/>
      </c:valAx>
      <c:valAx>
        <c:axId val="19398489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FOG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360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SGBR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FOG Vs TCOD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2656889763779526"/>
                  <c:y val="-3.28240740740740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'COMPARATIVE STUDY (3 REACTORS)'!$O$4:$O$23</c:f>
              <c:numCache>
                <c:formatCode>General</c:formatCode>
                <c:ptCount val="20"/>
                <c:pt idx="0">
                  <c:v>543</c:v>
                </c:pt>
                <c:pt idx="1">
                  <c:v>1125</c:v>
                </c:pt>
                <c:pt idx="2">
                  <c:v>1212</c:v>
                </c:pt>
                <c:pt idx="3">
                  <c:v>1804</c:v>
                </c:pt>
                <c:pt idx="4">
                  <c:v>1497</c:v>
                </c:pt>
                <c:pt idx="5">
                  <c:v>1364</c:v>
                </c:pt>
                <c:pt idx="6">
                  <c:v>1724</c:v>
                </c:pt>
                <c:pt idx="7">
                  <c:v>2043</c:v>
                </c:pt>
                <c:pt idx="8">
                  <c:v>3286</c:v>
                </c:pt>
                <c:pt idx="9">
                  <c:v>2329</c:v>
                </c:pt>
                <c:pt idx="10">
                  <c:v>4241</c:v>
                </c:pt>
                <c:pt idx="11">
                  <c:v>2975</c:v>
                </c:pt>
                <c:pt idx="12">
                  <c:v>3723</c:v>
                </c:pt>
                <c:pt idx="13">
                  <c:v>4466</c:v>
                </c:pt>
                <c:pt idx="14">
                  <c:v>5634</c:v>
                </c:pt>
                <c:pt idx="15">
                  <c:v>4635</c:v>
                </c:pt>
                <c:pt idx="16">
                  <c:v>3523</c:v>
                </c:pt>
                <c:pt idx="17">
                  <c:v>7760</c:v>
                </c:pt>
                <c:pt idx="18">
                  <c:v>8847</c:v>
                </c:pt>
                <c:pt idx="19">
                  <c:v>1597</c:v>
                </c:pt>
              </c:numCache>
            </c:numRef>
          </c:xVal>
          <c:yVal>
            <c:numRef>
              <c:f>'COMPARATIVE STUDY (3 REACTORS)'!$U$4:$U$23</c:f>
              <c:numCache>
                <c:formatCode>General</c:formatCode>
                <c:ptCount val="20"/>
                <c:pt idx="0">
                  <c:v>122</c:v>
                </c:pt>
                <c:pt idx="1">
                  <c:v>144</c:v>
                </c:pt>
                <c:pt idx="2">
                  <c:v>194</c:v>
                </c:pt>
                <c:pt idx="3">
                  <c:v>238</c:v>
                </c:pt>
                <c:pt idx="4">
                  <c:v>254</c:v>
                </c:pt>
                <c:pt idx="5">
                  <c:v>286</c:v>
                </c:pt>
                <c:pt idx="6">
                  <c:v>202</c:v>
                </c:pt>
                <c:pt idx="7">
                  <c:v>258</c:v>
                </c:pt>
                <c:pt idx="8">
                  <c:v>406</c:v>
                </c:pt>
                <c:pt idx="9">
                  <c:v>494</c:v>
                </c:pt>
                <c:pt idx="10">
                  <c:v>584</c:v>
                </c:pt>
                <c:pt idx="11">
                  <c:v>382</c:v>
                </c:pt>
                <c:pt idx="12">
                  <c:v>472</c:v>
                </c:pt>
                <c:pt idx="13">
                  <c:v>584</c:v>
                </c:pt>
                <c:pt idx="14" formatCode="0">
                  <c:v>1194</c:v>
                </c:pt>
                <c:pt idx="15" formatCode="0">
                  <c:v>1012</c:v>
                </c:pt>
                <c:pt idx="16">
                  <c:v>430</c:v>
                </c:pt>
                <c:pt idx="17">
                  <c:v>1614</c:v>
                </c:pt>
                <c:pt idx="18">
                  <c:v>1710</c:v>
                </c:pt>
                <c:pt idx="19">
                  <c:v>156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451-8C42-89B3-061345E58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5898143"/>
        <c:axId val="1942216751"/>
      </c:scatterChart>
      <c:valAx>
        <c:axId val="1925898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tCOD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216751"/>
        <c:crosses val="autoZero"/>
        <c:crossBetween val="midCat"/>
      </c:valAx>
      <c:valAx>
        <c:axId val="1942216751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FOG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898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SGBR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tCOD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'COMPARATIVE STUDY (3 REACTORS)'!$O$3:$O$23</c:f>
              <c:numCache>
                <c:formatCode>General</c:formatCode>
                <c:ptCount val="21"/>
                <c:pt idx="0">
                  <c:v>0</c:v>
                </c:pt>
                <c:pt idx="1">
                  <c:v>543</c:v>
                </c:pt>
                <c:pt idx="2">
                  <c:v>1125</c:v>
                </c:pt>
                <c:pt idx="3">
                  <c:v>1212</c:v>
                </c:pt>
                <c:pt idx="4">
                  <c:v>1804</c:v>
                </c:pt>
                <c:pt idx="5">
                  <c:v>1497</c:v>
                </c:pt>
                <c:pt idx="6">
                  <c:v>1364</c:v>
                </c:pt>
                <c:pt idx="7">
                  <c:v>1724</c:v>
                </c:pt>
                <c:pt idx="8">
                  <c:v>2043</c:v>
                </c:pt>
                <c:pt idx="9">
                  <c:v>3286</c:v>
                </c:pt>
                <c:pt idx="10">
                  <c:v>2329</c:v>
                </c:pt>
                <c:pt idx="11">
                  <c:v>4241</c:v>
                </c:pt>
                <c:pt idx="12">
                  <c:v>2975</c:v>
                </c:pt>
                <c:pt idx="13">
                  <c:v>3723</c:v>
                </c:pt>
                <c:pt idx="14">
                  <c:v>4466</c:v>
                </c:pt>
                <c:pt idx="15">
                  <c:v>5634</c:v>
                </c:pt>
                <c:pt idx="16">
                  <c:v>4635</c:v>
                </c:pt>
                <c:pt idx="17">
                  <c:v>3523</c:v>
                </c:pt>
                <c:pt idx="18">
                  <c:v>7760</c:v>
                </c:pt>
                <c:pt idx="19">
                  <c:v>8847</c:v>
                </c:pt>
                <c:pt idx="20">
                  <c:v>1597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83-E943-AEC4-7E4E00272EB8}"/>
            </c:ext>
          </c:extLst>
        </c:ser>
        <c:ser>
          <c:idx val="1"/>
          <c:order val="1"/>
          <c:tx>
            <c:v>BOD5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'COMPARATIVE STUDY (3 REACTORS)'!$R$4:$R$23</c:f>
              <c:numCache>
                <c:formatCode>General</c:formatCode>
                <c:ptCount val="20"/>
                <c:pt idx="0">
                  <c:v>325</c:v>
                </c:pt>
                <c:pt idx="1">
                  <c:v>450</c:v>
                </c:pt>
                <c:pt idx="2">
                  <c:v>525</c:v>
                </c:pt>
                <c:pt idx="3">
                  <c:v>875</c:v>
                </c:pt>
                <c:pt idx="4">
                  <c:v>1000</c:v>
                </c:pt>
                <c:pt idx="5">
                  <c:v>750</c:v>
                </c:pt>
                <c:pt idx="6">
                  <c:v>1050</c:v>
                </c:pt>
                <c:pt idx="7">
                  <c:v>1200</c:v>
                </c:pt>
                <c:pt idx="8">
                  <c:v>1700</c:v>
                </c:pt>
                <c:pt idx="9">
                  <c:v>1500</c:v>
                </c:pt>
                <c:pt idx="10">
                  <c:v>2125</c:v>
                </c:pt>
                <c:pt idx="11">
                  <c:v>1500</c:v>
                </c:pt>
                <c:pt idx="12">
                  <c:v>1750</c:v>
                </c:pt>
                <c:pt idx="13">
                  <c:v>2375</c:v>
                </c:pt>
                <c:pt idx="14" formatCode="0">
                  <c:v>4000</c:v>
                </c:pt>
                <c:pt idx="15" formatCode="0">
                  <c:v>3250</c:v>
                </c:pt>
                <c:pt idx="16">
                  <c:v>2125</c:v>
                </c:pt>
                <c:pt idx="17">
                  <c:v>4750</c:v>
                </c:pt>
                <c:pt idx="18">
                  <c:v>5000</c:v>
                </c:pt>
                <c:pt idx="19">
                  <c:v>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83-E943-AEC4-7E4E00272EB8}"/>
            </c:ext>
          </c:extLst>
        </c:ser>
        <c:ser>
          <c:idx val="2"/>
          <c:order val="2"/>
          <c:tx>
            <c:v>FOG</c:v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'COMPARATIVE STUDY (3 REACTORS)'!$U$4:$U$23</c:f>
              <c:numCache>
                <c:formatCode>General</c:formatCode>
                <c:ptCount val="20"/>
                <c:pt idx="0">
                  <c:v>122</c:v>
                </c:pt>
                <c:pt idx="1">
                  <c:v>144</c:v>
                </c:pt>
                <c:pt idx="2">
                  <c:v>194</c:v>
                </c:pt>
                <c:pt idx="3">
                  <c:v>238</c:v>
                </c:pt>
                <c:pt idx="4">
                  <c:v>254</c:v>
                </c:pt>
                <c:pt idx="5">
                  <c:v>286</c:v>
                </c:pt>
                <c:pt idx="6">
                  <c:v>202</c:v>
                </c:pt>
                <c:pt idx="7">
                  <c:v>258</c:v>
                </c:pt>
                <c:pt idx="8">
                  <c:v>406</c:v>
                </c:pt>
                <c:pt idx="9">
                  <c:v>494</c:v>
                </c:pt>
                <c:pt idx="10">
                  <c:v>584</c:v>
                </c:pt>
                <c:pt idx="11">
                  <c:v>382</c:v>
                </c:pt>
                <c:pt idx="12">
                  <c:v>472</c:v>
                </c:pt>
                <c:pt idx="13">
                  <c:v>584</c:v>
                </c:pt>
                <c:pt idx="14" formatCode="0">
                  <c:v>1194</c:v>
                </c:pt>
                <c:pt idx="15" formatCode="0">
                  <c:v>1012</c:v>
                </c:pt>
                <c:pt idx="16">
                  <c:v>430</c:v>
                </c:pt>
                <c:pt idx="17">
                  <c:v>1614</c:v>
                </c:pt>
                <c:pt idx="18">
                  <c:v>1710</c:v>
                </c:pt>
                <c:pt idx="19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83-E943-AEC4-7E4E00272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40953359"/>
        <c:axId val="198240544"/>
        <c:axId val="0"/>
      </c:bar3DChart>
      <c:catAx>
        <c:axId val="1940953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40544"/>
        <c:crosses val="autoZero"/>
        <c:auto val="1"/>
        <c:lblAlgn val="ctr"/>
        <c:lblOffset val="100"/>
        <c:noMultiLvlLbl val="0"/>
      </c:catAx>
      <c:valAx>
        <c:axId val="19824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953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SGBR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v>tCOD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'COMPARATIVE STUDY (3 REACTORS)'!$O$3:$O$23</c:f>
              <c:numCache>
                <c:formatCode>General</c:formatCode>
                <c:ptCount val="21"/>
                <c:pt idx="0">
                  <c:v>0</c:v>
                </c:pt>
                <c:pt idx="1">
                  <c:v>543</c:v>
                </c:pt>
                <c:pt idx="2">
                  <c:v>1125</c:v>
                </c:pt>
                <c:pt idx="3">
                  <c:v>1212</c:v>
                </c:pt>
                <c:pt idx="4">
                  <c:v>1804</c:v>
                </c:pt>
                <c:pt idx="5">
                  <c:v>1497</c:v>
                </c:pt>
                <c:pt idx="6">
                  <c:v>1364</c:v>
                </c:pt>
                <c:pt idx="7">
                  <c:v>1724</c:v>
                </c:pt>
                <c:pt idx="8">
                  <c:v>2043</c:v>
                </c:pt>
                <c:pt idx="9">
                  <c:v>3286</c:v>
                </c:pt>
                <c:pt idx="10">
                  <c:v>2329</c:v>
                </c:pt>
                <c:pt idx="11">
                  <c:v>4241</c:v>
                </c:pt>
                <c:pt idx="12">
                  <c:v>2975</c:v>
                </c:pt>
                <c:pt idx="13">
                  <c:v>3723</c:v>
                </c:pt>
                <c:pt idx="14">
                  <c:v>4466</c:v>
                </c:pt>
                <c:pt idx="15">
                  <c:v>5634</c:v>
                </c:pt>
                <c:pt idx="16">
                  <c:v>4635</c:v>
                </c:pt>
                <c:pt idx="17">
                  <c:v>3523</c:v>
                </c:pt>
                <c:pt idx="18">
                  <c:v>7760</c:v>
                </c:pt>
                <c:pt idx="19">
                  <c:v>8847</c:v>
                </c:pt>
                <c:pt idx="20">
                  <c:v>1597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51-F046-A56C-7115385094F3}"/>
            </c:ext>
          </c:extLst>
        </c:ser>
        <c:ser>
          <c:idx val="1"/>
          <c:order val="1"/>
          <c:tx>
            <c:v>BOD5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'COMPARATIVE STUDY (3 REACTORS)'!$R$4:$R$23</c:f>
              <c:numCache>
                <c:formatCode>General</c:formatCode>
                <c:ptCount val="20"/>
                <c:pt idx="0">
                  <c:v>325</c:v>
                </c:pt>
                <c:pt idx="1">
                  <c:v>450</c:v>
                </c:pt>
                <c:pt idx="2">
                  <c:v>525</c:v>
                </c:pt>
                <c:pt idx="3">
                  <c:v>875</c:v>
                </c:pt>
                <c:pt idx="4">
                  <c:v>1000</c:v>
                </c:pt>
                <c:pt idx="5">
                  <c:v>750</c:v>
                </c:pt>
                <c:pt idx="6">
                  <c:v>1050</c:v>
                </c:pt>
                <c:pt idx="7">
                  <c:v>1200</c:v>
                </c:pt>
                <c:pt idx="8">
                  <c:v>1700</c:v>
                </c:pt>
                <c:pt idx="9">
                  <c:v>1500</c:v>
                </c:pt>
                <c:pt idx="10">
                  <c:v>2125</c:v>
                </c:pt>
                <c:pt idx="11">
                  <c:v>1500</c:v>
                </c:pt>
                <c:pt idx="12">
                  <c:v>1750</c:v>
                </c:pt>
                <c:pt idx="13">
                  <c:v>2375</c:v>
                </c:pt>
                <c:pt idx="14" formatCode="0">
                  <c:v>4000</c:v>
                </c:pt>
                <c:pt idx="15" formatCode="0">
                  <c:v>3250</c:v>
                </c:pt>
                <c:pt idx="16">
                  <c:v>2125</c:v>
                </c:pt>
                <c:pt idx="17">
                  <c:v>4750</c:v>
                </c:pt>
                <c:pt idx="18">
                  <c:v>5000</c:v>
                </c:pt>
                <c:pt idx="19">
                  <c:v>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51-F046-A56C-7115385094F3}"/>
            </c:ext>
          </c:extLst>
        </c:ser>
        <c:ser>
          <c:idx val="2"/>
          <c:order val="2"/>
          <c:tx>
            <c:v>FOG</c:v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'COMPARATIVE STUDY (3 REACTORS)'!$U$4:$U$23</c:f>
              <c:numCache>
                <c:formatCode>General</c:formatCode>
                <c:ptCount val="20"/>
                <c:pt idx="0">
                  <c:v>122</c:v>
                </c:pt>
                <c:pt idx="1">
                  <c:v>144</c:v>
                </c:pt>
                <c:pt idx="2">
                  <c:v>194</c:v>
                </c:pt>
                <c:pt idx="3">
                  <c:v>238</c:v>
                </c:pt>
                <c:pt idx="4">
                  <c:v>254</c:v>
                </c:pt>
                <c:pt idx="5">
                  <c:v>286</c:v>
                </c:pt>
                <c:pt idx="6">
                  <c:v>202</c:v>
                </c:pt>
                <c:pt idx="7">
                  <c:v>258</c:v>
                </c:pt>
                <c:pt idx="8">
                  <c:v>406</c:v>
                </c:pt>
                <c:pt idx="9">
                  <c:v>494</c:v>
                </c:pt>
                <c:pt idx="10">
                  <c:v>584</c:v>
                </c:pt>
                <c:pt idx="11">
                  <c:v>382</c:v>
                </c:pt>
                <c:pt idx="12">
                  <c:v>472</c:v>
                </c:pt>
                <c:pt idx="13">
                  <c:v>584</c:v>
                </c:pt>
                <c:pt idx="14" formatCode="0">
                  <c:v>1194</c:v>
                </c:pt>
                <c:pt idx="15" formatCode="0">
                  <c:v>1012</c:v>
                </c:pt>
                <c:pt idx="16">
                  <c:v>430</c:v>
                </c:pt>
                <c:pt idx="17">
                  <c:v>1614</c:v>
                </c:pt>
                <c:pt idx="18">
                  <c:v>1710</c:v>
                </c:pt>
                <c:pt idx="19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51-F046-A56C-711538509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40953359"/>
        <c:axId val="198240544"/>
        <c:axId val="0"/>
      </c:bar3DChart>
      <c:catAx>
        <c:axId val="1940953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40544"/>
        <c:crosses val="autoZero"/>
        <c:auto val="1"/>
        <c:lblAlgn val="ctr"/>
        <c:lblOffset val="100"/>
        <c:noMultiLvlLbl val="0"/>
      </c:catAx>
      <c:valAx>
        <c:axId val="19824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953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DEGBR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0631014873140858"/>
                  <c:y val="-4.983814523184604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'COMPARATIVE STUDY (3 REACTORS)'!$I$58:$I$72</c:f>
              <c:numCache>
                <c:formatCode>General</c:formatCode>
                <c:ptCount val="15"/>
                <c:pt idx="0">
                  <c:v>1664</c:v>
                </c:pt>
                <c:pt idx="1">
                  <c:v>4315</c:v>
                </c:pt>
                <c:pt idx="2">
                  <c:v>5207</c:v>
                </c:pt>
                <c:pt idx="3">
                  <c:v>5421</c:v>
                </c:pt>
                <c:pt idx="4">
                  <c:v>4645</c:v>
                </c:pt>
                <c:pt idx="5">
                  <c:v>5141</c:v>
                </c:pt>
                <c:pt idx="6">
                  <c:v>5189</c:v>
                </c:pt>
                <c:pt idx="7">
                  <c:v>5014</c:v>
                </c:pt>
                <c:pt idx="8">
                  <c:v>6817</c:v>
                </c:pt>
                <c:pt idx="9">
                  <c:v>6137</c:v>
                </c:pt>
                <c:pt idx="10">
                  <c:v>8829</c:v>
                </c:pt>
                <c:pt idx="11">
                  <c:v>8237</c:v>
                </c:pt>
                <c:pt idx="12">
                  <c:v>32375</c:v>
                </c:pt>
                <c:pt idx="13">
                  <c:v>17903</c:v>
                </c:pt>
                <c:pt idx="14">
                  <c:v>7374</c:v>
                </c:pt>
              </c:numCache>
            </c:numRef>
          </c:xVal>
          <c:yVal>
            <c:numRef>
              <c:f>'COMPARATIVE STUDY (3 REACTORS)'!$O$58:$O$72</c:f>
              <c:numCache>
                <c:formatCode>General</c:formatCode>
                <c:ptCount val="15"/>
                <c:pt idx="0">
                  <c:v>280</c:v>
                </c:pt>
                <c:pt idx="1">
                  <c:v>762</c:v>
                </c:pt>
                <c:pt idx="2">
                  <c:v>696</c:v>
                </c:pt>
                <c:pt idx="3">
                  <c:v>940</c:v>
                </c:pt>
                <c:pt idx="4">
                  <c:v>656</c:v>
                </c:pt>
                <c:pt idx="5">
                  <c:v>738</c:v>
                </c:pt>
                <c:pt idx="6">
                  <c:v>1160</c:v>
                </c:pt>
                <c:pt idx="7">
                  <c:v>564</c:v>
                </c:pt>
                <c:pt idx="8">
                  <c:v>1668</c:v>
                </c:pt>
                <c:pt idx="9">
                  <c:v>1974</c:v>
                </c:pt>
                <c:pt idx="10">
                  <c:v>2560</c:v>
                </c:pt>
                <c:pt idx="11">
                  <c:v>1394</c:v>
                </c:pt>
                <c:pt idx="12">
                  <c:v>8228</c:v>
                </c:pt>
                <c:pt idx="13">
                  <c:v>2458</c:v>
                </c:pt>
                <c:pt idx="14">
                  <c:v>752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741-2841-98DF-682EFFF76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9851647"/>
        <c:axId val="1942836783"/>
      </c:scatterChart>
      <c:valAx>
        <c:axId val="1959851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tCOD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836783"/>
        <c:crosses val="autoZero"/>
        <c:crossBetween val="midCat"/>
      </c:valAx>
      <c:valAx>
        <c:axId val="1942836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FOG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851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DEGBR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tCOD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'COMPARATIVE STUDY (3 REACTORS)'!$I$58:$I$72</c:f>
              <c:numCache>
                <c:formatCode>General</c:formatCode>
                <c:ptCount val="15"/>
                <c:pt idx="0">
                  <c:v>1664</c:v>
                </c:pt>
                <c:pt idx="1">
                  <c:v>4315</c:v>
                </c:pt>
                <c:pt idx="2">
                  <c:v>5207</c:v>
                </c:pt>
                <c:pt idx="3">
                  <c:v>5421</c:v>
                </c:pt>
                <c:pt idx="4">
                  <c:v>4645</c:v>
                </c:pt>
                <c:pt idx="5">
                  <c:v>5141</c:v>
                </c:pt>
                <c:pt idx="6">
                  <c:v>5189</c:v>
                </c:pt>
                <c:pt idx="7">
                  <c:v>5014</c:v>
                </c:pt>
                <c:pt idx="8">
                  <c:v>6817</c:v>
                </c:pt>
                <c:pt idx="9">
                  <c:v>6137</c:v>
                </c:pt>
                <c:pt idx="10">
                  <c:v>8829</c:v>
                </c:pt>
                <c:pt idx="11">
                  <c:v>8237</c:v>
                </c:pt>
                <c:pt idx="12">
                  <c:v>32375</c:v>
                </c:pt>
                <c:pt idx="13">
                  <c:v>17903</c:v>
                </c:pt>
                <c:pt idx="14">
                  <c:v>7374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03-4947-B032-1FAF97D1A435}"/>
            </c:ext>
          </c:extLst>
        </c:ser>
        <c:ser>
          <c:idx val="1"/>
          <c:order val="1"/>
          <c:tx>
            <c:v>BOD5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'COMPARATIVE STUDY (3 REACTORS)'!$L$58:$L$72</c:f>
              <c:numCache>
                <c:formatCode>General</c:formatCode>
                <c:ptCount val="15"/>
                <c:pt idx="0">
                  <c:v>850</c:v>
                </c:pt>
                <c:pt idx="1">
                  <c:v>2125</c:v>
                </c:pt>
                <c:pt idx="2">
                  <c:v>2750</c:v>
                </c:pt>
                <c:pt idx="3">
                  <c:v>3000</c:v>
                </c:pt>
                <c:pt idx="4">
                  <c:v>2625</c:v>
                </c:pt>
                <c:pt idx="5">
                  <c:v>3875</c:v>
                </c:pt>
                <c:pt idx="6">
                  <c:v>3625</c:v>
                </c:pt>
                <c:pt idx="7">
                  <c:v>3125</c:v>
                </c:pt>
                <c:pt idx="8">
                  <c:v>4250</c:v>
                </c:pt>
                <c:pt idx="9">
                  <c:v>5250</c:v>
                </c:pt>
                <c:pt idx="10">
                  <c:v>6000</c:v>
                </c:pt>
                <c:pt idx="11">
                  <c:v>6250</c:v>
                </c:pt>
                <c:pt idx="12">
                  <c:v>20500</c:v>
                </c:pt>
                <c:pt idx="13">
                  <c:v>9250</c:v>
                </c:pt>
                <c:pt idx="14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03-4947-B032-1FAF97D1A435}"/>
            </c:ext>
          </c:extLst>
        </c:ser>
        <c:ser>
          <c:idx val="2"/>
          <c:order val="2"/>
          <c:tx>
            <c:v>FOG</c:v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'COMPARATIVE STUDY (3 REACTORS)'!$O$58:$O$72</c:f>
              <c:numCache>
                <c:formatCode>General</c:formatCode>
                <c:ptCount val="15"/>
                <c:pt idx="0">
                  <c:v>280</c:v>
                </c:pt>
                <c:pt idx="1">
                  <c:v>762</c:v>
                </c:pt>
                <c:pt idx="2">
                  <c:v>696</c:v>
                </c:pt>
                <c:pt idx="3">
                  <c:v>940</c:v>
                </c:pt>
                <c:pt idx="4">
                  <c:v>656</c:v>
                </c:pt>
                <c:pt idx="5">
                  <c:v>738</c:v>
                </c:pt>
                <c:pt idx="6">
                  <c:v>1160</c:v>
                </c:pt>
                <c:pt idx="7">
                  <c:v>564</c:v>
                </c:pt>
                <c:pt idx="8">
                  <c:v>1668</c:v>
                </c:pt>
                <c:pt idx="9">
                  <c:v>1974</c:v>
                </c:pt>
                <c:pt idx="10">
                  <c:v>2560</c:v>
                </c:pt>
                <c:pt idx="11">
                  <c:v>1394</c:v>
                </c:pt>
                <c:pt idx="12">
                  <c:v>8228</c:v>
                </c:pt>
                <c:pt idx="13">
                  <c:v>2458</c:v>
                </c:pt>
                <c:pt idx="14">
                  <c:v>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03-4947-B032-1FAF97D1A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83570191"/>
        <c:axId val="1955712207"/>
        <c:axId val="0"/>
      </c:bar3DChart>
      <c:catAx>
        <c:axId val="1983570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712207"/>
        <c:crosses val="autoZero"/>
        <c:auto val="1"/>
        <c:lblAlgn val="ctr"/>
        <c:lblOffset val="100"/>
        <c:noMultiLvlLbl val="0"/>
      </c:catAx>
      <c:valAx>
        <c:axId val="195571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57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DEGBR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v>tCOD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'COMPARATIVE STUDY (3 REACTORS)'!$I$58:$I$72</c:f>
              <c:numCache>
                <c:formatCode>General</c:formatCode>
                <c:ptCount val="15"/>
                <c:pt idx="0">
                  <c:v>1664</c:v>
                </c:pt>
                <c:pt idx="1">
                  <c:v>4315</c:v>
                </c:pt>
                <c:pt idx="2">
                  <c:v>5207</c:v>
                </c:pt>
                <c:pt idx="3">
                  <c:v>5421</c:v>
                </c:pt>
                <c:pt idx="4">
                  <c:v>4645</c:v>
                </c:pt>
                <c:pt idx="5">
                  <c:v>5141</c:v>
                </c:pt>
                <c:pt idx="6">
                  <c:v>5189</c:v>
                </c:pt>
                <c:pt idx="7">
                  <c:v>5014</c:v>
                </c:pt>
                <c:pt idx="8">
                  <c:v>6817</c:v>
                </c:pt>
                <c:pt idx="9">
                  <c:v>6137</c:v>
                </c:pt>
                <c:pt idx="10">
                  <c:v>8829</c:v>
                </c:pt>
                <c:pt idx="11">
                  <c:v>8237</c:v>
                </c:pt>
                <c:pt idx="12">
                  <c:v>32375</c:v>
                </c:pt>
                <c:pt idx="13">
                  <c:v>17903</c:v>
                </c:pt>
                <c:pt idx="14">
                  <c:v>7374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BA-2B4E-82D5-64646C8691F5}"/>
            </c:ext>
          </c:extLst>
        </c:ser>
        <c:ser>
          <c:idx val="1"/>
          <c:order val="1"/>
          <c:tx>
            <c:v>BOD5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'COMPARATIVE STUDY (3 REACTORS)'!$L$58:$L$72</c:f>
              <c:numCache>
                <c:formatCode>General</c:formatCode>
                <c:ptCount val="15"/>
                <c:pt idx="0">
                  <c:v>850</c:v>
                </c:pt>
                <c:pt idx="1">
                  <c:v>2125</c:v>
                </c:pt>
                <c:pt idx="2">
                  <c:v>2750</c:v>
                </c:pt>
                <c:pt idx="3">
                  <c:v>3000</c:v>
                </c:pt>
                <c:pt idx="4">
                  <c:v>2625</c:v>
                </c:pt>
                <c:pt idx="5">
                  <c:v>3875</c:v>
                </c:pt>
                <c:pt idx="6">
                  <c:v>3625</c:v>
                </c:pt>
                <c:pt idx="7">
                  <c:v>3125</c:v>
                </c:pt>
                <c:pt idx="8">
                  <c:v>4250</c:v>
                </c:pt>
                <c:pt idx="9">
                  <c:v>5250</c:v>
                </c:pt>
                <c:pt idx="10">
                  <c:v>6000</c:v>
                </c:pt>
                <c:pt idx="11">
                  <c:v>6250</c:v>
                </c:pt>
                <c:pt idx="12">
                  <c:v>20500</c:v>
                </c:pt>
                <c:pt idx="13">
                  <c:v>9250</c:v>
                </c:pt>
                <c:pt idx="14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BA-2B4E-82D5-64646C8691F5}"/>
            </c:ext>
          </c:extLst>
        </c:ser>
        <c:ser>
          <c:idx val="2"/>
          <c:order val="2"/>
          <c:tx>
            <c:v>FOG</c:v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'COMPARATIVE STUDY (3 REACTORS)'!$O$58:$O$72</c:f>
              <c:numCache>
                <c:formatCode>General</c:formatCode>
                <c:ptCount val="15"/>
                <c:pt idx="0">
                  <c:v>280</c:v>
                </c:pt>
                <c:pt idx="1">
                  <c:v>762</c:v>
                </c:pt>
                <c:pt idx="2">
                  <c:v>696</c:v>
                </c:pt>
                <c:pt idx="3">
                  <c:v>940</c:v>
                </c:pt>
                <c:pt idx="4">
                  <c:v>656</c:v>
                </c:pt>
                <c:pt idx="5">
                  <c:v>738</c:v>
                </c:pt>
                <c:pt idx="6">
                  <c:v>1160</c:v>
                </c:pt>
                <c:pt idx="7">
                  <c:v>564</c:v>
                </c:pt>
                <c:pt idx="8">
                  <c:v>1668</c:v>
                </c:pt>
                <c:pt idx="9">
                  <c:v>1974</c:v>
                </c:pt>
                <c:pt idx="10">
                  <c:v>2560</c:v>
                </c:pt>
                <c:pt idx="11">
                  <c:v>1394</c:v>
                </c:pt>
                <c:pt idx="12">
                  <c:v>8228</c:v>
                </c:pt>
                <c:pt idx="13">
                  <c:v>2458</c:v>
                </c:pt>
                <c:pt idx="14">
                  <c:v>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BA-2B4E-82D5-64646C869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83570191"/>
        <c:axId val="1955712207"/>
        <c:axId val="0"/>
      </c:bar3DChart>
      <c:catAx>
        <c:axId val="1983570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712207"/>
        <c:crosses val="autoZero"/>
        <c:auto val="1"/>
        <c:lblAlgn val="ctr"/>
        <c:lblOffset val="100"/>
        <c:noMultiLvlLbl val="0"/>
      </c:catAx>
      <c:valAx>
        <c:axId val="195571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57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DEGBR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BOD5 vs tCOD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5552668416447947"/>
                  <c:y val="-3.28240740740740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'COMPARATIVE STUDY (3 REACTORS)'!$K$58:$K$72</c:f>
              <c:numCache>
                <c:formatCode>0.0</c:formatCode>
                <c:ptCount val="15"/>
                <c:pt idx="0">
                  <c:v>73.016826923076934</c:v>
                </c:pt>
                <c:pt idx="1">
                  <c:v>97.033603707995368</c:v>
                </c:pt>
                <c:pt idx="2">
                  <c:v>97.54177069329748</c:v>
                </c:pt>
                <c:pt idx="3">
                  <c:v>93.156244235380925</c:v>
                </c:pt>
                <c:pt idx="4">
                  <c:v>94.359526372443497</c:v>
                </c:pt>
                <c:pt idx="5">
                  <c:v>97.101731180704149</c:v>
                </c:pt>
                <c:pt idx="6">
                  <c:v>97.43688571979186</c:v>
                </c:pt>
                <c:pt idx="7">
                  <c:v>95.333067411248507</c:v>
                </c:pt>
                <c:pt idx="8">
                  <c:v>97.344873111339297</c:v>
                </c:pt>
                <c:pt idx="9">
                  <c:v>94.948671989571451</c:v>
                </c:pt>
                <c:pt idx="10">
                  <c:v>96.386906784460308</c:v>
                </c:pt>
                <c:pt idx="11">
                  <c:v>97.960422483914044</c:v>
                </c:pt>
                <c:pt idx="12">
                  <c:v>99.613899613899619</c:v>
                </c:pt>
                <c:pt idx="13">
                  <c:v>99.061609786069369</c:v>
                </c:pt>
                <c:pt idx="14">
                  <c:v>97.219962028749663</c:v>
                </c:pt>
              </c:numCache>
            </c:numRef>
          </c:xVal>
          <c:yVal>
            <c:numRef>
              <c:f>'COMPARATIVE STUDY (3 REACTORS)'!$N$58:$N$72</c:f>
              <c:numCache>
                <c:formatCode>0.0</c:formatCode>
                <c:ptCount val="15"/>
                <c:pt idx="0">
                  <c:v>84.705882352941174</c:v>
                </c:pt>
                <c:pt idx="1">
                  <c:v>98.588235294117638</c:v>
                </c:pt>
                <c:pt idx="2">
                  <c:v>98.909090909090907</c:v>
                </c:pt>
                <c:pt idx="3">
                  <c:v>94.666666666666671</c:v>
                </c:pt>
                <c:pt idx="4">
                  <c:v>98.285714285714292</c:v>
                </c:pt>
                <c:pt idx="5">
                  <c:v>99.225806451612911</c:v>
                </c:pt>
                <c:pt idx="6">
                  <c:v>98.758620689655174</c:v>
                </c:pt>
                <c:pt idx="7">
                  <c:v>92.800000000000011</c:v>
                </c:pt>
                <c:pt idx="8">
                  <c:v>98.82352941176471</c:v>
                </c:pt>
                <c:pt idx="9">
                  <c:v>98.476190476190467</c:v>
                </c:pt>
                <c:pt idx="10">
                  <c:v>98.833333333333329</c:v>
                </c:pt>
                <c:pt idx="11">
                  <c:v>97.84</c:v>
                </c:pt>
                <c:pt idx="12">
                  <c:v>99.878048780487802</c:v>
                </c:pt>
                <c:pt idx="13">
                  <c:v>99.513513513513516</c:v>
                </c:pt>
                <c:pt idx="14">
                  <c:v>98.285714285714292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44C-FC4D-8D22-AB2EE8118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7224319"/>
        <c:axId val="1959724383"/>
      </c:scatterChart>
      <c:valAx>
        <c:axId val="1957224319"/>
        <c:scaling>
          <c:orientation val="minMax"/>
          <c:max val="100"/>
          <c:min val="7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tCOD</a:t>
                </a:r>
                <a:r>
                  <a:rPr lang="en-US" baseline="0"/>
                  <a:t> removal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724383"/>
        <c:crosses val="autoZero"/>
        <c:crossBetween val="midCat"/>
      </c:valAx>
      <c:valAx>
        <c:axId val="1959724383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BOD5</a:t>
                </a:r>
                <a:r>
                  <a:rPr lang="en-US" baseline="0"/>
                  <a:t> removal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224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SGBR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FOG Vs TCOD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2656889763779526"/>
                  <c:y val="-3.28240740740740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'COMPARATIVE STUDY (3 REACTORS)'!$R$4:$R$23</c:f>
              <c:numCache>
                <c:formatCode>General</c:formatCode>
                <c:ptCount val="20"/>
                <c:pt idx="0">
                  <c:v>325</c:v>
                </c:pt>
                <c:pt idx="1">
                  <c:v>450</c:v>
                </c:pt>
                <c:pt idx="2">
                  <c:v>525</c:v>
                </c:pt>
                <c:pt idx="3">
                  <c:v>875</c:v>
                </c:pt>
                <c:pt idx="4">
                  <c:v>1000</c:v>
                </c:pt>
                <c:pt idx="5">
                  <c:v>750</c:v>
                </c:pt>
                <c:pt idx="6">
                  <c:v>1050</c:v>
                </c:pt>
                <c:pt idx="7">
                  <c:v>1200</c:v>
                </c:pt>
                <c:pt idx="8">
                  <c:v>1700</c:v>
                </c:pt>
                <c:pt idx="9">
                  <c:v>1500</c:v>
                </c:pt>
                <c:pt idx="10">
                  <c:v>2125</c:v>
                </c:pt>
                <c:pt idx="11">
                  <c:v>1500</c:v>
                </c:pt>
                <c:pt idx="12">
                  <c:v>1750</c:v>
                </c:pt>
                <c:pt idx="13">
                  <c:v>2375</c:v>
                </c:pt>
                <c:pt idx="14" formatCode="0">
                  <c:v>4000</c:v>
                </c:pt>
                <c:pt idx="15" formatCode="0">
                  <c:v>3250</c:v>
                </c:pt>
                <c:pt idx="16">
                  <c:v>2125</c:v>
                </c:pt>
                <c:pt idx="17">
                  <c:v>4750</c:v>
                </c:pt>
                <c:pt idx="18">
                  <c:v>5000</c:v>
                </c:pt>
                <c:pt idx="19">
                  <c:v>925</c:v>
                </c:pt>
              </c:numCache>
            </c:numRef>
          </c:xVal>
          <c:yVal>
            <c:numRef>
              <c:f>'COMPARATIVE STUDY (3 REACTORS)'!$U$4:$U$23</c:f>
              <c:numCache>
                <c:formatCode>General</c:formatCode>
                <c:ptCount val="20"/>
                <c:pt idx="0">
                  <c:v>122</c:v>
                </c:pt>
                <c:pt idx="1">
                  <c:v>144</c:v>
                </c:pt>
                <c:pt idx="2">
                  <c:v>194</c:v>
                </c:pt>
                <c:pt idx="3">
                  <c:v>238</c:v>
                </c:pt>
                <c:pt idx="4">
                  <c:v>254</c:v>
                </c:pt>
                <c:pt idx="5">
                  <c:v>286</c:v>
                </c:pt>
                <c:pt idx="6">
                  <c:v>202</c:v>
                </c:pt>
                <c:pt idx="7">
                  <c:v>258</c:v>
                </c:pt>
                <c:pt idx="8">
                  <c:v>406</c:v>
                </c:pt>
                <c:pt idx="9">
                  <c:v>494</c:v>
                </c:pt>
                <c:pt idx="10">
                  <c:v>584</c:v>
                </c:pt>
                <c:pt idx="11">
                  <c:v>382</c:v>
                </c:pt>
                <c:pt idx="12">
                  <c:v>472</c:v>
                </c:pt>
                <c:pt idx="13">
                  <c:v>584</c:v>
                </c:pt>
                <c:pt idx="14" formatCode="0">
                  <c:v>1194</c:v>
                </c:pt>
                <c:pt idx="15" formatCode="0">
                  <c:v>1012</c:v>
                </c:pt>
                <c:pt idx="16">
                  <c:v>430</c:v>
                </c:pt>
                <c:pt idx="17">
                  <c:v>1614</c:v>
                </c:pt>
                <c:pt idx="18">
                  <c:v>1710</c:v>
                </c:pt>
                <c:pt idx="19">
                  <c:v>156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59C-AD4A-B641-81D8354A6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5898143"/>
        <c:axId val="1942216751"/>
      </c:scatterChart>
      <c:valAx>
        <c:axId val="1925898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BOD</a:t>
                </a:r>
                <a:r>
                  <a:rPr lang="en-US" sz="900" baseline="0"/>
                  <a:t>5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216751"/>
        <c:crosses val="autoZero"/>
        <c:crossBetween val="midCat"/>
      </c:valAx>
      <c:valAx>
        <c:axId val="1942216751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FOG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898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EGSB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TCOD vs FOG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548184601924759"/>
                  <c:y val="-5.97896617089530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'COMPARATIVE STUDY (3 REACTORS)'!$R$28:$R$51</c:f>
              <c:numCache>
                <c:formatCode>General</c:formatCode>
                <c:ptCount val="24"/>
                <c:pt idx="0">
                  <c:v>1950</c:v>
                </c:pt>
                <c:pt idx="1">
                  <c:v>1950</c:v>
                </c:pt>
                <c:pt idx="2">
                  <c:v>1950</c:v>
                </c:pt>
                <c:pt idx="3">
                  <c:v>1950</c:v>
                </c:pt>
                <c:pt idx="4">
                  <c:v>1950</c:v>
                </c:pt>
                <c:pt idx="5">
                  <c:v>1950</c:v>
                </c:pt>
                <c:pt idx="6">
                  <c:v>850</c:v>
                </c:pt>
                <c:pt idx="7">
                  <c:v>850</c:v>
                </c:pt>
                <c:pt idx="8">
                  <c:v>850</c:v>
                </c:pt>
                <c:pt idx="9">
                  <c:v>850</c:v>
                </c:pt>
                <c:pt idx="10">
                  <c:v>850</c:v>
                </c:pt>
                <c:pt idx="11">
                  <c:v>2500</c:v>
                </c:pt>
                <c:pt idx="12">
                  <c:v>2400</c:v>
                </c:pt>
                <c:pt idx="13">
                  <c:v>4875</c:v>
                </c:pt>
                <c:pt idx="14">
                  <c:v>1650</c:v>
                </c:pt>
                <c:pt idx="15">
                  <c:v>1625</c:v>
                </c:pt>
                <c:pt idx="16">
                  <c:v>1875</c:v>
                </c:pt>
                <c:pt idx="17">
                  <c:v>2750</c:v>
                </c:pt>
                <c:pt idx="18">
                  <c:v>4125</c:v>
                </c:pt>
                <c:pt idx="19">
                  <c:v>3375</c:v>
                </c:pt>
                <c:pt idx="20">
                  <c:v>3250</c:v>
                </c:pt>
                <c:pt idx="21">
                  <c:v>4000</c:v>
                </c:pt>
                <c:pt idx="22">
                  <c:v>6125</c:v>
                </c:pt>
                <c:pt idx="23">
                  <c:v>5000</c:v>
                </c:pt>
              </c:numCache>
            </c:numRef>
          </c:xVal>
          <c:yVal>
            <c:numRef>
              <c:f>'COMPARATIVE STUDY (3 REACTORS)'!$U$28:$U$51</c:f>
              <c:numCache>
                <c:formatCode>General</c:formatCode>
                <c:ptCount val="24"/>
                <c:pt idx="0">
                  <c:v>514</c:v>
                </c:pt>
                <c:pt idx="1">
                  <c:v>514</c:v>
                </c:pt>
                <c:pt idx="2">
                  <c:v>514</c:v>
                </c:pt>
                <c:pt idx="3">
                  <c:v>514</c:v>
                </c:pt>
                <c:pt idx="4">
                  <c:v>514</c:v>
                </c:pt>
                <c:pt idx="5">
                  <c:v>514</c:v>
                </c:pt>
                <c:pt idx="6">
                  <c:v>312</c:v>
                </c:pt>
                <c:pt idx="7">
                  <c:v>312</c:v>
                </c:pt>
                <c:pt idx="8">
                  <c:v>312</c:v>
                </c:pt>
                <c:pt idx="9">
                  <c:v>312</c:v>
                </c:pt>
                <c:pt idx="10">
                  <c:v>312</c:v>
                </c:pt>
                <c:pt idx="11">
                  <c:v>348</c:v>
                </c:pt>
                <c:pt idx="12">
                  <c:v>836</c:v>
                </c:pt>
                <c:pt idx="13">
                  <c:v>1542</c:v>
                </c:pt>
                <c:pt idx="14">
                  <c:v>402</c:v>
                </c:pt>
                <c:pt idx="15">
                  <c:v>520</c:v>
                </c:pt>
                <c:pt idx="16">
                  <c:v>366</c:v>
                </c:pt>
                <c:pt idx="17">
                  <c:v>790</c:v>
                </c:pt>
                <c:pt idx="18">
                  <c:v>1186</c:v>
                </c:pt>
                <c:pt idx="19">
                  <c:v>1000</c:v>
                </c:pt>
                <c:pt idx="20">
                  <c:v>1238</c:v>
                </c:pt>
                <c:pt idx="21">
                  <c:v>1382</c:v>
                </c:pt>
                <c:pt idx="22">
                  <c:v>757</c:v>
                </c:pt>
                <c:pt idx="23">
                  <c:v>734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95-A04D-AF0F-B12968A8D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1360159"/>
        <c:axId val="1939848927"/>
      </c:scatterChart>
      <c:valAx>
        <c:axId val="1961360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BOD</a:t>
                </a:r>
                <a:r>
                  <a:rPr lang="en-US" sz="900" baseline="0"/>
                  <a:t>5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848927"/>
        <c:crosses val="autoZero"/>
        <c:crossBetween val="midCat"/>
      </c:valAx>
      <c:valAx>
        <c:axId val="19398489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FOG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360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SGBR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BOD5 Vs tCOD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2656889763779526"/>
                  <c:y val="-3.28240740740740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'COMPARATIVE STUDY (3 REACTORS)'!$O$4:$O$23</c:f>
              <c:numCache>
                <c:formatCode>General</c:formatCode>
                <c:ptCount val="20"/>
                <c:pt idx="0">
                  <c:v>543</c:v>
                </c:pt>
                <c:pt idx="1">
                  <c:v>1125</c:v>
                </c:pt>
                <c:pt idx="2">
                  <c:v>1212</c:v>
                </c:pt>
                <c:pt idx="3">
                  <c:v>1804</c:v>
                </c:pt>
                <c:pt idx="4">
                  <c:v>1497</c:v>
                </c:pt>
                <c:pt idx="5">
                  <c:v>1364</c:v>
                </c:pt>
                <c:pt idx="6">
                  <c:v>1724</c:v>
                </c:pt>
                <c:pt idx="7">
                  <c:v>2043</c:v>
                </c:pt>
                <c:pt idx="8">
                  <c:v>3286</c:v>
                </c:pt>
                <c:pt idx="9">
                  <c:v>2329</c:v>
                </c:pt>
                <c:pt idx="10">
                  <c:v>4241</c:v>
                </c:pt>
                <c:pt idx="11">
                  <c:v>2975</c:v>
                </c:pt>
                <c:pt idx="12">
                  <c:v>3723</c:v>
                </c:pt>
                <c:pt idx="13">
                  <c:v>4466</c:v>
                </c:pt>
                <c:pt idx="14">
                  <c:v>5634</c:v>
                </c:pt>
                <c:pt idx="15">
                  <c:v>4635</c:v>
                </c:pt>
                <c:pt idx="16">
                  <c:v>3523</c:v>
                </c:pt>
                <c:pt idx="17">
                  <c:v>7760</c:v>
                </c:pt>
                <c:pt idx="18">
                  <c:v>8847</c:v>
                </c:pt>
                <c:pt idx="19">
                  <c:v>1597</c:v>
                </c:pt>
              </c:numCache>
            </c:numRef>
          </c:xVal>
          <c:yVal>
            <c:numRef>
              <c:f>'COMPARATIVE STUDY (3 REACTORS)'!$R$4:$R$23</c:f>
              <c:numCache>
                <c:formatCode>General</c:formatCode>
                <c:ptCount val="20"/>
                <c:pt idx="0">
                  <c:v>325</c:v>
                </c:pt>
                <c:pt idx="1">
                  <c:v>450</c:v>
                </c:pt>
                <c:pt idx="2">
                  <c:v>525</c:v>
                </c:pt>
                <c:pt idx="3">
                  <c:v>875</c:v>
                </c:pt>
                <c:pt idx="4">
                  <c:v>1000</c:v>
                </c:pt>
                <c:pt idx="5">
                  <c:v>750</c:v>
                </c:pt>
                <c:pt idx="6">
                  <c:v>1050</c:v>
                </c:pt>
                <c:pt idx="7">
                  <c:v>1200</c:v>
                </c:pt>
                <c:pt idx="8">
                  <c:v>1700</c:v>
                </c:pt>
                <c:pt idx="9">
                  <c:v>1500</c:v>
                </c:pt>
                <c:pt idx="10">
                  <c:v>2125</c:v>
                </c:pt>
                <c:pt idx="11">
                  <c:v>1500</c:v>
                </c:pt>
                <c:pt idx="12">
                  <c:v>1750</c:v>
                </c:pt>
                <c:pt idx="13">
                  <c:v>2375</c:v>
                </c:pt>
                <c:pt idx="14" formatCode="0">
                  <c:v>4000</c:v>
                </c:pt>
                <c:pt idx="15" formatCode="0">
                  <c:v>3250</c:v>
                </c:pt>
                <c:pt idx="16">
                  <c:v>2125</c:v>
                </c:pt>
                <c:pt idx="17">
                  <c:v>4750</c:v>
                </c:pt>
                <c:pt idx="18">
                  <c:v>5000</c:v>
                </c:pt>
                <c:pt idx="19">
                  <c:v>925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95F-F647-97DE-7CE59EAFD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5898143"/>
        <c:axId val="1942216751"/>
      </c:scatterChart>
      <c:valAx>
        <c:axId val="1925898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tCOD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216751"/>
        <c:crosses val="autoZero"/>
        <c:crossBetween val="midCat"/>
      </c:valAx>
      <c:valAx>
        <c:axId val="1942216751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BOD</a:t>
                </a:r>
                <a:r>
                  <a:rPr lang="en-US" sz="900" baseline="0"/>
                  <a:t>5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898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DEGBR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1"/>
            <c:dispEq val="1"/>
            <c:trendlineLbl>
              <c:layout>
                <c:manualLayout>
                  <c:x val="-0.44696062992125984"/>
                  <c:y val="-2.988954505686789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'COMPARATIVE STUDY (3 REACTORS)'!$I$58:$I$72</c:f>
              <c:numCache>
                <c:formatCode>General</c:formatCode>
                <c:ptCount val="15"/>
                <c:pt idx="0">
                  <c:v>1664</c:v>
                </c:pt>
                <c:pt idx="1">
                  <c:v>4315</c:v>
                </c:pt>
                <c:pt idx="2">
                  <c:v>5207</c:v>
                </c:pt>
                <c:pt idx="3">
                  <c:v>5421</c:v>
                </c:pt>
                <c:pt idx="4">
                  <c:v>4645</c:v>
                </c:pt>
                <c:pt idx="5">
                  <c:v>5141</c:v>
                </c:pt>
                <c:pt idx="6">
                  <c:v>5189</c:v>
                </c:pt>
                <c:pt idx="7">
                  <c:v>5014</c:v>
                </c:pt>
                <c:pt idx="8">
                  <c:v>6817</c:v>
                </c:pt>
                <c:pt idx="9">
                  <c:v>6137</c:v>
                </c:pt>
                <c:pt idx="10">
                  <c:v>8829</c:v>
                </c:pt>
                <c:pt idx="11">
                  <c:v>8237</c:v>
                </c:pt>
                <c:pt idx="12">
                  <c:v>32375</c:v>
                </c:pt>
                <c:pt idx="13">
                  <c:v>17903</c:v>
                </c:pt>
                <c:pt idx="14">
                  <c:v>7374</c:v>
                </c:pt>
              </c:numCache>
            </c:numRef>
          </c:xVal>
          <c:yVal>
            <c:numRef>
              <c:f>'COMPARATIVE STUDY (3 REACTORS)'!$O$58:$O$72</c:f>
              <c:numCache>
                <c:formatCode>General</c:formatCode>
                <c:ptCount val="15"/>
                <c:pt idx="0">
                  <c:v>280</c:v>
                </c:pt>
                <c:pt idx="1">
                  <c:v>762</c:v>
                </c:pt>
                <c:pt idx="2">
                  <c:v>696</c:v>
                </c:pt>
                <c:pt idx="3">
                  <c:v>940</c:v>
                </c:pt>
                <c:pt idx="4">
                  <c:v>656</c:v>
                </c:pt>
                <c:pt idx="5">
                  <c:v>738</c:v>
                </c:pt>
                <c:pt idx="6">
                  <c:v>1160</c:v>
                </c:pt>
                <c:pt idx="7">
                  <c:v>564</c:v>
                </c:pt>
                <c:pt idx="8">
                  <c:v>1668</c:v>
                </c:pt>
                <c:pt idx="9">
                  <c:v>1974</c:v>
                </c:pt>
                <c:pt idx="10">
                  <c:v>2560</c:v>
                </c:pt>
                <c:pt idx="11">
                  <c:v>1394</c:v>
                </c:pt>
                <c:pt idx="12">
                  <c:v>8228</c:v>
                </c:pt>
                <c:pt idx="13">
                  <c:v>2458</c:v>
                </c:pt>
                <c:pt idx="14">
                  <c:v>752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5F5-0741-869B-78B66D0F2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9977888"/>
        <c:axId val="1940450847"/>
      </c:scatterChart>
      <c:valAx>
        <c:axId val="219977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tCOD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450847"/>
        <c:crosses val="autoZero"/>
        <c:crossBetween val="midCat"/>
      </c:valAx>
      <c:valAx>
        <c:axId val="19404508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FOG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977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DEGBR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1"/>
            <c:dispEq val="1"/>
            <c:trendlineLbl>
              <c:layout>
                <c:manualLayout>
                  <c:x val="-0.44696062992125984"/>
                  <c:y val="-2.988954505686789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'COMPARATIVE STUDY (3 REACTORS)'!$L$58:$L$72</c:f>
              <c:numCache>
                <c:formatCode>General</c:formatCode>
                <c:ptCount val="15"/>
                <c:pt idx="0">
                  <c:v>850</c:v>
                </c:pt>
                <c:pt idx="1">
                  <c:v>2125</c:v>
                </c:pt>
                <c:pt idx="2">
                  <c:v>2750</c:v>
                </c:pt>
                <c:pt idx="3">
                  <c:v>3000</c:v>
                </c:pt>
                <c:pt idx="4">
                  <c:v>2625</c:v>
                </c:pt>
                <c:pt idx="5">
                  <c:v>3875</c:v>
                </c:pt>
                <c:pt idx="6">
                  <c:v>3625</c:v>
                </c:pt>
                <c:pt idx="7">
                  <c:v>3125</c:v>
                </c:pt>
                <c:pt idx="8">
                  <c:v>4250</c:v>
                </c:pt>
                <c:pt idx="9">
                  <c:v>5250</c:v>
                </c:pt>
                <c:pt idx="10">
                  <c:v>6000</c:v>
                </c:pt>
                <c:pt idx="11">
                  <c:v>6250</c:v>
                </c:pt>
                <c:pt idx="12">
                  <c:v>20500</c:v>
                </c:pt>
                <c:pt idx="13">
                  <c:v>9250</c:v>
                </c:pt>
                <c:pt idx="14">
                  <c:v>3500</c:v>
                </c:pt>
              </c:numCache>
            </c:numRef>
          </c:xVal>
          <c:yVal>
            <c:numRef>
              <c:f>'COMPARATIVE STUDY (3 REACTORS)'!$O$58:$O$72</c:f>
              <c:numCache>
                <c:formatCode>General</c:formatCode>
                <c:ptCount val="15"/>
                <c:pt idx="0">
                  <c:v>280</c:v>
                </c:pt>
                <c:pt idx="1">
                  <c:v>762</c:v>
                </c:pt>
                <c:pt idx="2">
                  <c:v>696</c:v>
                </c:pt>
                <c:pt idx="3">
                  <c:v>940</c:v>
                </c:pt>
                <c:pt idx="4">
                  <c:v>656</c:v>
                </c:pt>
                <c:pt idx="5">
                  <c:v>738</c:v>
                </c:pt>
                <c:pt idx="6">
                  <c:v>1160</c:v>
                </c:pt>
                <c:pt idx="7">
                  <c:v>564</c:v>
                </c:pt>
                <c:pt idx="8">
                  <c:v>1668</c:v>
                </c:pt>
                <c:pt idx="9">
                  <c:v>1974</c:v>
                </c:pt>
                <c:pt idx="10">
                  <c:v>2560</c:v>
                </c:pt>
                <c:pt idx="11">
                  <c:v>1394</c:v>
                </c:pt>
                <c:pt idx="12">
                  <c:v>8228</c:v>
                </c:pt>
                <c:pt idx="13">
                  <c:v>2458</c:v>
                </c:pt>
                <c:pt idx="14">
                  <c:v>752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2F5-8A4B-8DB7-3412A8D77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9977888"/>
        <c:axId val="1940450847"/>
      </c:scatterChart>
      <c:valAx>
        <c:axId val="219977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BOD</a:t>
                </a:r>
                <a:r>
                  <a:rPr lang="en-US" sz="900" baseline="0"/>
                  <a:t>5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450847"/>
        <c:crosses val="autoZero"/>
        <c:crossBetween val="midCat"/>
      </c:valAx>
      <c:valAx>
        <c:axId val="1940450847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FOG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977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33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C47F-764E-AB71-A2D02B753EAC}"/>
              </c:ext>
            </c:extLst>
          </c:dPt>
          <c:dPt>
            <c:idx val="1"/>
            <c:bubble3D val="0"/>
            <c:explosion val="32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A-C47F-764E-AB71-A2D02B753EAC}"/>
              </c:ext>
            </c:extLst>
          </c:dPt>
          <c:dPt>
            <c:idx val="2"/>
            <c:bubble3D val="0"/>
            <c:explosion val="41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C47F-764E-AB71-A2D02B753EAC}"/>
              </c:ext>
            </c:extLst>
          </c:dPt>
          <c:dPt>
            <c:idx val="3"/>
            <c:bubble3D val="0"/>
            <c:explosion val="29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C-C47F-764E-AB71-A2D02B753EAC}"/>
              </c:ext>
            </c:extLst>
          </c:dPt>
          <c:dPt>
            <c:idx val="4"/>
            <c:bubble3D val="0"/>
            <c:explosion val="38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C47F-764E-AB71-A2D02B753EAC}"/>
              </c:ext>
            </c:extLst>
          </c:dPt>
          <c:dPt>
            <c:idx val="5"/>
            <c:bubble3D val="0"/>
            <c:explosion val="43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E-C47F-764E-AB71-A2D02B753EAC}"/>
              </c:ext>
            </c:extLst>
          </c:dPt>
          <c:dPt>
            <c:idx val="6"/>
            <c:bubble3D val="0"/>
            <c:explosion val="54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C47F-764E-AB71-A2D02B753EAC}"/>
              </c:ext>
            </c:extLst>
          </c:dPt>
          <c:dPt>
            <c:idx val="7"/>
            <c:bubble3D val="0"/>
            <c:explosion val="49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C47F-764E-AB71-A2D02B753EAC}"/>
              </c:ext>
            </c:extLst>
          </c:dPt>
          <c:dPt>
            <c:idx val="8"/>
            <c:bubble3D val="0"/>
            <c:explosion val="44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C47F-764E-AB71-A2D02B753EAC}"/>
              </c:ext>
            </c:extLst>
          </c:dPt>
          <c:dPt>
            <c:idx val="9"/>
            <c:bubble3D val="0"/>
            <c:explosion val="46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C47F-764E-AB71-A2D02B753EAC}"/>
              </c:ext>
            </c:extLst>
          </c:dPt>
          <c:dPt>
            <c:idx val="10"/>
            <c:bubble3D val="0"/>
            <c:explosion val="43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C47F-764E-AB71-A2D02B753EAC}"/>
              </c:ext>
            </c:extLst>
          </c:dPt>
          <c:dPt>
            <c:idx val="11"/>
            <c:bubble3D val="0"/>
            <c:explosion val="48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C47F-764E-AB71-A2D02B753EAC}"/>
              </c:ext>
            </c:extLst>
          </c:dPt>
          <c:dPt>
            <c:idx val="12"/>
            <c:bubble3D val="0"/>
            <c:explosion val="47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C47F-764E-AB71-A2D02B753EAC}"/>
              </c:ext>
            </c:extLst>
          </c:dPt>
          <c:dPt>
            <c:idx val="13"/>
            <c:bubble3D val="0"/>
            <c:explosion val="41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C47F-764E-AB71-A2D02B753EAC}"/>
              </c:ext>
            </c:extLst>
          </c:dPt>
          <c:dPt>
            <c:idx val="14"/>
            <c:bubble3D val="0"/>
            <c:explosion val="39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C47F-764E-AB71-A2D02B753EA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C47F-764E-AB71-A2D02B753EAC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C47F-764E-AB71-A2D02B753EAC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C47F-764E-AB71-A2D02B753EAC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C-C47F-764E-AB71-A2D02B753EAC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C47F-764E-AB71-A2D02B753EAC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E-C47F-764E-AB71-A2D02B753EAC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C47F-764E-AB71-A2D02B753EAC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C47F-764E-AB71-A2D02B753EAC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C47F-764E-AB71-A2D02B753EAC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C47F-764E-AB71-A2D02B753EAC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C47F-764E-AB71-A2D02B753EAC}"/>
                </c:ext>
              </c:extLst>
            </c:dLbl>
            <c:dLbl>
              <c:idx val="11"/>
              <c:layout>
                <c:manualLayout>
                  <c:x val="-3.4522439585730723E-2"/>
                  <c:y val="-8.378870673952641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47F-764E-AB71-A2D02B753EAC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C47F-764E-AB71-A2D02B753EAC}"/>
                </c:ext>
              </c:extLst>
            </c:dLbl>
            <c:dLbl>
              <c:idx val="13"/>
              <c:layout>
                <c:manualLayout>
                  <c:x val="2.3014959723820484E-2"/>
                  <c:y val="-8.743169398907106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47F-764E-AB71-A2D02B753EAC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C47F-764E-AB71-A2D02B753EAC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Feathers!$B$2:$B$16</c:f>
              <c:strCache>
                <c:ptCount val="15"/>
                <c:pt idx="0">
                  <c:v>Arginine</c:v>
                </c:pt>
                <c:pt idx="1">
                  <c:v>Aspartic acid</c:v>
                </c:pt>
                <c:pt idx="2">
                  <c:v>Glutamine</c:v>
                </c:pt>
                <c:pt idx="3">
                  <c:v>Asparagine</c:v>
                </c:pt>
                <c:pt idx="4">
                  <c:v>Serine</c:v>
                </c:pt>
                <c:pt idx="5">
                  <c:v>Threonine</c:v>
                </c:pt>
                <c:pt idx="6">
                  <c:v>Tyrosine</c:v>
                </c:pt>
                <c:pt idx="7">
                  <c:v>Cysteine</c:v>
                </c:pt>
                <c:pt idx="8">
                  <c:v>Alanine</c:v>
                </c:pt>
                <c:pt idx="9">
                  <c:v>Isoleucine</c:v>
                </c:pt>
                <c:pt idx="10">
                  <c:v>Leucine</c:v>
                </c:pt>
                <c:pt idx="11">
                  <c:v>Methionine</c:v>
                </c:pt>
                <c:pt idx="12">
                  <c:v>Phenylalanine</c:v>
                </c:pt>
                <c:pt idx="13">
                  <c:v>Valine</c:v>
                </c:pt>
                <c:pt idx="14">
                  <c:v>Proline</c:v>
                </c:pt>
              </c:strCache>
            </c:strRef>
          </c:cat>
          <c:val>
            <c:numRef>
              <c:f>Feathers!$C$2:$C$16</c:f>
              <c:numCache>
                <c:formatCode>General</c:formatCode>
                <c:ptCount val="15"/>
                <c:pt idx="0">
                  <c:v>4.3</c:v>
                </c:pt>
                <c:pt idx="1">
                  <c:v>6</c:v>
                </c:pt>
                <c:pt idx="2">
                  <c:v>7.62</c:v>
                </c:pt>
                <c:pt idx="3">
                  <c:v>4</c:v>
                </c:pt>
                <c:pt idx="4">
                  <c:v>16</c:v>
                </c:pt>
                <c:pt idx="5">
                  <c:v>4</c:v>
                </c:pt>
                <c:pt idx="6">
                  <c:v>1</c:v>
                </c:pt>
                <c:pt idx="7">
                  <c:v>8.85</c:v>
                </c:pt>
                <c:pt idx="8">
                  <c:v>3.44</c:v>
                </c:pt>
                <c:pt idx="9">
                  <c:v>3.32</c:v>
                </c:pt>
                <c:pt idx="10">
                  <c:v>2.62</c:v>
                </c:pt>
                <c:pt idx="11">
                  <c:v>1.02</c:v>
                </c:pt>
                <c:pt idx="12">
                  <c:v>0.86</c:v>
                </c:pt>
                <c:pt idx="13">
                  <c:v>1.61</c:v>
                </c:pt>
                <c:pt idx="1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F-764E-AB71-A2D02B753EAC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Pea gravel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'[3]Data of packing materials'!$C$22</c:f>
              <c:numCache>
                <c:formatCode>General</c:formatCode>
                <c:ptCount val="1"/>
                <c:pt idx="0">
                  <c:v>0.86081355932203385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62-8240-AFFF-3DAE9EB1302C}"/>
            </c:ext>
          </c:extLst>
        </c:ser>
        <c:ser>
          <c:idx val="1"/>
          <c:order val="1"/>
          <c:tx>
            <c:v>White pebbles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'[3]Data of packing materials'!$D$22</c:f>
              <c:numCache>
                <c:formatCode>General</c:formatCode>
                <c:ptCount val="1"/>
                <c:pt idx="0">
                  <c:v>0.31997282608695649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62-8240-AFFF-3DAE9EB1302C}"/>
            </c:ext>
          </c:extLst>
        </c:ser>
        <c:ser>
          <c:idx val="2"/>
          <c:order val="2"/>
          <c:tx>
            <c:v>Ceramic marbles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'[3]Data of packing materials'!$E$22</c:f>
              <c:numCache>
                <c:formatCode>General</c:formatCode>
                <c:ptCount val="1"/>
                <c:pt idx="0">
                  <c:v>0.12966734555329257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62-8240-AFFF-3DAE9EB1302C}"/>
            </c:ext>
          </c:extLst>
        </c:ser>
        <c:ser>
          <c:idx val="3"/>
          <c:order val="3"/>
          <c:tx>
            <c:v>Small sized pumice stones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'[3]Data of packing materials'!$F$22</c:f>
              <c:numCache>
                <c:formatCode>General</c:formatCode>
                <c:ptCount val="1"/>
                <c:pt idx="0">
                  <c:v>0.86662207357859533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62-8240-AFFF-3DAE9EB1302C}"/>
            </c:ext>
          </c:extLst>
        </c:ser>
        <c:ser>
          <c:idx val="4"/>
          <c:order val="4"/>
          <c:tx>
            <c:v>Medium sized pumice stones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'[3]Data of packing materials'!$G$22</c:f>
              <c:numCache>
                <c:formatCode>General</c:formatCode>
                <c:ptCount val="1"/>
                <c:pt idx="0">
                  <c:v>0.8699524133242692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62-8240-AFFF-3DAE9EB13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8939392"/>
        <c:axId val="298939784"/>
      </c:barChart>
      <c:catAx>
        <c:axId val="298939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Packing</a:t>
                </a:r>
                <a:r>
                  <a:rPr lang="en-US" baseline="0"/>
                  <a:t> materials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939784"/>
        <c:crosses val="autoZero"/>
        <c:auto val="1"/>
        <c:lblAlgn val="ctr"/>
        <c:lblOffset val="100"/>
        <c:tickLblSkip val="1"/>
        <c:noMultiLvlLbl val="0"/>
      </c:catAx>
      <c:valAx>
        <c:axId val="298939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Sludge</a:t>
                </a:r>
                <a:r>
                  <a:rPr lang="en-US" baseline="0"/>
                  <a:t> retention capacity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93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Pea gravel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'[3]Data of packing materials'!$C$9</c:f>
              <c:numCache>
                <c:formatCode>General</c:formatCode>
                <c:ptCount val="1"/>
                <c:pt idx="0">
                  <c:v>0.36206896551724138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8B-E745-A1C6-701A7FFA773C}"/>
            </c:ext>
          </c:extLst>
        </c:ser>
        <c:ser>
          <c:idx val="1"/>
          <c:order val="1"/>
          <c:tx>
            <c:v>White pebbles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'[3]Data of packing materials'!$D$9</c:f>
              <c:numCache>
                <c:formatCode>General</c:formatCode>
                <c:ptCount val="1"/>
                <c:pt idx="0">
                  <c:v>0.34482758620689657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8B-E745-A1C6-701A7FFA773C}"/>
            </c:ext>
          </c:extLst>
        </c:ser>
        <c:ser>
          <c:idx val="2"/>
          <c:order val="2"/>
          <c:tx>
            <c:v>Ceramic marbles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'[3]Data of packing materials'!$E$9</c:f>
              <c:numCache>
                <c:formatCode>General</c:formatCode>
                <c:ptCount val="1"/>
                <c:pt idx="0">
                  <c:v>0.39655172413793105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8B-E745-A1C6-701A7FFA773C}"/>
            </c:ext>
          </c:extLst>
        </c:ser>
        <c:ser>
          <c:idx val="3"/>
          <c:order val="3"/>
          <c:tx>
            <c:v>Small sized pumice stones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'[3]Data of packing materials'!$F$9</c:f>
              <c:numCache>
                <c:formatCode>General</c:formatCode>
                <c:ptCount val="1"/>
                <c:pt idx="0">
                  <c:v>0.56896551724137934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8B-E745-A1C6-701A7FFA773C}"/>
            </c:ext>
          </c:extLst>
        </c:ser>
        <c:ser>
          <c:idx val="4"/>
          <c:order val="4"/>
          <c:tx>
            <c:v>Medium sized pumice stones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'[3]Data of packing materials'!$G$9</c:f>
              <c:numCache>
                <c:formatCode>General</c:formatCode>
                <c:ptCount val="1"/>
                <c:pt idx="0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8B-E745-A1C6-701A7FFA7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8940568"/>
        <c:axId val="299229296"/>
      </c:barChart>
      <c:catAx>
        <c:axId val="298940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Packing</a:t>
                </a:r>
                <a:r>
                  <a:rPr lang="en-US" baseline="0"/>
                  <a:t> material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229296"/>
        <c:crosses val="autoZero"/>
        <c:auto val="1"/>
        <c:lblAlgn val="ctr"/>
        <c:lblOffset val="100"/>
        <c:noMultiLvlLbl val="0"/>
      </c:catAx>
      <c:valAx>
        <c:axId val="29922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940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Glass marbels </c:v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CB3-4F4B-8B43-CB9ECE8FB9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CB3-4F4B-8B43-CB9ECE8FB91C}"/>
              </c:ext>
            </c:extLst>
          </c:dPt>
          <c:val>
            <c:numRef>
              <c:f>'[3]Data of packing materials'!$E$12:$E$13</c:f>
              <c:numCache>
                <c:formatCode>General</c:formatCode>
                <c:ptCount val="2"/>
                <c:pt idx="0">
                  <c:v>128.19999999999999</c:v>
                </c:pt>
                <c:pt idx="1">
                  <c:v>19.099999999999994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CB3-4F4B-8B43-CB9ECE8FB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0555555555555555E-2"/>
          <c:y val="0.16245370370370371"/>
          <c:w val="0.93888888888888888"/>
          <c:h val="0.6714577865266842"/>
        </c:manualLayout>
      </c:layout>
      <c:pie3DChart>
        <c:varyColors val="1"/>
        <c:ser>
          <c:idx val="0"/>
          <c:order val="0"/>
          <c:tx>
            <c:v>Medium pumice stones</c:v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530-8D42-9BBA-EFA7F25F915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530-8D42-9BBA-EFA7F25F915D}"/>
              </c:ext>
            </c:extLst>
          </c:dPt>
          <c:val>
            <c:numRef>
              <c:f>'[3]Data of packing materials'!$G$12:$G$13</c:f>
              <c:numCache>
                <c:formatCode>General</c:formatCode>
                <c:ptCount val="2"/>
                <c:pt idx="0">
                  <c:v>19.130000000000003</c:v>
                </c:pt>
                <c:pt idx="1">
                  <c:v>127.97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30-8D42-9BBA-EFA7F25F9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'Packing materials'!$B$26</c:f>
              <c:strCache>
                <c:ptCount val="1"/>
                <c:pt idx="0">
                  <c:v>Porosity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'Packing materials'!$C$25:$G$25</c:f>
              <c:strCache>
                <c:ptCount val="5"/>
                <c:pt idx="0">
                  <c:v>Pea gravels </c:v>
                </c:pt>
                <c:pt idx="1">
                  <c:v>White pebbles</c:v>
                </c:pt>
                <c:pt idx="2">
                  <c:v>Glass marbels </c:v>
                </c:pt>
                <c:pt idx="3">
                  <c:v>Small pumice stones </c:v>
                </c:pt>
                <c:pt idx="4">
                  <c:v>Medium pumice stones</c:v>
                </c:pt>
              </c:strCache>
            </c:strRef>
          </c:cat>
          <c:val>
            <c:numRef>
              <c:f>'Packing materials'!$C$26:$G$26</c:f>
              <c:numCache>
                <c:formatCode>General</c:formatCode>
                <c:ptCount val="5"/>
                <c:pt idx="0">
                  <c:v>0.36206896551724138</c:v>
                </c:pt>
                <c:pt idx="1">
                  <c:v>0.34482758620689657</c:v>
                </c:pt>
                <c:pt idx="2">
                  <c:v>0.39655172413793105</c:v>
                </c:pt>
                <c:pt idx="3">
                  <c:v>0.56896551724137934</c:v>
                </c:pt>
                <c:pt idx="4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1-6B4F-8BEB-B00F87484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6714223"/>
        <c:axId val="868758383"/>
      </c:barChart>
      <c:catAx>
        <c:axId val="92671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758383"/>
        <c:crosses val="autoZero"/>
        <c:auto val="1"/>
        <c:lblAlgn val="ctr"/>
        <c:lblOffset val="100"/>
        <c:noMultiLvlLbl val="0"/>
      </c:catAx>
      <c:valAx>
        <c:axId val="86875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Porosity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714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Type 1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'[3]Granules '!$C$19:$C$66</c:f>
              <c:numCache>
                <c:formatCode>General</c:formatCode>
                <c:ptCount val="48"/>
                <c:pt idx="0">
                  <c:v>1.0886229516712425E-3</c:v>
                </c:pt>
                <c:pt idx="1">
                  <c:v>1.1295999437300488E-3</c:v>
                </c:pt>
                <c:pt idx="2">
                  <c:v>1.4122592802470423E-3</c:v>
                </c:pt>
                <c:pt idx="3">
                  <c:v>1.6950223569978285E-3</c:v>
                </c:pt>
                <c:pt idx="4">
                  <c:v>1.9778891739824071E-3</c:v>
                </c:pt>
                <c:pt idx="5">
                  <c:v>2.2608597312007784E-3</c:v>
                </c:pt>
                <c:pt idx="6">
                  <c:v>2.5439340286529427E-3</c:v>
                </c:pt>
                <c:pt idx="7">
                  <c:v>2.8271120663388985E-3</c:v>
                </c:pt>
                <c:pt idx="8">
                  <c:v>3.1103938442586482E-3</c:v>
                </c:pt>
                <c:pt idx="9">
                  <c:v>3.3937793624121896E-3</c:v>
                </c:pt>
                <c:pt idx="10">
                  <c:v>3.6772686207995238E-3</c:v>
                </c:pt>
                <c:pt idx="11">
                  <c:v>3.9608616194206506E-3</c:v>
                </c:pt>
                <c:pt idx="12">
                  <c:v>4.2445583582755696E-3</c:v>
                </c:pt>
                <c:pt idx="13">
                  <c:v>4.5283588373642809E-3</c:v>
                </c:pt>
                <c:pt idx="14">
                  <c:v>4.8122630566867861E-3</c:v>
                </c:pt>
                <c:pt idx="15">
                  <c:v>5.0962710162430836E-3</c:v>
                </c:pt>
                <c:pt idx="16">
                  <c:v>5.3803827160331724E-3</c:v>
                </c:pt>
                <c:pt idx="17">
                  <c:v>5.6645981560570543E-3</c:v>
                </c:pt>
                <c:pt idx="18">
                  <c:v>5.9489173363147284E-3</c:v>
                </c:pt>
                <c:pt idx="19">
                  <c:v>6.2333402568061965E-3</c:v>
                </c:pt>
                <c:pt idx="20">
                  <c:v>6.5178669175314551E-3</c:v>
                </c:pt>
                <c:pt idx="21">
                  <c:v>6.8024973184905094E-3</c:v>
                </c:pt>
                <c:pt idx="22">
                  <c:v>7.087231459683355E-3</c:v>
                </c:pt>
                <c:pt idx="23">
                  <c:v>7.3720693411099911E-3</c:v>
                </c:pt>
                <c:pt idx="24">
                  <c:v>7.6570109627704204E-3</c:v>
                </c:pt>
                <c:pt idx="25">
                  <c:v>7.9420563246646435E-3</c:v>
                </c:pt>
                <c:pt idx="26">
                  <c:v>8.2272054267926598E-3</c:v>
                </c:pt>
                <c:pt idx="27">
                  <c:v>8.5124582691544683E-3</c:v>
                </c:pt>
                <c:pt idx="28">
                  <c:v>8.7978148517500673E-3</c:v>
                </c:pt>
                <c:pt idx="29">
                  <c:v>9.0832751745794603E-3</c:v>
                </c:pt>
                <c:pt idx="30">
                  <c:v>9.3688392376426472E-3</c:v>
                </c:pt>
                <c:pt idx="31">
                  <c:v>9.6545070409396246E-3</c:v>
                </c:pt>
                <c:pt idx="32">
                  <c:v>9.9402785844703943E-3</c:v>
                </c:pt>
                <c:pt idx="33">
                  <c:v>1.022615386823496E-2</c:v>
                </c:pt>
                <c:pt idx="34">
                  <c:v>1.0512132892233315E-2</c:v>
                </c:pt>
                <c:pt idx="35">
                  <c:v>1.0798215656465462E-2</c:v>
                </c:pt>
                <c:pt idx="36">
                  <c:v>1.1084402160931404E-2</c:v>
                </c:pt>
                <c:pt idx="37">
                  <c:v>1.1370692405631136E-2</c:v>
                </c:pt>
                <c:pt idx="38">
                  <c:v>1.1657086390564663E-2</c:v>
                </c:pt>
                <c:pt idx="39">
                  <c:v>1.194358411573198E-2</c:v>
                </c:pt>
                <c:pt idx="40">
                  <c:v>1.2230185581133092E-2</c:v>
                </c:pt>
                <c:pt idx="41">
                  <c:v>1.2516890786767997E-2</c:v>
                </c:pt>
                <c:pt idx="42">
                  <c:v>1.2803699732636693E-2</c:v>
                </c:pt>
                <c:pt idx="43">
                  <c:v>1.309061241873918E-2</c:v>
                </c:pt>
                <c:pt idx="44">
                  <c:v>1.3377628845075462E-2</c:v>
                </c:pt>
                <c:pt idx="45">
                  <c:v>1.3664749011645537E-2</c:v>
                </c:pt>
                <c:pt idx="46">
                  <c:v>1.3951972918449405E-2</c:v>
                </c:pt>
                <c:pt idx="47">
                  <c:v>1.4239300565487065E-2</c:v>
                </c:pt>
              </c:numCache>
            </c:numRef>
          </c:xVal>
          <c:yVal>
            <c:numRef>
              <c:f>'[3]Granules '!$H$19:$H$66</c:f>
              <c:numCache>
                <c:formatCode>General</c:formatCode>
                <c:ptCount val="48"/>
                <c:pt idx="0">
                  <c:v>37.214137208913776</c:v>
                </c:pt>
                <c:pt idx="1">
                  <c:v>35.865124735090653</c:v>
                </c:pt>
                <c:pt idx="2">
                  <c:v>28.692099788072522</c:v>
                </c:pt>
                <c:pt idx="3">
                  <c:v>23.910083156727104</c:v>
                </c:pt>
                <c:pt idx="4">
                  <c:v>20.494356991480377</c:v>
                </c:pt>
                <c:pt idx="5">
                  <c:v>17.932562367545327</c:v>
                </c:pt>
                <c:pt idx="6">
                  <c:v>15.940055437818067</c:v>
                </c:pt>
                <c:pt idx="7">
                  <c:v>14.346049894036261</c:v>
                </c:pt>
                <c:pt idx="8">
                  <c:v>13.041863540032967</c:v>
                </c:pt>
                <c:pt idx="9">
                  <c:v>11.955041578363552</c:v>
                </c:pt>
                <c:pt idx="10">
                  <c:v>11.03542299541251</c:v>
                </c:pt>
                <c:pt idx="11">
                  <c:v>10.247178495740188</c:v>
                </c:pt>
                <c:pt idx="12">
                  <c:v>9.5640332626908418</c:v>
                </c:pt>
                <c:pt idx="13">
                  <c:v>8.9662811837726633</c:v>
                </c:pt>
                <c:pt idx="14">
                  <c:v>8.4388528788448607</c:v>
                </c:pt>
                <c:pt idx="15">
                  <c:v>7.9700277189090336</c:v>
                </c:pt>
                <c:pt idx="16">
                  <c:v>7.5505525758085588</c:v>
                </c:pt>
                <c:pt idx="17">
                  <c:v>7.1730249470181304</c:v>
                </c:pt>
                <c:pt idx="18">
                  <c:v>6.8314523304934598</c:v>
                </c:pt>
                <c:pt idx="19">
                  <c:v>6.5209317700164835</c:v>
                </c:pt>
                <c:pt idx="20">
                  <c:v>6.2374129974070707</c:v>
                </c:pt>
                <c:pt idx="21">
                  <c:v>5.9775207891817761</c:v>
                </c:pt>
                <c:pt idx="22">
                  <c:v>5.7384199576145045</c:v>
                </c:pt>
                <c:pt idx="23">
                  <c:v>5.5177114977062551</c:v>
                </c:pt>
                <c:pt idx="24">
                  <c:v>5.3133518126060242</c:v>
                </c:pt>
                <c:pt idx="25">
                  <c:v>5.1235892478700942</c:v>
                </c:pt>
                <c:pt idx="26">
                  <c:v>4.9469137565642285</c:v>
                </c:pt>
                <c:pt idx="27">
                  <c:v>4.7820166313454209</c:v>
                </c:pt>
                <c:pt idx="28">
                  <c:v>4.6277580303342782</c:v>
                </c:pt>
                <c:pt idx="29">
                  <c:v>4.4831405918863316</c:v>
                </c:pt>
                <c:pt idx="30">
                  <c:v>4.3472878466776548</c:v>
                </c:pt>
                <c:pt idx="31">
                  <c:v>4.2194264394224303</c:v>
                </c:pt>
                <c:pt idx="32">
                  <c:v>4.0988713982960752</c:v>
                </c:pt>
                <c:pt idx="33">
                  <c:v>3.9850138594545168</c:v>
                </c:pt>
                <c:pt idx="34">
                  <c:v>3.8773107821719628</c:v>
                </c:pt>
                <c:pt idx="35">
                  <c:v>3.7752762879042794</c:v>
                </c:pt>
                <c:pt idx="36">
                  <c:v>3.6784743318041699</c:v>
                </c:pt>
                <c:pt idx="37">
                  <c:v>3.5865124735090652</c:v>
                </c:pt>
                <c:pt idx="38">
                  <c:v>3.4990365595210395</c:v>
                </c:pt>
                <c:pt idx="39">
                  <c:v>3.4157261652467299</c:v>
                </c:pt>
                <c:pt idx="40">
                  <c:v>3.3362906730316886</c:v>
                </c:pt>
                <c:pt idx="41">
                  <c:v>3.2604658850082417</c:v>
                </c:pt>
                <c:pt idx="42">
                  <c:v>3.1880110875636141</c:v>
                </c:pt>
                <c:pt idx="43">
                  <c:v>3.1187064987035353</c:v>
                </c:pt>
                <c:pt idx="44">
                  <c:v>3.0523510412843113</c:v>
                </c:pt>
                <c:pt idx="45">
                  <c:v>2.988760394590888</c:v>
                </c:pt>
                <c:pt idx="46">
                  <c:v>2.9277652844971964</c:v>
                </c:pt>
                <c:pt idx="47">
                  <c:v>2.8692099788072523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06-4B48-B5A8-4DC5F5A63593}"/>
            </c:ext>
          </c:extLst>
        </c:ser>
        <c:ser>
          <c:idx val="1"/>
          <c:order val="1"/>
          <c:tx>
            <c:v>Type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'[3]Granules '!$D$19:$D$66</c:f>
              <c:numCache>
                <c:formatCode>General</c:formatCode>
                <c:ptCount val="48"/>
                <c:pt idx="0">
                  <c:v>3.6475996859914538E-3</c:v>
                </c:pt>
                <c:pt idx="1">
                  <c:v>3.7848772361411013E-3</c:v>
                </c:pt>
                <c:pt idx="2">
                  <c:v>4.7317741277116679E-3</c:v>
                </c:pt>
                <c:pt idx="3">
                  <c:v>5.6789420522963489E-3</c:v>
                </c:pt>
                <c:pt idx="4">
                  <c:v>6.626381009895147E-3</c:v>
                </c:pt>
                <c:pt idx="5">
                  <c:v>7.5740910005080639E-3</c:v>
                </c:pt>
                <c:pt idx="6">
                  <c:v>8.5220720241350953E-3</c:v>
                </c:pt>
                <c:pt idx="7">
                  <c:v>9.4703240807762438E-3</c:v>
                </c:pt>
                <c:pt idx="8">
                  <c:v>1.0418847170431508E-2</c:v>
                </c:pt>
                <c:pt idx="9">
                  <c:v>1.1367641293100885E-2</c:v>
                </c:pt>
                <c:pt idx="10">
                  <c:v>1.2316706448784383E-2</c:v>
                </c:pt>
                <c:pt idx="11">
                  <c:v>1.3266042637481993E-2</c:v>
                </c:pt>
                <c:pt idx="12">
                  <c:v>1.4215649859193727E-2</c:v>
                </c:pt>
                <c:pt idx="13">
                  <c:v>1.5165528113919571E-2</c:v>
                </c:pt>
                <c:pt idx="14">
                  <c:v>1.611567740165953E-2</c:v>
                </c:pt>
                <c:pt idx="15">
                  <c:v>1.706609772241361E-2</c:v>
                </c:pt>
                <c:pt idx="16">
                  <c:v>1.8016789076181806E-2</c:v>
                </c:pt>
                <c:pt idx="17">
                  <c:v>1.896775146296412E-2</c:v>
                </c:pt>
                <c:pt idx="18">
                  <c:v>1.9918984882760539E-2</c:v>
                </c:pt>
                <c:pt idx="19">
                  <c:v>2.0870489335571087E-2</c:v>
                </c:pt>
                <c:pt idx="20">
                  <c:v>2.1822264821395744E-2</c:v>
                </c:pt>
                <c:pt idx="21">
                  <c:v>2.277431134023452E-2</c:v>
                </c:pt>
                <c:pt idx="22">
                  <c:v>2.3726628892087414E-2</c:v>
                </c:pt>
                <c:pt idx="23">
                  <c:v>2.4679217476954424E-2</c:v>
                </c:pt>
                <c:pt idx="24">
                  <c:v>2.5632077094835542E-2</c:v>
                </c:pt>
                <c:pt idx="25">
                  <c:v>2.6585207745730786E-2</c:v>
                </c:pt>
                <c:pt idx="26">
                  <c:v>2.7538609429640148E-2</c:v>
                </c:pt>
                <c:pt idx="27">
                  <c:v>2.8492282146563623E-2</c:v>
                </c:pt>
                <c:pt idx="28">
                  <c:v>2.944622589650121E-2</c:v>
                </c:pt>
                <c:pt idx="29">
                  <c:v>3.0400440679452918E-2</c:v>
                </c:pt>
                <c:pt idx="30">
                  <c:v>3.1354926495418739E-2</c:v>
                </c:pt>
                <c:pt idx="31">
                  <c:v>3.2309683344398675E-2</c:v>
                </c:pt>
                <c:pt idx="32">
                  <c:v>3.3264711226392733E-2</c:v>
                </c:pt>
                <c:pt idx="33">
                  <c:v>3.4220010141400907E-2</c:v>
                </c:pt>
                <c:pt idx="34">
                  <c:v>3.5175580089423196E-2</c:v>
                </c:pt>
                <c:pt idx="35">
                  <c:v>3.61314210704596E-2</c:v>
                </c:pt>
                <c:pt idx="36">
                  <c:v>3.708753308451012E-2</c:v>
                </c:pt>
                <c:pt idx="37">
                  <c:v>3.8043916131574762E-2</c:v>
                </c:pt>
                <c:pt idx="38">
                  <c:v>3.9000570211653512E-2</c:v>
                </c:pt>
                <c:pt idx="39">
                  <c:v>3.9957495324746378E-2</c:v>
                </c:pt>
                <c:pt idx="40">
                  <c:v>4.0914691470853366E-2</c:v>
                </c:pt>
                <c:pt idx="41">
                  <c:v>4.187215864997447E-2</c:v>
                </c:pt>
                <c:pt idx="42">
                  <c:v>4.2829896862109688E-2</c:v>
                </c:pt>
                <c:pt idx="43">
                  <c:v>4.3787906107259023E-2</c:v>
                </c:pt>
                <c:pt idx="44">
                  <c:v>4.4746186385422465E-2</c:v>
                </c:pt>
                <c:pt idx="45">
                  <c:v>4.5704737696600037E-2</c:v>
                </c:pt>
                <c:pt idx="46">
                  <c:v>4.6663560040791724E-2</c:v>
                </c:pt>
                <c:pt idx="47">
                  <c:v>4.7622653417997526E-2</c:v>
                </c:pt>
              </c:numCache>
            </c:numRef>
          </c:xVal>
          <c:yVal>
            <c:numRef>
              <c:f>'[3]Granules '!$H$19:$H$66</c:f>
              <c:numCache>
                <c:formatCode>General</c:formatCode>
                <c:ptCount val="48"/>
                <c:pt idx="0">
                  <c:v>37.214137208913776</c:v>
                </c:pt>
                <c:pt idx="1">
                  <c:v>35.865124735090653</c:v>
                </c:pt>
                <c:pt idx="2">
                  <c:v>28.692099788072522</c:v>
                </c:pt>
                <c:pt idx="3">
                  <c:v>23.910083156727104</c:v>
                </c:pt>
                <c:pt idx="4">
                  <c:v>20.494356991480377</c:v>
                </c:pt>
                <c:pt idx="5">
                  <c:v>17.932562367545327</c:v>
                </c:pt>
                <c:pt idx="6">
                  <c:v>15.940055437818067</c:v>
                </c:pt>
                <c:pt idx="7">
                  <c:v>14.346049894036261</c:v>
                </c:pt>
                <c:pt idx="8">
                  <c:v>13.041863540032967</c:v>
                </c:pt>
                <c:pt idx="9">
                  <c:v>11.955041578363552</c:v>
                </c:pt>
                <c:pt idx="10">
                  <c:v>11.03542299541251</c:v>
                </c:pt>
                <c:pt idx="11">
                  <c:v>10.247178495740188</c:v>
                </c:pt>
                <c:pt idx="12">
                  <c:v>9.5640332626908418</c:v>
                </c:pt>
                <c:pt idx="13">
                  <c:v>8.9662811837726633</c:v>
                </c:pt>
                <c:pt idx="14">
                  <c:v>8.4388528788448607</c:v>
                </c:pt>
                <c:pt idx="15">
                  <c:v>7.9700277189090336</c:v>
                </c:pt>
                <c:pt idx="16">
                  <c:v>7.5505525758085588</c:v>
                </c:pt>
                <c:pt idx="17">
                  <c:v>7.1730249470181304</c:v>
                </c:pt>
                <c:pt idx="18">
                  <c:v>6.8314523304934598</c:v>
                </c:pt>
                <c:pt idx="19">
                  <c:v>6.5209317700164835</c:v>
                </c:pt>
                <c:pt idx="20">
                  <c:v>6.2374129974070707</c:v>
                </c:pt>
                <c:pt idx="21">
                  <c:v>5.9775207891817761</c:v>
                </c:pt>
                <c:pt idx="22">
                  <c:v>5.7384199576145045</c:v>
                </c:pt>
                <c:pt idx="23">
                  <c:v>5.5177114977062551</c:v>
                </c:pt>
                <c:pt idx="24">
                  <c:v>5.3133518126060242</c:v>
                </c:pt>
                <c:pt idx="25">
                  <c:v>5.1235892478700942</c:v>
                </c:pt>
                <c:pt idx="26">
                  <c:v>4.9469137565642285</c:v>
                </c:pt>
                <c:pt idx="27">
                  <c:v>4.7820166313454209</c:v>
                </c:pt>
                <c:pt idx="28">
                  <c:v>4.6277580303342782</c:v>
                </c:pt>
                <c:pt idx="29">
                  <c:v>4.4831405918863316</c:v>
                </c:pt>
                <c:pt idx="30">
                  <c:v>4.3472878466776548</c:v>
                </c:pt>
                <c:pt idx="31">
                  <c:v>4.2194264394224303</c:v>
                </c:pt>
                <c:pt idx="32">
                  <c:v>4.0988713982960752</c:v>
                </c:pt>
                <c:pt idx="33">
                  <c:v>3.9850138594545168</c:v>
                </c:pt>
                <c:pt idx="34">
                  <c:v>3.8773107821719628</c:v>
                </c:pt>
                <c:pt idx="35">
                  <c:v>3.7752762879042794</c:v>
                </c:pt>
                <c:pt idx="36">
                  <c:v>3.6784743318041699</c:v>
                </c:pt>
                <c:pt idx="37">
                  <c:v>3.5865124735090652</c:v>
                </c:pt>
                <c:pt idx="38">
                  <c:v>3.4990365595210395</c:v>
                </c:pt>
                <c:pt idx="39">
                  <c:v>3.4157261652467299</c:v>
                </c:pt>
                <c:pt idx="40">
                  <c:v>3.3362906730316886</c:v>
                </c:pt>
                <c:pt idx="41">
                  <c:v>3.2604658850082417</c:v>
                </c:pt>
                <c:pt idx="42">
                  <c:v>3.1880110875636141</c:v>
                </c:pt>
                <c:pt idx="43">
                  <c:v>3.1187064987035353</c:v>
                </c:pt>
                <c:pt idx="44">
                  <c:v>3.0523510412843113</c:v>
                </c:pt>
                <c:pt idx="45">
                  <c:v>2.988760394590888</c:v>
                </c:pt>
                <c:pt idx="46">
                  <c:v>2.9277652844971964</c:v>
                </c:pt>
                <c:pt idx="47">
                  <c:v>2.8692099788072523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06-4B48-B5A8-4DC5F5A63593}"/>
            </c:ext>
          </c:extLst>
        </c:ser>
        <c:ser>
          <c:idx val="2"/>
          <c:order val="2"/>
          <c:tx>
            <c:v>Type 3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4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'[3]Granules '!$E$19:$E$66</c:f>
              <c:numCache>
                <c:formatCode>General</c:formatCode>
                <c:ptCount val="48"/>
                <c:pt idx="0">
                  <c:v>2.872738439569237E-3</c:v>
                </c:pt>
                <c:pt idx="1">
                  <c:v>2.9808736526858838E-3</c:v>
                </c:pt>
                <c:pt idx="2">
                  <c:v>3.7267946304334484E-3</c:v>
                </c:pt>
                <c:pt idx="3">
                  <c:v>4.4729966340114492E-3</c:v>
                </c:pt>
                <c:pt idx="4">
                  <c:v>5.2194796634198867E-3</c:v>
                </c:pt>
                <c:pt idx="5">
                  <c:v>5.9662437186587623E-3</c:v>
                </c:pt>
                <c:pt idx="6">
                  <c:v>6.7132887997280758E-3</c:v>
                </c:pt>
                <c:pt idx="7">
                  <c:v>7.4606149066278257E-3</c:v>
                </c:pt>
                <c:pt idx="8">
                  <c:v>8.208222039358011E-3</c:v>
                </c:pt>
                <c:pt idx="9">
                  <c:v>8.9561101979186361E-3</c:v>
                </c:pt>
                <c:pt idx="10">
                  <c:v>9.7042793823096957E-3</c:v>
                </c:pt>
                <c:pt idx="11">
                  <c:v>1.0452729592531195E-2</c:v>
                </c:pt>
                <c:pt idx="12">
                  <c:v>1.1201460828583131E-2</c:v>
                </c:pt>
                <c:pt idx="13">
                  <c:v>1.1950473090465503E-2</c:v>
                </c:pt>
                <c:pt idx="14">
                  <c:v>1.2699766378178313E-2</c:v>
                </c:pt>
                <c:pt idx="15">
                  <c:v>1.3449340691721561E-2</c:v>
                </c:pt>
                <c:pt idx="16">
                  <c:v>1.4199196031095243E-2</c:v>
                </c:pt>
                <c:pt idx="17">
                  <c:v>1.4949332396299366E-2</c:v>
                </c:pt>
                <c:pt idx="18">
                  <c:v>1.5699749787333919E-2</c:v>
                </c:pt>
                <c:pt idx="19">
                  <c:v>1.6450448204198918E-2</c:v>
                </c:pt>
                <c:pt idx="20">
                  <c:v>1.7201427646894349E-2</c:v>
                </c:pt>
                <c:pt idx="21">
                  <c:v>1.7952688115420223E-2</c:v>
                </c:pt>
                <c:pt idx="22">
                  <c:v>1.8704229609776527E-2</c:v>
                </c:pt>
                <c:pt idx="23">
                  <c:v>1.9456052129963271E-2</c:v>
                </c:pt>
                <c:pt idx="24">
                  <c:v>2.0208155675980451E-2</c:v>
                </c:pt>
                <c:pt idx="25">
                  <c:v>2.096054024782807E-2</c:v>
                </c:pt>
                <c:pt idx="26">
                  <c:v>2.1713205845506126E-2</c:v>
                </c:pt>
                <c:pt idx="27">
                  <c:v>2.2466152469014622E-2</c:v>
                </c:pt>
                <c:pt idx="28">
                  <c:v>2.321938011835355E-2</c:v>
                </c:pt>
                <c:pt idx="29">
                  <c:v>2.3972888793522915E-2</c:v>
                </c:pt>
                <c:pt idx="30">
                  <c:v>2.4726678494522723E-2</c:v>
                </c:pt>
                <c:pt idx="31">
                  <c:v>2.5480749221352964E-2</c:v>
                </c:pt>
                <c:pt idx="32">
                  <c:v>2.6235100974013641E-2</c:v>
                </c:pt>
                <c:pt idx="33">
                  <c:v>2.6989733752504762E-2</c:v>
                </c:pt>
                <c:pt idx="34">
                  <c:v>2.7744647556826312E-2</c:v>
                </c:pt>
                <c:pt idx="35">
                  <c:v>2.8499842386978298E-2</c:v>
                </c:pt>
                <c:pt idx="36">
                  <c:v>2.9255318242960723E-2</c:v>
                </c:pt>
                <c:pt idx="37">
                  <c:v>3.0011075124773596E-2</c:v>
                </c:pt>
                <c:pt idx="38">
                  <c:v>3.0767113032416891E-2</c:v>
                </c:pt>
                <c:pt idx="39">
                  <c:v>3.1523431965890629E-2</c:v>
                </c:pt>
                <c:pt idx="40">
                  <c:v>3.2280031925194817E-2</c:v>
                </c:pt>
                <c:pt idx="41">
                  <c:v>3.3036912910329418E-2</c:v>
                </c:pt>
                <c:pt idx="42">
                  <c:v>3.3794074921294472E-2</c:v>
                </c:pt>
                <c:pt idx="43">
                  <c:v>3.4551517958089951E-2</c:v>
                </c:pt>
                <c:pt idx="44">
                  <c:v>3.5309242020715878E-2</c:v>
                </c:pt>
                <c:pt idx="45">
                  <c:v>3.6067247109172244E-2</c:v>
                </c:pt>
                <c:pt idx="46">
                  <c:v>3.6825533223459044E-2</c:v>
                </c:pt>
                <c:pt idx="47">
                  <c:v>3.7584100363576275E-2</c:v>
                </c:pt>
              </c:numCache>
            </c:numRef>
          </c:xVal>
          <c:yVal>
            <c:numRef>
              <c:f>'[3]Granules '!$H$19:$H$66</c:f>
              <c:numCache>
                <c:formatCode>General</c:formatCode>
                <c:ptCount val="48"/>
                <c:pt idx="0">
                  <c:v>37.214137208913776</c:v>
                </c:pt>
                <c:pt idx="1">
                  <c:v>35.865124735090653</c:v>
                </c:pt>
                <c:pt idx="2">
                  <c:v>28.692099788072522</c:v>
                </c:pt>
                <c:pt idx="3">
                  <c:v>23.910083156727104</c:v>
                </c:pt>
                <c:pt idx="4">
                  <c:v>20.494356991480377</c:v>
                </c:pt>
                <c:pt idx="5">
                  <c:v>17.932562367545327</c:v>
                </c:pt>
                <c:pt idx="6">
                  <c:v>15.940055437818067</c:v>
                </c:pt>
                <c:pt idx="7">
                  <c:v>14.346049894036261</c:v>
                </c:pt>
                <c:pt idx="8">
                  <c:v>13.041863540032967</c:v>
                </c:pt>
                <c:pt idx="9">
                  <c:v>11.955041578363552</c:v>
                </c:pt>
                <c:pt idx="10">
                  <c:v>11.03542299541251</c:v>
                </c:pt>
                <c:pt idx="11">
                  <c:v>10.247178495740188</c:v>
                </c:pt>
                <c:pt idx="12">
                  <c:v>9.5640332626908418</c:v>
                </c:pt>
                <c:pt idx="13">
                  <c:v>8.9662811837726633</c:v>
                </c:pt>
                <c:pt idx="14">
                  <c:v>8.4388528788448607</c:v>
                </c:pt>
                <c:pt idx="15">
                  <c:v>7.9700277189090336</c:v>
                </c:pt>
                <c:pt idx="16">
                  <c:v>7.5505525758085588</c:v>
                </c:pt>
                <c:pt idx="17">
                  <c:v>7.1730249470181304</c:v>
                </c:pt>
                <c:pt idx="18">
                  <c:v>6.8314523304934598</c:v>
                </c:pt>
                <c:pt idx="19">
                  <c:v>6.5209317700164835</c:v>
                </c:pt>
                <c:pt idx="20">
                  <c:v>6.2374129974070707</c:v>
                </c:pt>
                <c:pt idx="21">
                  <c:v>5.9775207891817761</c:v>
                </c:pt>
                <c:pt idx="22">
                  <c:v>5.7384199576145045</c:v>
                </c:pt>
                <c:pt idx="23">
                  <c:v>5.5177114977062551</c:v>
                </c:pt>
                <c:pt idx="24">
                  <c:v>5.3133518126060242</c:v>
                </c:pt>
                <c:pt idx="25">
                  <c:v>5.1235892478700942</c:v>
                </c:pt>
                <c:pt idx="26">
                  <c:v>4.9469137565642285</c:v>
                </c:pt>
                <c:pt idx="27">
                  <c:v>4.7820166313454209</c:v>
                </c:pt>
                <c:pt idx="28">
                  <c:v>4.6277580303342782</c:v>
                </c:pt>
                <c:pt idx="29">
                  <c:v>4.4831405918863316</c:v>
                </c:pt>
                <c:pt idx="30">
                  <c:v>4.3472878466776548</c:v>
                </c:pt>
                <c:pt idx="31">
                  <c:v>4.2194264394224303</c:v>
                </c:pt>
                <c:pt idx="32">
                  <c:v>4.0988713982960752</c:v>
                </c:pt>
                <c:pt idx="33">
                  <c:v>3.9850138594545168</c:v>
                </c:pt>
                <c:pt idx="34">
                  <c:v>3.8773107821719628</c:v>
                </c:pt>
                <c:pt idx="35">
                  <c:v>3.7752762879042794</c:v>
                </c:pt>
                <c:pt idx="36">
                  <c:v>3.6784743318041699</c:v>
                </c:pt>
                <c:pt idx="37">
                  <c:v>3.5865124735090652</c:v>
                </c:pt>
                <c:pt idx="38">
                  <c:v>3.4990365595210395</c:v>
                </c:pt>
                <c:pt idx="39">
                  <c:v>3.4157261652467299</c:v>
                </c:pt>
                <c:pt idx="40">
                  <c:v>3.3362906730316886</c:v>
                </c:pt>
                <c:pt idx="41">
                  <c:v>3.2604658850082417</c:v>
                </c:pt>
                <c:pt idx="42">
                  <c:v>3.1880110875636141</c:v>
                </c:pt>
                <c:pt idx="43">
                  <c:v>3.1187064987035353</c:v>
                </c:pt>
                <c:pt idx="44">
                  <c:v>3.0523510412843113</c:v>
                </c:pt>
                <c:pt idx="45">
                  <c:v>2.988760394590888</c:v>
                </c:pt>
                <c:pt idx="46">
                  <c:v>2.9277652844971964</c:v>
                </c:pt>
                <c:pt idx="47">
                  <c:v>2.8692099788072523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06-4B48-B5A8-4DC5F5A63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8541344"/>
        <c:axId val="308574592"/>
      </c:scatterChart>
      <c:valAx>
        <c:axId val="30854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Hydraulic</a:t>
                </a:r>
                <a:r>
                  <a:rPr lang="en-US" baseline="0"/>
                  <a:t> head loss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574592"/>
        <c:crosses val="autoZero"/>
        <c:crossBetween val="midCat"/>
      </c:valAx>
      <c:valAx>
        <c:axId val="30857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Hydraulic</a:t>
                </a:r>
                <a:r>
                  <a:rPr lang="en-US" baseline="0"/>
                  <a:t> retention time (hrs)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541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Type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'[3]Granules '!$B$19:$B$66</c:f>
              <c:numCache>
                <c:formatCode>General</c:formatCode>
                <c:ptCount val="48"/>
                <c:pt idx="0">
                  <c:v>3.8550000000000004E-6</c:v>
                </c:pt>
                <c:pt idx="1">
                  <c:v>3.9999999999999998E-6</c:v>
                </c:pt>
                <c:pt idx="2">
                  <c:v>5.0000000000000004E-6</c:v>
                </c:pt>
                <c:pt idx="3">
                  <c:v>6.0000000000000002E-6</c:v>
                </c:pt>
                <c:pt idx="4">
                  <c:v>6.9999999999999999E-6</c:v>
                </c:pt>
                <c:pt idx="5">
                  <c:v>7.9999999999999996E-6</c:v>
                </c:pt>
                <c:pt idx="6">
                  <c:v>9.0000000000000002E-6</c:v>
                </c:pt>
                <c:pt idx="7">
                  <c:v>1.0000000000000001E-5</c:v>
                </c:pt>
                <c:pt idx="8">
                  <c:v>1.1E-5</c:v>
                </c:pt>
                <c:pt idx="9">
                  <c:v>1.2E-5</c:v>
                </c:pt>
                <c:pt idx="10">
                  <c:v>1.2999999999999999E-5</c:v>
                </c:pt>
                <c:pt idx="11">
                  <c:v>1.4E-5</c:v>
                </c:pt>
                <c:pt idx="12">
                  <c:v>1.5E-5</c:v>
                </c:pt>
                <c:pt idx="13">
                  <c:v>1.5999999999999999E-5</c:v>
                </c:pt>
                <c:pt idx="14">
                  <c:v>1.7E-5</c:v>
                </c:pt>
                <c:pt idx="15">
                  <c:v>1.8E-5</c:v>
                </c:pt>
                <c:pt idx="16">
                  <c:v>1.9000000000000001E-5</c:v>
                </c:pt>
                <c:pt idx="17">
                  <c:v>2.0000000000000002E-5</c:v>
                </c:pt>
                <c:pt idx="18">
                  <c:v>2.0999999999999999E-5</c:v>
                </c:pt>
                <c:pt idx="19">
                  <c:v>2.1999999999999999E-5</c:v>
                </c:pt>
                <c:pt idx="20">
                  <c:v>2.3E-5</c:v>
                </c:pt>
                <c:pt idx="21">
                  <c:v>2.4000000000000001E-5</c:v>
                </c:pt>
                <c:pt idx="22">
                  <c:v>2.5000000000000001E-5</c:v>
                </c:pt>
                <c:pt idx="23">
                  <c:v>2.5999999999999998E-5</c:v>
                </c:pt>
                <c:pt idx="24">
                  <c:v>2.6999999999999999E-5</c:v>
                </c:pt>
                <c:pt idx="25">
                  <c:v>2.8E-5</c:v>
                </c:pt>
                <c:pt idx="26">
                  <c:v>2.9E-5</c:v>
                </c:pt>
                <c:pt idx="27">
                  <c:v>3.0000000000000001E-5</c:v>
                </c:pt>
                <c:pt idx="28">
                  <c:v>3.1000000000000001E-5</c:v>
                </c:pt>
                <c:pt idx="29">
                  <c:v>3.1999999999999999E-5</c:v>
                </c:pt>
                <c:pt idx="30">
                  <c:v>3.3000000000000003E-5</c:v>
                </c:pt>
                <c:pt idx="31">
                  <c:v>3.4E-5</c:v>
                </c:pt>
                <c:pt idx="32">
                  <c:v>3.4999999999999997E-5</c:v>
                </c:pt>
                <c:pt idx="33">
                  <c:v>3.6000000000000001E-5</c:v>
                </c:pt>
                <c:pt idx="34">
                  <c:v>3.6999999999999998E-5</c:v>
                </c:pt>
                <c:pt idx="35">
                  <c:v>3.8000000000000002E-5</c:v>
                </c:pt>
                <c:pt idx="36">
                  <c:v>3.8999999999999999E-5</c:v>
                </c:pt>
                <c:pt idx="37">
                  <c:v>4.0000000000000003E-5</c:v>
                </c:pt>
                <c:pt idx="38">
                  <c:v>4.1E-5</c:v>
                </c:pt>
                <c:pt idx="39">
                  <c:v>4.1999999999999998E-5</c:v>
                </c:pt>
                <c:pt idx="40">
                  <c:v>4.3000000000000002E-5</c:v>
                </c:pt>
                <c:pt idx="41">
                  <c:v>4.3999999999999999E-5</c:v>
                </c:pt>
                <c:pt idx="42">
                  <c:v>4.5000000000000003E-5</c:v>
                </c:pt>
                <c:pt idx="43">
                  <c:v>4.6E-5</c:v>
                </c:pt>
                <c:pt idx="44">
                  <c:v>4.6999999999999997E-5</c:v>
                </c:pt>
                <c:pt idx="45">
                  <c:v>4.8000000000000001E-5</c:v>
                </c:pt>
                <c:pt idx="46">
                  <c:v>4.8999999999999998E-5</c:v>
                </c:pt>
                <c:pt idx="47">
                  <c:v>5.0000000000000002E-5</c:v>
                </c:pt>
              </c:numCache>
            </c:numRef>
          </c:xVal>
          <c:yVal>
            <c:numRef>
              <c:f>'[3]Granules '!$C$19:$C$66</c:f>
              <c:numCache>
                <c:formatCode>General</c:formatCode>
                <c:ptCount val="48"/>
                <c:pt idx="0">
                  <c:v>1.0886229516712425E-3</c:v>
                </c:pt>
                <c:pt idx="1">
                  <c:v>1.1295999437300488E-3</c:v>
                </c:pt>
                <c:pt idx="2">
                  <c:v>1.4122592802470423E-3</c:v>
                </c:pt>
                <c:pt idx="3">
                  <c:v>1.6950223569978285E-3</c:v>
                </c:pt>
                <c:pt idx="4">
                  <c:v>1.9778891739824071E-3</c:v>
                </c:pt>
                <c:pt idx="5">
                  <c:v>2.2608597312007784E-3</c:v>
                </c:pt>
                <c:pt idx="6">
                  <c:v>2.5439340286529427E-3</c:v>
                </c:pt>
                <c:pt idx="7">
                  <c:v>2.8271120663388985E-3</c:v>
                </c:pt>
                <c:pt idx="8">
                  <c:v>3.1103938442586482E-3</c:v>
                </c:pt>
                <c:pt idx="9">
                  <c:v>3.3937793624121896E-3</c:v>
                </c:pt>
                <c:pt idx="10">
                  <c:v>3.6772686207995238E-3</c:v>
                </c:pt>
                <c:pt idx="11">
                  <c:v>3.9608616194206506E-3</c:v>
                </c:pt>
                <c:pt idx="12">
                  <c:v>4.2445583582755696E-3</c:v>
                </c:pt>
                <c:pt idx="13">
                  <c:v>4.5283588373642809E-3</c:v>
                </c:pt>
                <c:pt idx="14">
                  <c:v>4.8122630566867861E-3</c:v>
                </c:pt>
                <c:pt idx="15">
                  <c:v>5.0962710162430836E-3</c:v>
                </c:pt>
                <c:pt idx="16">
                  <c:v>5.3803827160331724E-3</c:v>
                </c:pt>
                <c:pt idx="17">
                  <c:v>5.6645981560570543E-3</c:v>
                </c:pt>
                <c:pt idx="18">
                  <c:v>5.9489173363147284E-3</c:v>
                </c:pt>
                <c:pt idx="19">
                  <c:v>6.2333402568061965E-3</c:v>
                </c:pt>
                <c:pt idx="20">
                  <c:v>6.5178669175314551E-3</c:v>
                </c:pt>
                <c:pt idx="21">
                  <c:v>6.8024973184905094E-3</c:v>
                </c:pt>
                <c:pt idx="22">
                  <c:v>7.087231459683355E-3</c:v>
                </c:pt>
                <c:pt idx="23">
                  <c:v>7.3720693411099911E-3</c:v>
                </c:pt>
                <c:pt idx="24">
                  <c:v>7.6570109627704204E-3</c:v>
                </c:pt>
                <c:pt idx="25">
                  <c:v>7.9420563246646435E-3</c:v>
                </c:pt>
                <c:pt idx="26">
                  <c:v>8.2272054267926598E-3</c:v>
                </c:pt>
                <c:pt idx="27">
                  <c:v>8.5124582691544683E-3</c:v>
                </c:pt>
                <c:pt idx="28">
                  <c:v>8.7978148517500673E-3</c:v>
                </c:pt>
                <c:pt idx="29">
                  <c:v>9.0832751745794603E-3</c:v>
                </c:pt>
                <c:pt idx="30">
                  <c:v>9.3688392376426472E-3</c:v>
                </c:pt>
                <c:pt idx="31">
                  <c:v>9.6545070409396246E-3</c:v>
                </c:pt>
                <c:pt idx="32">
                  <c:v>9.9402785844703943E-3</c:v>
                </c:pt>
                <c:pt idx="33">
                  <c:v>1.022615386823496E-2</c:v>
                </c:pt>
                <c:pt idx="34">
                  <c:v>1.0512132892233315E-2</c:v>
                </c:pt>
                <c:pt idx="35">
                  <c:v>1.0798215656465462E-2</c:v>
                </c:pt>
                <c:pt idx="36">
                  <c:v>1.1084402160931404E-2</c:v>
                </c:pt>
                <c:pt idx="37">
                  <c:v>1.1370692405631136E-2</c:v>
                </c:pt>
                <c:pt idx="38">
                  <c:v>1.1657086390564663E-2</c:v>
                </c:pt>
                <c:pt idx="39">
                  <c:v>1.194358411573198E-2</c:v>
                </c:pt>
                <c:pt idx="40">
                  <c:v>1.2230185581133092E-2</c:v>
                </c:pt>
                <c:pt idx="41">
                  <c:v>1.2516890786767997E-2</c:v>
                </c:pt>
                <c:pt idx="42">
                  <c:v>1.2803699732636693E-2</c:v>
                </c:pt>
                <c:pt idx="43">
                  <c:v>1.309061241873918E-2</c:v>
                </c:pt>
                <c:pt idx="44">
                  <c:v>1.3377628845075462E-2</c:v>
                </c:pt>
                <c:pt idx="45">
                  <c:v>1.3664749011645537E-2</c:v>
                </c:pt>
                <c:pt idx="46">
                  <c:v>1.3951972918449405E-2</c:v>
                </c:pt>
                <c:pt idx="47">
                  <c:v>1.4239300565487065E-2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C8-1147-B33D-50BCE584E990}"/>
            </c:ext>
          </c:extLst>
        </c:ser>
        <c:ser>
          <c:idx val="1"/>
          <c:order val="1"/>
          <c:tx>
            <c:v>Type 2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4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'[3]Granules '!$B$19:$B$66</c:f>
              <c:numCache>
                <c:formatCode>General</c:formatCode>
                <c:ptCount val="48"/>
                <c:pt idx="0">
                  <c:v>3.8550000000000004E-6</c:v>
                </c:pt>
                <c:pt idx="1">
                  <c:v>3.9999999999999998E-6</c:v>
                </c:pt>
                <c:pt idx="2">
                  <c:v>5.0000000000000004E-6</c:v>
                </c:pt>
                <c:pt idx="3">
                  <c:v>6.0000000000000002E-6</c:v>
                </c:pt>
                <c:pt idx="4">
                  <c:v>6.9999999999999999E-6</c:v>
                </c:pt>
                <c:pt idx="5">
                  <c:v>7.9999999999999996E-6</c:v>
                </c:pt>
                <c:pt idx="6">
                  <c:v>9.0000000000000002E-6</c:v>
                </c:pt>
                <c:pt idx="7">
                  <c:v>1.0000000000000001E-5</c:v>
                </c:pt>
                <c:pt idx="8">
                  <c:v>1.1E-5</c:v>
                </c:pt>
                <c:pt idx="9">
                  <c:v>1.2E-5</c:v>
                </c:pt>
                <c:pt idx="10">
                  <c:v>1.2999999999999999E-5</c:v>
                </c:pt>
                <c:pt idx="11">
                  <c:v>1.4E-5</c:v>
                </c:pt>
                <c:pt idx="12">
                  <c:v>1.5E-5</c:v>
                </c:pt>
                <c:pt idx="13">
                  <c:v>1.5999999999999999E-5</c:v>
                </c:pt>
                <c:pt idx="14">
                  <c:v>1.7E-5</c:v>
                </c:pt>
                <c:pt idx="15">
                  <c:v>1.8E-5</c:v>
                </c:pt>
                <c:pt idx="16">
                  <c:v>1.9000000000000001E-5</c:v>
                </c:pt>
                <c:pt idx="17">
                  <c:v>2.0000000000000002E-5</c:v>
                </c:pt>
                <c:pt idx="18">
                  <c:v>2.0999999999999999E-5</c:v>
                </c:pt>
                <c:pt idx="19">
                  <c:v>2.1999999999999999E-5</c:v>
                </c:pt>
                <c:pt idx="20">
                  <c:v>2.3E-5</c:v>
                </c:pt>
                <c:pt idx="21">
                  <c:v>2.4000000000000001E-5</c:v>
                </c:pt>
                <c:pt idx="22">
                  <c:v>2.5000000000000001E-5</c:v>
                </c:pt>
                <c:pt idx="23">
                  <c:v>2.5999999999999998E-5</c:v>
                </c:pt>
                <c:pt idx="24">
                  <c:v>2.6999999999999999E-5</c:v>
                </c:pt>
                <c:pt idx="25">
                  <c:v>2.8E-5</c:v>
                </c:pt>
                <c:pt idx="26">
                  <c:v>2.9E-5</c:v>
                </c:pt>
                <c:pt idx="27">
                  <c:v>3.0000000000000001E-5</c:v>
                </c:pt>
                <c:pt idx="28">
                  <c:v>3.1000000000000001E-5</c:v>
                </c:pt>
                <c:pt idx="29">
                  <c:v>3.1999999999999999E-5</c:v>
                </c:pt>
                <c:pt idx="30">
                  <c:v>3.3000000000000003E-5</c:v>
                </c:pt>
                <c:pt idx="31">
                  <c:v>3.4E-5</c:v>
                </c:pt>
                <c:pt idx="32">
                  <c:v>3.4999999999999997E-5</c:v>
                </c:pt>
                <c:pt idx="33">
                  <c:v>3.6000000000000001E-5</c:v>
                </c:pt>
                <c:pt idx="34">
                  <c:v>3.6999999999999998E-5</c:v>
                </c:pt>
                <c:pt idx="35">
                  <c:v>3.8000000000000002E-5</c:v>
                </c:pt>
                <c:pt idx="36">
                  <c:v>3.8999999999999999E-5</c:v>
                </c:pt>
                <c:pt idx="37">
                  <c:v>4.0000000000000003E-5</c:v>
                </c:pt>
                <c:pt idx="38">
                  <c:v>4.1E-5</c:v>
                </c:pt>
                <c:pt idx="39">
                  <c:v>4.1999999999999998E-5</c:v>
                </c:pt>
                <c:pt idx="40">
                  <c:v>4.3000000000000002E-5</c:v>
                </c:pt>
                <c:pt idx="41">
                  <c:v>4.3999999999999999E-5</c:v>
                </c:pt>
                <c:pt idx="42">
                  <c:v>4.5000000000000003E-5</c:v>
                </c:pt>
                <c:pt idx="43">
                  <c:v>4.6E-5</c:v>
                </c:pt>
                <c:pt idx="44">
                  <c:v>4.6999999999999997E-5</c:v>
                </c:pt>
                <c:pt idx="45">
                  <c:v>4.8000000000000001E-5</c:v>
                </c:pt>
                <c:pt idx="46">
                  <c:v>4.8999999999999998E-5</c:v>
                </c:pt>
                <c:pt idx="47">
                  <c:v>5.0000000000000002E-5</c:v>
                </c:pt>
              </c:numCache>
            </c:numRef>
          </c:xVal>
          <c:yVal>
            <c:numRef>
              <c:f>'[3]Granules '!$D$19:$D$66</c:f>
              <c:numCache>
                <c:formatCode>General</c:formatCode>
                <c:ptCount val="48"/>
                <c:pt idx="0">
                  <c:v>3.6475996859914538E-3</c:v>
                </c:pt>
                <c:pt idx="1">
                  <c:v>3.7848772361411013E-3</c:v>
                </c:pt>
                <c:pt idx="2">
                  <c:v>4.7317741277116679E-3</c:v>
                </c:pt>
                <c:pt idx="3">
                  <c:v>5.6789420522963489E-3</c:v>
                </c:pt>
                <c:pt idx="4">
                  <c:v>6.626381009895147E-3</c:v>
                </c:pt>
                <c:pt idx="5">
                  <c:v>7.5740910005080639E-3</c:v>
                </c:pt>
                <c:pt idx="6">
                  <c:v>8.5220720241350953E-3</c:v>
                </c:pt>
                <c:pt idx="7">
                  <c:v>9.4703240807762438E-3</c:v>
                </c:pt>
                <c:pt idx="8">
                  <c:v>1.0418847170431508E-2</c:v>
                </c:pt>
                <c:pt idx="9">
                  <c:v>1.1367641293100885E-2</c:v>
                </c:pt>
                <c:pt idx="10">
                  <c:v>1.2316706448784383E-2</c:v>
                </c:pt>
                <c:pt idx="11">
                  <c:v>1.3266042637481993E-2</c:v>
                </c:pt>
                <c:pt idx="12">
                  <c:v>1.4215649859193727E-2</c:v>
                </c:pt>
                <c:pt idx="13">
                  <c:v>1.5165528113919571E-2</c:v>
                </c:pt>
                <c:pt idx="14">
                  <c:v>1.611567740165953E-2</c:v>
                </c:pt>
                <c:pt idx="15">
                  <c:v>1.706609772241361E-2</c:v>
                </c:pt>
                <c:pt idx="16">
                  <c:v>1.8016789076181806E-2</c:v>
                </c:pt>
                <c:pt idx="17">
                  <c:v>1.896775146296412E-2</c:v>
                </c:pt>
                <c:pt idx="18">
                  <c:v>1.9918984882760539E-2</c:v>
                </c:pt>
                <c:pt idx="19">
                  <c:v>2.0870489335571087E-2</c:v>
                </c:pt>
                <c:pt idx="20">
                  <c:v>2.1822264821395744E-2</c:v>
                </c:pt>
                <c:pt idx="21">
                  <c:v>2.277431134023452E-2</c:v>
                </c:pt>
                <c:pt idx="22">
                  <c:v>2.3726628892087414E-2</c:v>
                </c:pt>
                <c:pt idx="23">
                  <c:v>2.4679217476954424E-2</c:v>
                </c:pt>
                <c:pt idx="24">
                  <c:v>2.5632077094835542E-2</c:v>
                </c:pt>
                <c:pt idx="25">
                  <c:v>2.6585207745730786E-2</c:v>
                </c:pt>
                <c:pt idx="26">
                  <c:v>2.7538609429640148E-2</c:v>
                </c:pt>
                <c:pt idx="27">
                  <c:v>2.8492282146563623E-2</c:v>
                </c:pt>
                <c:pt idx="28">
                  <c:v>2.944622589650121E-2</c:v>
                </c:pt>
                <c:pt idx="29">
                  <c:v>3.0400440679452918E-2</c:v>
                </c:pt>
                <c:pt idx="30">
                  <c:v>3.1354926495418739E-2</c:v>
                </c:pt>
                <c:pt idx="31">
                  <c:v>3.2309683344398675E-2</c:v>
                </c:pt>
                <c:pt idx="32">
                  <c:v>3.3264711226392733E-2</c:v>
                </c:pt>
                <c:pt idx="33">
                  <c:v>3.4220010141400907E-2</c:v>
                </c:pt>
                <c:pt idx="34">
                  <c:v>3.5175580089423196E-2</c:v>
                </c:pt>
                <c:pt idx="35">
                  <c:v>3.61314210704596E-2</c:v>
                </c:pt>
                <c:pt idx="36">
                  <c:v>3.708753308451012E-2</c:v>
                </c:pt>
                <c:pt idx="37">
                  <c:v>3.8043916131574762E-2</c:v>
                </c:pt>
                <c:pt idx="38">
                  <c:v>3.9000570211653512E-2</c:v>
                </c:pt>
                <c:pt idx="39">
                  <c:v>3.9957495324746378E-2</c:v>
                </c:pt>
                <c:pt idx="40">
                  <c:v>4.0914691470853366E-2</c:v>
                </c:pt>
                <c:pt idx="41">
                  <c:v>4.187215864997447E-2</c:v>
                </c:pt>
                <c:pt idx="42">
                  <c:v>4.2829896862109688E-2</c:v>
                </c:pt>
                <c:pt idx="43">
                  <c:v>4.3787906107259023E-2</c:v>
                </c:pt>
                <c:pt idx="44">
                  <c:v>4.4746186385422465E-2</c:v>
                </c:pt>
                <c:pt idx="45">
                  <c:v>4.5704737696600037E-2</c:v>
                </c:pt>
                <c:pt idx="46">
                  <c:v>4.6663560040791724E-2</c:v>
                </c:pt>
                <c:pt idx="47">
                  <c:v>4.7622653417997526E-2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C8-1147-B33D-50BCE584E990}"/>
            </c:ext>
          </c:extLst>
        </c:ser>
        <c:ser>
          <c:idx val="2"/>
          <c:order val="2"/>
          <c:tx>
            <c:v>Type 3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'[3]Granules '!$B$19:$B$66</c:f>
              <c:numCache>
                <c:formatCode>General</c:formatCode>
                <c:ptCount val="48"/>
                <c:pt idx="0">
                  <c:v>3.8550000000000004E-6</c:v>
                </c:pt>
                <c:pt idx="1">
                  <c:v>3.9999999999999998E-6</c:v>
                </c:pt>
                <c:pt idx="2">
                  <c:v>5.0000000000000004E-6</c:v>
                </c:pt>
                <c:pt idx="3">
                  <c:v>6.0000000000000002E-6</c:v>
                </c:pt>
                <c:pt idx="4">
                  <c:v>6.9999999999999999E-6</c:v>
                </c:pt>
                <c:pt idx="5">
                  <c:v>7.9999999999999996E-6</c:v>
                </c:pt>
                <c:pt idx="6">
                  <c:v>9.0000000000000002E-6</c:v>
                </c:pt>
                <c:pt idx="7">
                  <c:v>1.0000000000000001E-5</c:v>
                </c:pt>
                <c:pt idx="8">
                  <c:v>1.1E-5</c:v>
                </c:pt>
                <c:pt idx="9">
                  <c:v>1.2E-5</c:v>
                </c:pt>
                <c:pt idx="10">
                  <c:v>1.2999999999999999E-5</c:v>
                </c:pt>
                <c:pt idx="11">
                  <c:v>1.4E-5</c:v>
                </c:pt>
                <c:pt idx="12">
                  <c:v>1.5E-5</c:v>
                </c:pt>
                <c:pt idx="13">
                  <c:v>1.5999999999999999E-5</c:v>
                </c:pt>
                <c:pt idx="14">
                  <c:v>1.7E-5</c:v>
                </c:pt>
                <c:pt idx="15">
                  <c:v>1.8E-5</c:v>
                </c:pt>
                <c:pt idx="16">
                  <c:v>1.9000000000000001E-5</c:v>
                </c:pt>
                <c:pt idx="17">
                  <c:v>2.0000000000000002E-5</c:v>
                </c:pt>
                <c:pt idx="18">
                  <c:v>2.0999999999999999E-5</c:v>
                </c:pt>
                <c:pt idx="19">
                  <c:v>2.1999999999999999E-5</c:v>
                </c:pt>
                <c:pt idx="20">
                  <c:v>2.3E-5</c:v>
                </c:pt>
                <c:pt idx="21">
                  <c:v>2.4000000000000001E-5</c:v>
                </c:pt>
                <c:pt idx="22">
                  <c:v>2.5000000000000001E-5</c:v>
                </c:pt>
                <c:pt idx="23">
                  <c:v>2.5999999999999998E-5</c:v>
                </c:pt>
                <c:pt idx="24">
                  <c:v>2.6999999999999999E-5</c:v>
                </c:pt>
                <c:pt idx="25">
                  <c:v>2.8E-5</c:v>
                </c:pt>
                <c:pt idx="26">
                  <c:v>2.9E-5</c:v>
                </c:pt>
                <c:pt idx="27">
                  <c:v>3.0000000000000001E-5</c:v>
                </c:pt>
                <c:pt idx="28">
                  <c:v>3.1000000000000001E-5</c:v>
                </c:pt>
                <c:pt idx="29">
                  <c:v>3.1999999999999999E-5</c:v>
                </c:pt>
                <c:pt idx="30">
                  <c:v>3.3000000000000003E-5</c:v>
                </c:pt>
                <c:pt idx="31">
                  <c:v>3.4E-5</c:v>
                </c:pt>
                <c:pt idx="32">
                  <c:v>3.4999999999999997E-5</c:v>
                </c:pt>
                <c:pt idx="33">
                  <c:v>3.6000000000000001E-5</c:v>
                </c:pt>
                <c:pt idx="34">
                  <c:v>3.6999999999999998E-5</c:v>
                </c:pt>
                <c:pt idx="35">
                  <c:v>3.8000000000000002E-5</c:v>
                </c:pt>
                <c:pt idx="36">
                  <c:v>3.8999999999999999E-5</c:v>
                </c:pt>
                <c:pt idx="37">
                  <c:v>4.0000000000000003E-5</c:v>
                </c:pt>
                <c:pt idx="38">
                  <c:v>4.1E-5</c:v>
                </c:pt>
                <c:pt idx="39">
                  <c:v>4.1999999999999998E-5</c:v>
                </c:pt>
                <c:pt idx="40">
                  <c:v>4.3000000000000002E-5</c:v>
                </c:pt>
                <c:pt idx="41">
                  <c:v>4.3999999999999999E-5</c:v>
                </c:pt>
                <c:pt idx="42">
                  <c:v>4.5000000000000003E-5</c:v>
                </c:pt>
                <c:pt idx="43">
                  <c:v>4.6E-5</c:v>
                </c:pt>
                <c:pt idx="44">
                  <c:v>4.6999999999999997E-5</c:v>
                </c:pt>
                <c:pt idx="45">
                  <c:v>4.8000000000000001E-5</c:v>
                </c:pt>
                <c:pt idx="46">
                  <c:v>4.8999999999999998E-5</c:v>
                </c:pt>
                <c:pt idx="47">
                  <c:v>5.0000000000000002E-5</c:v>
                </c:pt>
              </c:numCache>
            </c:numRef>
          </c:xVal>
          <c:yVal>
            <c:numRef>
              <c:f>'[3]Granules '!$E$19:$E$66</c:f>
              <c:numCache>
                <c:formatCode>General</c:formatCode>
                <c:ptCount val="48"/>
                <c:pt idx="0">
                  <c:v>2.872738439569237E-3</c:v>
                </c:pt>
                <c:pt idx="1">
                  <c:v>2.9808736526858838E-3</c:v>
                </c:pt>
                <c:pt idx="2">
                  <c:v>3.7267946304334484E-3</c:v>
                </c:pt>
                <c:pt idx="3">
                  <c:v>4.4729966340114492E-3</c:v>
                </c:pt>
                <c:pt idx="4">
                  <c:v>5.2194796634198867E-3</c:v>
                </c:pt>
                <c:pt idx="5">
                  <c:v>5.9662437186587623E-3</c:v>
                </c:pt>
                <c:pt idx="6">
                  <c:v>6.7132887997280758E-3</c:v>
                </c:pt>
                <c:pt idx="7">
                  <c:v>7.4606149066278257E-3</c:v>
                </c:pt>
                <c:pt idx="8">
                  <c:v>8.208222039358011E-3</c:v>
                </c:pt>
                <c:pt idx="9">
                  <c:v>8.9561101979186361E-3</c:v>
                </c:pt>
                <c:pt idx="10">
                  <c:v>9.7042793823096957E-3</c:v>
                </c:pt>
                <c:pt idx="11">
                  <c:v>1.0452729592531195E-2</c:v>
                </c:pt>
                <c:pt idx="12">
                  <c:v>1.1201460828583131E-2</c:v>
                </c:pt>
                <c:pt idx="13">
                  <c:v>1.1950473090465503E-2</c:v>
                </c:pt>
                <c:pt idx="14">
                  <c:v>1.2699766378178313E-2</c:v>
                </c:pt>
                <c:pt idx="15">
                  <c:v>1.3449340691721561E-2</c:v>
                </c:pt>
                <c:pt idx="16">
                  <c:v>1.4199196031095243E-2</c:v>
                </c:pt>
                <c:pt idx="17">
                  <c:v>1.4949332396299366E-2</c:v>
                </c:pt>
                <c:pt idx="18">
                  <c:v>1.5699749787333919E-2</c:v>
                </c:pt>
                <c:pt idx="19">
                  <c:v>1.6450448204198918E-2</c:v>
                </c:pt>
                <c:pt idx="20">
                  <c:v>1.7201427646894349E-2</c:v>
                </c:pt>
                <c:pt idx="21">
                  <c:v>1.7952688115420223E-2</c:v>
                </c:pt>
                <c:pt idx="22">
                  <c:v>1.8704229609776527E-2</c:v>
                </c:pt>
                <c:pt idx="23">
                  <c:v>1.9456052129963271E-2</c:v>
                </c:pt>
                <c:pt idx="24">
                  <c:v>2.0208155675980451E-2</c:v>
                </c:pt>
                <c:pt idx="25">
                  <c:v>2.096054024782807E-2</c:v>
                </c:pt>
                <c:pt idx="26">
                  <c:v>2.1713205845506126E-2</c:v>
                </c:pt>
                <c:pt idx="27">
                  <c:v>2.2466152469014622E-2</c:v>
                </c:pt>
                <c:pt idx="28">
                  <c:v>2.321938011835355E-2</c:v>
                </c:pt>
                <c:pt idx="29">
                  <c:v>2.3972888793522915E-2</c:v>
                </c:pt>
                <c:pt idx="30">
                  <c:v>2.4726678494522723E-2</c:v>
                </c:pt>
                <c:pt idx="31">
                  <c:v>2.5480749221352964E-2</c:v>
                </c:pt>
                <c:pt idx="32">
                  <c:v>2.6235100974013641E-2</c:v>
                </c:pt>
                <c:pt idx="33">
                  <c:v>2.6989733752504762E-2</c:v>
                </c:pt>
                <c:pt idx="34">
                  <c:v>2.7744647556826312E-2</c:v>
                </c:pt>
                <c:pt idx="35">
                  <c:v>2.8499842386978298E-2</c:v>
                </c:pt>
                <c:pt idx="36">
                  <c:v>2.9255318242960723E-2</c:v>
                </c:pt>
                <c:pt idx="37">
                  <c:v>3.0011075124773596E-2</c:v>
                </c:pt>
                <c:pt idx="38">
                  <c:v>3.0767113032416891E-2</c:v>
                </c:pt>
                <c:pt idx="39">
                  <c:v>3.1523431965890629E-2</c:v>
                </c:pt>
                <c:pt idx="40">
                  <c:v>3.2280031925194817E-2</c:v>
                </c:pt>
                <c:pt idx="41">
                  <c:v>3.3036912910329418E-2</c:v>
                </c:pt>
                <c:pt idx="42">
                  <c:v>3.3794074921294472E-2</c:v>
                </c:pt>
                <c:pt idx="43">
                  <c:v>3.4551517958089951E-2</c:v>
                </c:pt>
                <c:pt idx="44">
                  <c:v>3.5309242020715878E-2</c:v>
                </c:pt>
                <c:pt idx="45">
                  <c:v>3.6067247109172244E-2</c:v>
                </c:pt>
                <c:pt idx="46">
                  <c:v>3.6825533223459044E-2</c:v>
                </c:pt>
                <c:pt idx="47">
                  <c:v>3.7584100363576275E-2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C8-1147-B33D-50BCE584E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576520"/>
        <c:axId val="301576912"/>
      </c:scatterChart>
      <c:valAx>
        <c:axId val="301576520"/>
        <c:scaling>
          <c:orientation val="minMax"/>
          <c:max val="5.0000000000000023E-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Superficial</a:t>
                </a:r>
                <a:r>
                  <a:rPr lang="en-ZA" baseline="0"/>
                  <a:t> velocity (m/s)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576912"/>
        <c:crosses val="autoZero"/>
        <c:crossBetween val="midCat"/>
      </c:valAx>
      <c:valAx>
        <c:axId val="30157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Hydraulic</a:t>
                </a:r>
                <a:r>
                  <a:rPr lang="en-ZA" baseline="0"/>
                  <a:t> head loss (Pa)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576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Type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'[3]Granules '!$H$19:$H$66</c:f>
              <c:numCache>
                <c:formatCode>General</c:formatCode>
                <c:ptCount val="48"/>
                <c:pt idx="0">
                  <c:v>37.214137208913776</c:v>
                </c:pt>
                <c:pt idx="1">
                  <c:v>35.865124735090653</c:v>
                </c:pt>
                <c:pt idx="2">
                  <c:v>28.692099788072522</c:v>
                </c:pt>
                <c:pt idx="3">
                  <c:v>23.910083156727104</c:v>
                </c:pt>
                <c:pt idx="4">
                  <c:v>20.494356991480377</c:v>
                </c:pt>
                <c:pt idx="5">
                  <c:v>17.932562367545327</c:v>
                </c:pt>
                <c:pt idx="6">
                  <c:v>15.940055437818067</c:v>
                </c:pt>
                <c:pt idx="7">
                  <c:v>14.346049894036261</c:v>
                </c:pt>
                <c:pt idx="8">
                  <c:v>13.041863540032967</c:v>
                </c:pt>
                <c:pt idx="9">
                  <c:v>11.955041578363552</c:v>
                </c:pt>
                <c:pt idx="10">
                  <c:v>11.03542299541251</c:v>
                </c:pt>
                <c:pt idx="11">
                  <c:v>10.247178495740188</c:v>
                </c:pt>
                <c:pt idx="12">
                  <c:v>9.5640332626908418</c:v>
                </c:pt>
                <c:pt idx="13">
                  <c:v>8.9662811837726633</c:v>
                </c:pt>
                <c:pt idx="14">
                  <c:v>8.4388528788448607</c:v>
                </c:pt>
                <c:pt idx="15">
                  <c:v>7.9700277189090336</c:v>
                </c:pt>
                <c:pt idx="16">
                  <c:v>7.5505525758085588</c:v>
                </c:pt>
                <c:pt idx="17">
                  <c:v>7.1730249470181304</c:v>
                </c:pt>
                <c:pt idx="18">
                  <c:v>6.8314523304934598</c:v>
                </c:pt>
                <c:pt idx="19">
                  <c:v>6.5209317700164835</c:v>
                </c:pt>
                <c:pt idx="20">
                  <c:v>6.2374129974070707</c:v>
                </c:pt>
                <c:pt idx="21">
                  <c:v>5.9775207891817761</c:v>
                </c:pt>
                <c:pt idx="22">
                  <c:v>5.7384199576145045</c:v>
                </c:pt>
                <c:pt idx="23">
                  <c:v>5.5177114977062551</c:v>
                </c:pt>
                <c:pt idx="24">
                  <c:v>5.3133518126060242</c:v>
                </c:pt>
                <c:pt idx="25">
                  <c:v>5.1235892478700942</c:v>
                </c:pt>
                <c:pt idx="26">
                  <c:v>4.9469137565642285</c:v>
                </c:pt>
                <c:pt idx="27">
                  <c:v>4.7820166313454209</c:v>
                </c:pt>
                <c:pt idx="28">
                  <c:v>4.6277580303342782</c:v>
                </c:pt>
                <c:pt idx="29">
                  <c:v>4.4831405918863316</c:v>
                </c:pt>
                <c:pt idx="30">
                  <c:v>4.3472878466776548</c:v>
                </c:pt>
                <c:pt idx="31">
                  <c:v>4.2194264394224303</c:v>
                </c:pt>
                <c:pt idx="32">
                  <c:v>4.0988713982960752</c:v>
                </c:pt>
                <c:pt idx="33">
                  <c:v>3.9850138594545168</c:v>
                </c:pt>
                <c:pt idx="34">
                  <c:v>3.8773107821719628</c:v>
                </c:pt>
                <c:pt idx="35">
                  <c:v>3.7752762879042794</c:v>
                </c:pt>
                <c:pt idx="36">
                  <c:v>3.6784743318041699</c:v>
                </c:pt>
                <c:pt idx="37">
                  <c:v>3.5865124735090652</c:v>
                </c:pt>
                <c:pt idx="38">
                  <c:v>3.4990365595210395</c:v>
                </c:pt>
                <c:pt idx="39">
                  <c:v>3.4157261652467299</c:v>
                </c:pt>
                <c:pt idx="40">
                  <c:v>3.3362906730316886</c:v>
                </c:pt>
                <c:pt idx="41">
                  <c:v>3.2604658850082417</c:v>
                </c:pt>
                <c:pt idx="42">
                  <c:v>3.1880110875636141</c:v>
                </c:pt>
                <c:pt idx="43">
                  <c:v>3.1187064987035353</c:v>
                </c:pt>
                <c:pt idx="44">
                  <c:v>3.0523510412843113</c:v>
                </c:pt>
                <c:pt idx="45">
                  <c:v>2.988760394590888</c:v>
                </c:pt>
                <c:pt idx="46">
                  <c:v>2.9277652844971964</c:v>
                </c:pt>
                <c:pt idx="47">
                  <c:v>2.8692099788072523</c:v>
                </c:pt>
              </c:numCache>
            </c:numRef>
          </c:xVal>
          <c:yVal>
            <c:numRef>
              <c:f>'[3]Granules '!$C$19:$C$66</c:f>
              <c:numCache>
                <c:formatCode>General</c:formatCode>
                <c:ptCount val="48"/>
                <c:pt idx="0">
                  <c:v>1.0886229516712425E-3</c:v>
                </c:pt>
                <c:pt idx="1">
                  <c:v>1.1295999437300488E-3</c:v>
                </c:pt>
                <c:pt idx="2">
                  <c:v>1.4122592802470423E-3</c:v>
                </c:pt>
                <c:pt idx="3">
                  <c:v>1.6950223569978285E-3</c:v>
                </c:pt>
                <c:pt idx="4">
                  <c:v>1.9778891739824071E-3</c:v>
                </c:pt>
                <c:pt idx="5">
                  <c:v>2.2608597312007784E-3</c:v>
                </c:pt>
                <c:pt idx="6">
                  <c:v>2.5439340286529427E-3</c:v>
                </c:pt>
                <c:pt idx="7">
                  <c:v>2.8271120663388985E-3</c:v>
                </c:pt>
                <c:pt idx="8">
                  <c:v>3.1103938442586482E-3</c:v>
                </c:pt>
                <c:pt idx="9">
                  <c:v>3.3937793624121896E-3</c:v>
                </c:pt>
                <c:pt idx="10">
                  <c:v>3.6772686207995238E-3</c:v>
                </c:pt>
                <c:pt idx="11">
                  <c:v>3.9608616194206506E-3</c:v>
                </c:pt>
                <c:pt idx="12">
                  <c:v>4.2445583582755696E-3</c:v>
                </c:pt>
                <c:pt idx="13">
                  <c:v>4.5283588373642809E-3</c:v>
                </c:pt>
                <c:pt idx="14">
                  <c:v>4.8122630566867861E-3</c:v>
                </c:pt>
                <c:pt idx="15">
                  <c:v>5.0962710162430836E-3</c:v>
                </c:pt>
                <c:pt idx="16">
                  <c:v>5.3803827160331724E-3</c:v>
                </c:pt>
                <c:pt idx="17">
                  <c:v>5.6645981560570543E-3</c:v>
                </c:pt>
                <c:pt idx="18">
                  <c:v>5.9489173363147284E-3</c:v>
                </c:pt>
                <c:pt idx="19">
                  <c:v>6.2333402568061965E-3</c:v>
                </c:pt>
                <c:pt idx="20">
                  <c:v>6.5178669175314551E-3</c:v>
                </c:pt>
                <c:pt idx="21">
                  <c:v>6.8024973184905094E-3</c:v>
                </c:pt>
                <c:pt idx="22">
                  <c:v>7.087231459683355E-3</c:v>
                </c:pt>
                <c:pt idx="23">
                  <c:v>7.3720693411099911E-3</c:v>
                </c:pt>
                <c:pt idx="24">
                  <c:v>7.6570109627704204E-3</c:v>
                </c:pt>
                <c:pt idx="25">
                  <c:v>7.9420563246646435E-3</c:v>
                </c:pt>
                <c:pt idx="26">
                  <c:v>8.2272054267926598E-3</c:v>
                </c:pt>
                <c:pt idx="27">
                  <c:v>8.5124582691544683E-3</c:v>
                </c:pt>
                <c:pt idx="28">
                  <c:v>8.7978148517500673E-3</c:v>
                </c:pt>
                <c:pt idx="29">
                  <c:v>9.0832751745794603E-3</c:v>
                </c:pt>
                <c:pt idx="30">
                  <c:v>9.3688392376426472E-3</c:v>
                </c:pt>
                <c:pt idx="31">
                  <c:v>9.6545070409396246E-3</c:v>
                </c:pt>
                <c:pt idx="32">
                  <c:v>9.9402785844703943E-3</c:v>
                </c:pt>
                <c:pt idx="33">
                  <c:v>1.022615386823496E-2</c:v>
                </c:pt>
                <c:pt idx="34">
                  <c:v>1.0512132892233315E-2</c:v>
                </c:pt>
                <c:pt idx="35">
                  <c:v>1.0798215656465462E-2</c:v>
                </c:pt>
                <c:pt idx="36">
                  <c:v>1.1084402160931404E-2</c:v>
                </c:pt>
                <c:pt idx="37">
                  <c:v>1.1370692405631136E-2</c:v>
                </c:pt>
                <c:pt idx="38">
                  <c:v>1.1657086390564663E-2</c:v>
                </c:pt>
                <c:pt idx="39">
                  <c:v>1.194358411573198E-2</c:v>
                </c:pt>
                <c:pt idx="40">
                  <c:v>1.2230185581133092E-2</c:v>
                </c:pt>
                <c:pt idx="41">
                  <c:v>1.2516890786767997E-2</c:v>
                </c:pt>
                <c:pt idx="42">
                  <c:v>1.2803699732636693E-2</c:v>
                </c:pt>
                <c:pt idx="43">
                  <c:v>1.309061241873918E-2</c:v>
                </c:pt>
                <c:pt idx="44">
                  <c:v>1.3377628845075462E-2</c:v>
                </c:pt>
                <c:pt idx="45">
                  <c:v>1.3664749011645537E-2</c:v>
                </c:pt>
                <c:pt idx="46">
                  <c:v>1.3951972918449405E-2</c:v>
                </c:pt>
                <c:pt idx="47">
                  <c:v>1.4239300565487065E-2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F5-5146-9E4E-C1D4D5FB828B}"/>
            </c:ext>
          </c:extLst>
        </c:ser>
        <c:ser>
          <c:idx val="1"/>
          <c:order val="1"/>
          <c:tx>
            <c:v>Type 2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'[3]Granules '!$H$19:$H$66</c:f>
              <c:numCache>
                <c:formatCode>General</c:formatCode>
                <c:ptCount val="48"/>
                <c:pt idx="0">
                  <c:v>37.214137208913776</c:v>
                </c:pt>
                <c:pt idx="1">
                  <c:v>35.865124735090653</c:v>
                </c:pt>
                <c:pt idx="2">
                  <c:v>28.692099788072522</c:v>
                </c:pt>
                <c:pt idx="3">
                  <c:v>23.910083156727104</c:v>
                </c:pt>
                <c:pt idx="4">
                  <c:v>20.494356991480377</c:v>
                </c:pt>
                <c:pt idx="5">
                  <c:v>17.932562367545327</c:v>
                </c:pt>
                <c:pt idx="6">
                  <c:v>15.940055437818067</c:v>
                </c:pt>
                <c:pt idx="7">
                  <c:v>14.346049894036261</c:v>
                </c:pt>
                <c:pt idx="8">
                  <c:v>13.041863540032967</c:v>
                </c:pt>
                <c:pt idx="9">
                  <c:v>11.955041578363552</c:v>
                </c:pt>
                <c:pt idx="10">
                  <c:v>11.03542299541251</c:v>
                </c:pt>
                <c:pt idx="11">
                  <c:v>10.247178495740188</c:v>
                </c:pt>
                <c:pt idx="12">
                  <c:v>9.5640332626908418</c:v>
                </c:pt>
                <c:pt idx="13">
                  <c:v>8.9662811837726633</c:v>
                </c:pt>
                <c:pt idx="14">
                  <c:v>8.4388528788448607</c:v>
                </c:pt>
                <c:pt idx="15">
                  <c:v>7.9700277189090336</c:v>
                </c:pt>
                <c:pt idx="16">
                  <c:v>7.5505525758085588</c:v>
                </c:pt>
                <c:pt idx="17">
                  <c:v>7.1730249470181304</c:v>
                </c:pt>
                <c:pt idx="18">
                  <c:v>6.8314523304934598</c:v>
                </c:pt>
                <c:pt idx="19">
                  <c:v>6.5209317700164835</c:v>
                </c:pt>
                <c:pt idx="20">
                  <c:v>6.2374129974070707</c:v>
                </c:pt>
                <c:pt idx="21">
                  <c:v>5.9775207891817761</c:v>
                </c:pt>
                <c:pt idx="22">
                  <c:v>5.7384199576145045</c:v>
                </c:pt>
                <c:pt idx="23">
                  <c:v>5.5177114977062551</c:v>
                </c:pt>
                <c:pt idx="24">
                  <c:v>5.3133518126060242</c:v>
                </c:pt>
                <c:pt idx="25">
                  <c:v>5.1235892478700942</c:v>
                </c:pt>
                <c:pt idx="26">
                  <c:v>4.9469137565642285</c:v>
                </c:pt>
                <c:pt idx="27">
                  <c:v>4.7820166313454209</c:v>
                </c:pt>
                <c:pt idx="28">
                  <c:v>4.6277580303342782</c:v>
                </c:pt>
                <c:pt idx="29">
                  <c:v>4.4831405918863316</c:v>
                </c:pt>
                <c:pt idx="30">
                  <c:v>4.3472878466776548</c:v>
                </c:pt>
                <c:pt idx="31">
                  <c:v>4.2194264394224303</c:v>
                </c:pt>
                <c:pt idx="32">
                  <c:v>4.0988713982960752</c:v>
                </c:pt>
                <c:pt idx="33">
                  <c:v>3.9850138594545168</c:v>
                </c:pt>
                <c:pt idx="34">
                  <c:v>3.8773107821719628</c:v>
                </c:pt>
                <c:pt idx="35">
                  <c:v>3.7752762879042794</c:v>
                </c:pt>
                <c:pt idx="36">
                  <c:v>3.6784743318041699</c:v>
                </c:pt>
                <c:pt idx="37">
                  <c:v>3.5865124735090652</c:v>
                </c:pt>
                <c:pt idx="38">
                  <c:v>3.4990365595210395</c:v>
                </c:pt>
                <c:pt idx="39">
                  <c:v>3.4157261652467299</c:v>
                </c:pt>
                <c:pt idx="40">
                  <c:v>3.3362906730316886</c:v>
                </c:pt>
                <c:pt idx="41">
                  <c:v>3.2604658850082417</c:v>
                </c:pt>
                <c:pt idx="42">
                  <c:v>3.1880110875636141</c:v>
                </c:pt>
                <c:pt idx="43">
                  <c:v>3.1187064987035353</c:v>
                </c:pt>
                <c:pt idx="44">
                  <c:v>3.0523510412843113</c:v>
                </c:pt>
                <c:pt idx="45">
                  <c:v>2.988760394590888</c:v>
                </c:pt>
                <c:pt idx="46">
                  <c:v>2.9277652844971964</c:v>
                </c:pt>
                <c:pt idx="47">
                  <c:v>2.8692099788072523</c:v>
                </c:pt>
              </c:numCache>
            </c:numRef>
          </c:xVal>
          <c:yVal>
            <c:numRef>
              <c:f>'[3]Granules '!$D$19:$D$66</c:f>
              <c:numCache>
                <c:formatCode>General</c:formatCode>
                <c:ptCount val="48"/>
                <c:pt idx="0">
                  <c:v>3.6475996859914538E-3</c:v>
                </c:pt>
                <c:pt idx="1">
                  <c:v>3.7848772361411013E-3</c:v>
                </c:pt>
                <c:pt idx="2">
                  <c:v>4.7317741277116679E-3</c:v>
                </c:pt>
                <c:pt idx="3">
                  <c:v>5.6789420522963489E-3</c:v>
                </c:pt>
                <c:pt idx="4">
                  <c:v>6.626381009895147E-3</c:v>
                </c:pt>
                <c:pt idx="5">
                  <c:v>7.5740910005080639E-3</c:v>
                </c:pt>
                <c:pt idx="6">
                  <c:v>8.5220720241350953E-3</c:v>
                </c:pt>
                <c:pt idx="7">
                  <c:v>9.4703240807762438E-3</c:v>
                </c:pt>
                <c:pt idx="8">
                  <c:v>1.0418847170431508E-2</c:v>
                </c:pt>
                <c:pt idx="9">
                  <c:v>1.1367641293100885E-2</c:v>
                </c:pt>
                <c:pt idx="10">
                  <c:v>1.2316706448784383E-2</c:v>
                </c:pt>
                <c:pt idx="11">
                  <c:v>1.3266042637481993E-2</c:v>
                </c:pt>
                <c:pt idx="12">
                  <c:v>1.4215649859193727E-2</c:v>
                </c:pt>
                <c:pt idx="13">
                  <c:v>1.5165528113919571E-2</c:v>
                </c:pt>
                <c:pt idx="14">
                  <c:v>1.611567740165953E-2</c:v>
                </c:pt>
                <c:pt idx="15">
                  <c:v>1.706609772241361E-2</c:v>
                </c:pt>
                <c:pt idx="16">
                  <c:v>1.8016789076181806E-2</c:v>
                </c:pt>
                <c:pt idx="17">
                  <c:v>1.896775146296412E-2</c:v>
                </c:pt>
                <c:pt idx="18">
                  <c:v>1.9918984882760539E-2</c:v>
                </c:pt>
                <c:pt idx="19">
                  <c:v>2.0870489335571087E-2</c:v>
                </c:pt>
                <c:pt idx="20">
                  <c:v>2.1822264821395744E-2</c:v>
                </c:pt>
                <c:pt idx="21">
                  <c:v>2.277431134023452E-2</c:v>
                </c:pt>
                <c:pt idx="22">
                  <c:v>2.3726628892087414E-2</c:v>
                </c:pt>
                <c:pt idx="23">
                  <c:v>2.4679217476954424E-2</c:v>
                </c:pt>
                <c:pt idx="24">
                  <c:v>2.5632077094835542E-2</c:v>
                </c:pt>
                <c:pt idx="25">
                  <c:v>2.6585207745730786E-2</c:v>
                </c:pt>
                <c:pt idx="26">
                  <c:v>2.7538609429640148E-2</c:v>
                </c:pt>
                <c:pt idx="27">
                  <c:v>2.8492282146563623E-2</c:v>
                </c:pt>
                <c:pt idx="28">
                  <c:v>2.944622589650121E-2</c:v>
                </c:pt>
                <c:pt idx="29">
                  <c:v>3.0400440679452918E-2</c:v>
                </c:pt>
                <c:pt idx="30">
                  <c:v>3.1354926495418739E-2</c:v>
                </c:pt>
                <c:pt idx="31">
                  <c:v>3.2309683344398675E-2</c:v>
                </c:pt>
                <c:pt idx="32">
                  <c:v>3.3264711226392733E-2</c:v>
                </c:pt>
                <c:pt idx="33">
                  <c:v>3.4220010141400907E-2</c:v>
                </c:pt>
                <c:pt idx="34">
                  <c:v>3.5175580089423196E-2</c:v>
                </c:pt>
                <c:pt idx="35">
                  <c:v>3.61314210704596E-2</c:v>
                </c:pt>
                <c:pt idx="36">
                  <c:v>3.708753308451012E-2</c:v>
                </c:pt>
                <c:pt idx="37">
                  <c:v>3.8043916131574762E-2</c:v>
                </c:pt>
                <c:pt idx="38">
                  <c:v>3.9000570211653512E-2</c:v>
                </c:pt>
                <c:pt idx="39">
                  <c:v>3.9957495324746378E-2</c:v>
                </c:pt>
                <c:pt idx="40">
                  <c:v>4.0914691470853366E-2</c:v>
                </c:pt>
                <c:pt idx="41">
                  <c:v>4.187215864997447E-2</c:v>
                </c:pt>
                <c:pt idx="42">
                  <c:v>4.2829896862109688E-2</c:v>
                </c:pt>
                <c:pt idx="43">
                  <c:v>4.3787906107259023E-2</c:v>
                </c:pt>
                <c:pt idx="44">
                  <c:v>4.4746186385422465E-2</c:v>
                </c:pt>
                <c:pt idx="45">
                  <c:v>4.5704737696600037E-2</c:v>
                </c:pt>
                <c:pt idx="46">
                  <c:v>4.6663560040791724E-2</c:v>
                </c:pt>
                <c:pt idx="47">
                  <c:v>4.7622653417997526E-2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F5-5146-9E4E-C1D4D5FB828B}"/>
            </c:ext>
          </c:extLst>
        </c:ser>
        <c:ser>
          <c:idx val="2"/>
          <c:order val="2"/>
          <c:tx>
            <c:v>Type 3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4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'[3]Granules '!$H$19:$H$66</c:f>
              <c:numCache>
                <c:formatCode>General</c:formatCode>
                <c:ptCount val="48"/>
                <c:pt idx="0">
                  <c:v>37.214137208913776</c:v>
                </c:pt>
                <c:pt idx="1">
                  <c:v>35.865124735090653</c:v>
                </c:pt>
                <c:pt idx="2">
                  <c:v>28.692099788072522</c:v>
                </c:pt>
                <c:pt idx="3">
                  <c:v>23.910083156727104</c:v>
                </c:pt>
                <c:pt idx="4">
                  <c:v>20.494356991480377</c:v>
                </c:pt>
                <c:pt idx="5">
                  <c:v>17.932562367545327</c:v>
                </c:pt>
                <c:pt idx="6">
                  <c:v>15.940055437818067</c:v>
                </c:pt>
                <c:pt idx="7">
                  <c:v>14.346049894036261</c:v>
                </c:pt>
                <c:pt idx="8">
                  <c:v>13.041863540032967</c:v>
                </c:pt>
                <c:pt idx="9">
                  <c:v>11.955041578363552</c:v>
                </c:pt>
                <c:pt idx="10">
                  <c:v>11.03542299541251</c:v>
                </c:pt>
                <c:pt idx="11">
                  <c:v>10.247178495740188</c:v>
                </c:pt>
                <c:pt idx="12">
                  <c:v>9.5640332626908418</c:v>
                </c:pt>
                <c:pt idx="13">
                  <c:v>8.9662811837726633</c:v>
                </c:pt>
                <c:pt idx="14">
                  <c:v>8.4388528788448607</c:v>
                </c:pt>
                <c:pt idx="15">
                  <c:v>7.9700277189090336</c:v>
                </c:pt>
                <c:pt idx="16">
                  <c:v>7.5505525758085588</c:v>
                </c:pt>
                <c:pt idx="17">
                  <c:v>7.1730249470181304</c:v>
                </c:pt>
                <c:pt idx="18">
                  <c:v>6.8314523304934598</c:v>
                </c:pt>
                <c:pt idx="19">
                  <c:v>6.5209317700164835</c:v>
                </c:pt>
                <c:pt idx="20">
                  <c:v>6.2374129974070707</c:v>
                </c:pt>
                <c:pt idx="21">
                  <c:v>5.9775207891817761</c:v>
                </c:pt>
                <c:pt idx="22">
                  <c:v>5.7384199576145045</c:v>
                </c:pt>
                <c:pt idx="23">
                  <c:v>5.5177114977062551</c:v>
                </c:pt>
                <c:pt idx="24">
                  <c:v>5.3133518126060242</c:v>
                </c:pt>
                <c:pt idx="25">
                  <c:v>5.1235892478700942</c:v>
                </c:pt>
                <c:pt idx="26">
                  <c:v>4.9469137565642285</c:v>
                </c:pt>
                <c:pt idx="27">
                  <c:v>4.7820166313454209</c:v>
                </c:pt>
                <c:pt idx="28">
                  <c:v>4.6277580303342782</c:v>
                </c:pt>
                <c:pt idx="29">
                  <c:v>4.4831405918863316</c:v>
                </c:pt>
                <c:pt idx="30">
                  <c:v>4.3472878466776548</c:v>
                </c:pt>
                <c:pt idx="31">
                  <c:v>4.2194264394224303</c:v>
                </c:pt>
                <c:pt idx="32">
                  <c:v>4.0988713982960752</c:v>
                </c:pt>
                <c:pt idx="33">
                  <c:v>3.9850138594545168</c:v>
                </c:pt>
                <c:pt idx="34">
                  <c:v>3.8773107821719628</c:v>
                </c:pt>
                <c:pt idx="35">
                  <c:v>3.7752762879042794</c:v>
                </c:pt>
                <c:pt idx="36">
                  <c:v>3.6784743318041699</c:v>
                </c:pt>
                <c:pt idx="37">
                  <c:v>3.5865124735090652</c:v>
                </c:pt>
                <c:pt idx="38">
                  <c:v>3.4990365595210395</c:v>
                </c:pt>
                <c:pt idx="39">
                  <c:v>3.4157261652467299</c:v>
                </c:pt>
                <c:pt idx="40">
                  <c:v>3.3362906730316886</c:v>
                </c:pt>
                <c:pt idx="41">
                  <c:v>3.2604658850082417</c:v>
                </c:pt>
                <c:pt idx="42">
                  <c:v>3.1880110875636141</c:v>
                </c:pt>
                <c:pt idx="43">
                  <c:v>3.1187064987035353</c:v>
                </c:pt>
                <c:pt idx="44">
                  <c:v>3.0523510412843113</c:v>
                </c:pt>
                <c:pt idx="45">
                  <c:v>2.988760394590888</c:v>
                </c:pt>
                <c:pt idx="46">
                  <c:v>2.9277652844971964</c:v>
                </c:pt>
                <c:pt idx="47">
                  <c:v>2.8692099788072523</c:v>
                </c:pt>
              </c:numCache>
            </c:numRef>
          </c:xVal>
          <c:yVal>
            <c:numRef>
              <c:f>'[3]Granules '!$E$19:$E$66</c:f>
              <c:numCache>
                <c:formatCode>General</c:formatCode>
                <c:ptCount val="48"/>
                <c:pt idx="0">
                  <c:v>2.872738439569237E-3</c:v>
                </c:pt>
                <c:pt idx="1">
                  <c:v>2.9808736526858838E-3</c:v>
                </c:pt>
                <c:pt idx="2">
                  <c:v>3.7267946304334484E-3</c:v>
                </c:pt>
                <c:pt idx="3">
                  <c:v>4.4729966340114492E-3</c:v>
                </c:pt>
                <c:pt idx="4">
                  <c:v>5.2194796634198867E-3</c:v>
                </c:pt>
                <c:pt idx="5">
                  <c:v>5.9662437186587623E-3</c:v>
                </c:pt>
                <c:pt idx="6">
                  <c:v>6.7132887997280758E-3</c:v>
                </c:pt>
                <c:pt idx="7">
                  <c:v>7.4606149066278257E-3</c:v>
                </c:pt>
                <c:pt idx="8">
                  <c:v>8.208222039358011E-3</c:v>
                </c:pt>
                <c:pt idx="9">
                  <c:v>8.9561101979186361E-3</c:v>
                </c:pt>
                <c:pt idx="10">
                  <c:v>9.7042793823096957E-3</c:v>
                </c:pt>
                <c:pt idx="11">
                  <c:v>1.0452729592531195E-2</c:v>
                </c:pt>
                <c:pt idx="12">
                  <c:v>1.1201460828583131E-2</c:v>
                </c:pt>
                <c:pt idx="13">
                  <c:v>1.1950473090465503E-2</c:v>
                </c:pt>
                <c:pt idx="14">
                  <c:v>1.2699766378178313E-2</c:v>
                </c:pt>
                <c:pt idx="15">
                  <c:v>1.3449340691721561E-2</c:v>
                </c:pt>
                <c:pt idx="16">
                  <c:v>1.4199196031095243E-2</c:v>
                </c:pt>
                <c:pt idx="17">
                  <c:v>1.4949332396299366E-2</c:v>
                </c:pt>
                <c:pt idx="18">
                  <c:v>1.5699749787333919E-2</c:v>
                </c:pt>
                <c:pt idx="19">
                  <c:v>1.6450448204198918E-2</c:v>
                </c:pt>
                <c:pt idx="20">
                  <c:v>1.7201427646894349E-2</c:v>
                </c:pt>
                <c:pt idx="21">
                  <c:v>1.7952688115420223E-2</c:v>
                </c:pt>
                <c:pt idx="22">
                  <c:v>1.8704229609776527E-2</c:v>
                </c:pt>
                <c:pt idx="23">
                  <c:v>1.9456052129963271E-2</c:v>
                </c:pt>
                <c:pt idx="24">
                  <c:v>2.0208155675980451E-2</c:v>
                </c:pt>
                <c:pt idx="25">
                  <c:v>2.096054024782807E-2</c:v>
                </c:pt>
                <c:pt idx="26">
                  <c:v>2.1713205845506126E-2</c:v>
                </c:pt>
                <c:pt idx="27">
                  <c:v>2.2466152469014622E-2</c:v>
                </c:pt>
                <c:pt idx="28">
                  <c:v>2.321938011835355E-2</c:v>
                </c:pt>
                <c:pt idx="29">
                  <c:v>2.3972888793522915E-2</c:v>
                </c:pt>
                <c:pt idx="30">
                  <c:v>2.4726678494522723E-2</c:v>
                </c:pt>
                <c:pt idx="31">
                  <c:v>2.5480749221352964E-2</c:v>
                </c:pt>
                <c:pt idx="32">
                  <c:v>2.6235100974013641E-2</c:v>
                </c:pt>
                <c:pt idx="33">
                  <c:v>2.6989733752504762E-2</c:v>
                </c:pt>
                <c:pt idx="34">
                  <c:v>2.7744647556826312E-2</c:v>
                </c:pt>
                <c:pt idx="35">
                  <c:v>2.8499842386978298E-2</c:v>
                </c:pt>
                <c:pt idx="36">
                  <c:v>2.9255318242960723E-2</c:v>
                </c:pt>
                <c:pt idx="37">
                  <c:v>3.0011075124773596E-2</c:v>
                </c:pt>
                <c:pt idx="38">
                  <c:v>3.0767113032416891E-2</c:v>
                </c:pt>
                <c:pt idx="39">
                  <c:v>3.1523431965890629E-2</c:v>
                </c:pt>
                <c:pt idx="40">
                  <c:v>3.2280031925194817E-2</c:v>
                </c:pt>
                <c:pt idx="41">
                  <c:v>3.3036912910329418E-2</c:v>
                </c:pt>
                <c:pt idx="42">
                  <c:v>3.3794074921294472E-2</c:v>
                </c:pt>
                <c:pt idx="43">
                  <c:v>3.4551517958089951E-2</c:v>
                </c:pt>
                <c:pt idx="44">
                  <c:v>3.5309242020715878E-2</c:v>
                </c:pt>
                <c:pt idx="45">
                  <c:v>3.6067247109172244E-2</c:v>
                </c:pt>
                <c:pt idx="46">
                  <c:v>3.6825533223459044E-2</c:v>
                </c:pt>
                <c:pt idx="47">
                  <c:v>3.7584100363576275E-2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F5-5146-9E4E-C1D4D5FB8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580224"/>
        <c:axId val="301580616"/>
      </c:scatterChart>
      <c:valAx>
        <c:axId val="301580224"/>
        <c:scaling>
          <c:orientation val="minMax"/>
          <c:max val="38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Hydraulic</a:t>
                </a:r>
                <a:r>
                  <a:rPr lang="en-US" baseline="0"/>
                  <a:t> retention time (Hrs)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580616"/>
        <c:crosses val="autoZero"/>
        <c:crossBetween val="midCat"/>
      </c:valAx>
      <c:valAx>
        <c:axId val="301580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Hydraulic</a:t>
                </a:r>
                <a:r>
                  <a:rPr lang="en-US" baseline="0"/>
                  <a:t> head loss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580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Type 1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'[3]Granules '!$C$19:$C$66</c:f>
              <c:numCache>
                <c:formatCode>General</c:formatCode>
                <c:ptCount val="48"/>
                <c:pt idx="0">
                  <c:v>1.0886229516712425E-3</c:v>
                </c:pt>
                <c:pt idx="1">
                  <c:v>1.1295999437300488E-3</c:v>
                </c:pt>
                <c:pt idx="2">
                  <c:v>1.4122592802470423E-3</c:v>
                </c:pt>
                <c:pt idx="3">
                  <c:v>1.6950223569978285E-3</c:v>
                </c:pt>
                <c:pt idx="4">
                  <c:v>1.9778891739824071E-3</c:v>
                </c:pt>
                <c:pt idx="5">
                  <c:v>2.2608597312007784E-3</c:v>
                </c:pt>
                <c:pt idx="6">
                  <c:v>2.5439340286529427E-3</c:v>
                </c:pt>
                <c:pt idx="7">
                  <c:v>2.8271120663388985E-3</c:v>
                </c:pt>
                <c:pt idx="8">
                  <c:v>3.1103938442586482E-3</c:v>
                </c:pt>
                <c:pt idx="9">
                  <c:v>3.3937793624121896E-3</c:v>
                </c:pt>
                <c:pt idx="10">
                  <c:v>3.6772686207995238E-3</c:v>
                </c:pt>
                <c:pt idx="11">
                  <c:v>3.9608616194206506E-3</c:v>
                </c:pt>
                <c:pt idx="12">
                  <c:v>4.2445583582755696E-3</c:v>
                </c:pt>
                <c:pt idx="13">
                  <c:v>4.5283588373642809E-3</c:v>
                </c:pt>
                <c:pt idx="14">
                  <c:v>4.8122630566867861E-3</c:v>
                </c:pt>
                <c:pt idx="15">
                  <c:v>5.0962710162430836E-3</c:v>
                </c:pt>
                <c:pt idx="16">
                  <c:v>5.3803827160331724E-3</c:v>
                </c:pt>
                <c:pt idx="17">
                  <c:v>5.6645981560570543E-3</c:v>
                </c:pt>
                <c:pt idx="18">
                  <c:v>5.9489173363147284E-3</c:v>
                </c:pt>
                <c:pt idx="19">
                  <c:v>6.2333402568061965E-3</c:v>
                </c:pt>
                <c:pt idx="20">
                  <c:v>6.5178669175314551E-3</c:v>
                </c:pt>
                <c:pt idx="21">
                  <c:v>6.8024973184905094E-3</c:v>
                </c:pt>
                <c:pt idx="22">
                  <c:v>7.087231459683355E-3</c:v>
                </c:pt>
                <c:pt idx="23">
                  <c:v>7.3720693411099911E-3</c:v>
                </c:pt>
                <c:pt idx="24">
                  <c:v>7.6570109627704204E-3</c:v>
                </c:pt>
                <c:pt idx="25">
                  <c:v>7.9420563246646435E-3</c:v>
                </c:pt>
                <c:pt idx="26">
                  <c:v>8.2272054267926598E-3</c:v>
                </c:pt>
                <c:pt idx="27">
                  <c:v>8.5124582691544683E-3</c:v>
                </c:pt>
                <c:pt idx="28">
                  <c:v>8.7978148517500673E-3</c:v>
                </c:pt>
                <c:pt idx="29">
                  <c:v>9.0832751745794603E-3</c:v>
                </c:pt>
                <c:pt idx="30">
                  <c:v>9.3688392376426472E-3</c:v>
                </c:pt>
                <c:pt idx="31">
                  <c:v>9.6545070409396246E-3</c:v>
                </c:pt>
                <c:pt idx="32">
                  <c:v>9.9402785844703943E-3</c:v>
                </c:pt>
                <c:pt idx="33">
                  <c:v>1.022615386823496E-2</c:v>
                </c:pt>
                <c:pt idx="34">
                  <c:v>1.0512132892233315E-2</c:v>
                </c:pt>
                <c:pt idx="35">
                  <c:v>1.0798215656465462E-2</c:v>
                </c:pt>
                <c:pt idx="36">
                  <c:v>1.1084402160931404E-2</c:v>
                </c:pt>
                <c:pt idx="37">
                  <c:v>1.1370692405631136E-2</c:v>
                </c:pt>
                <c:pt idx="38">
                  <c:v>1.1657086390564663E-2</c:v>
                </c:pt>
                <c:pt idx="39">
                  <c:v>1.194358411573198E-2</c:v>
                </c:pt>
                <c:pt idx="40">
                  <c:v>1.2230185581133092E-2</c:v>
                </c:pt>
                <c:pt idx="41">
                  <c:v>1.2516890786767997E-2</c:v>
                </c:pt>
                <c:pt idx="42">
                  <c:v>1.2803699732636693E-2</c:v>
                </c:pt>
                <c:pt idx="43">
                  <c:v>1.309061241873918E-2</c:v>
                </c:pt>
                <c:pt idx="44">
                  <c:v>1.3377628845075462E-2</c:v>
                </c:pt>
                <c:pt idx="45">
                  <c:v>1.3664749011645537E-2</c:v>
                </c:pt>
                <c:pt idx="46">
                  <c:v>1.3951972918449405E-2</c:v>
                </c:pt>
                <c:pt idx="47">
                  <c:v>1.4239300565487065E-2</c:v>
                </c:pt>
              </c:numCache>
            </c:numRef>
          </c:xVal>
          <c:yVal>
            <c:numRef>
              <c:f>'[3]Granules '!$H$19:$H$66</c:f>
              <c:numCache>
                <c:formatCode>General</c:formatCode>
                <c:ptCount val="48"/>
                <c:pt idx="0">
                  <c:v>37.214137208913776</c:v>
                </c:pt>
                <c:pt idx="1">
                  <c:v>35.865124735090653</c:v>
                </c:pt>
                <c:pt idx="2">
                  <c:v>28.692099788072522</c:v>
                </c:pt>
                <c:pt idx="3">
                  <c:v>23.910083156727104</c:v>
                </c:pt>
                <c:pt idx="4">
                  <c:v>20.494356991480377</c:v>
                </c:pt>
                <c:pt idx="5">
                  <c:v>17.932562367545327</c:v>
                </c:pt>
                <c:pt idx="6">
                  <c:v>15.940055437818067</c:v>
                </c:pt>
                <c:pt idx="7">
                  <c:v>14.346049894036261</c:v>
                </c:pt>
                <c:pt idx="8">
                  <c:v>13.041863540032967</c:v>
                </c:pt>
                <c:pt idx="9">
                  <c:v>11.955041578363552</c:v>
                </c:pt>
                <c:pt idx="10">
                  <c:v>11.03542299541251</c:v>
                </c:pt>
                <c:pt idx="11">
                  <c:v>10.247178495740188</c:v>
                </c:pt>
                <c:pt idx="12">
                  <c:v>9.5640332626908418</c:v>
                </c:pt>
                <c:pt idx="13">
                  <c:v>8.9662811837726633</c:v>
                </c:pt>
                <c:pt idx="14">
                  <c:v>8.4388528788448607</c:v>
                </c:pt>
                <c:pt idx="15">
                  <c:v>7.9700277189090336</c:v>
                </c:pt>
                <c:pt idx="16">
                  <c:v>7.5505525758085588</c:v>
                </c:pt>
                <c:pt idx="17">
                  <c:v>7.1730249470181304</c:v>
                </c:pt>
                <c:pt idx="18">
                  <c:v>6.8314523304934598</c:v>
                </c:pt>
                <c:pt idx="19">
                  <c:v>6.5209317700164835</c:v>
                </c:pt>
                <c:pt idx="20">
                  <c:v>6.2374129974070707</c:v>
                </c:pt>
                <c:pt idx="21">
                  <c:v>5.9775207891817761</c:v>
                </c:pt>
                <c:pt idx="22">
                  <c:v>5.7384199576145045</c:v>
                </c:pt>
                <c:pt idx="23">
                  <c:v>5.5177114977062551</c:v>
                </c:pt>
                <c:pt idx="24">
                  <c:v>5.3133518126060242</c:v>
                </c:pt>
                <c:pt idx="25">
                  <c:v>5.1235892478700942</c:v>
                </c:pt>
                <c:pt idx="26">
                  <c:v>4.9469137565642285</c:v>
                </c:pt>
                <c:pt idx="27">
                  <c:v>4.7820166313454209</c:v>
                </c:pt>
                <c:pt idx="28">
                  <c:v>4.6277580303342782</c:v>
                </c:pt>
                <c:pt idx="29">
                  <c:v>4.4831405918863316</c:v>
                </c:pt>
                <c:pt idx="30">
                  <c:v>4.3472878466776548</c:v>
                </c:pt>
                <c:pt idx="31">
                  <c:v>4.2194264394224303</c:v>
                </c:pt>
                <c:pt idx="32">
                  <c:v>4.0988713982960752</c:v>
                </c:pt>
                <c:pt idx="33">
                  <c:v>3.9850138594545168</c:v>
                </c:pt>
                <c:pt idx="34">
                  <c:v>3.8773107821719628</c:v>
                </c:pt>
                <c:pt idx="35">
                  <c:v>3.7752762879042794</c:v>
                </c:pt>
                <c:pt idx="36">
                  <c:v>3.6784743318041699</c:v>
                </c:pt>
                <c:pt idx="37">
                  <c:v>3.5865124735090652</c:v>
                </c:pt>
                <c:pt idx="38">
                  <c:v>3.4990365595210395</c:v>
                </c:pt>
                <c:pt idx="39">
                  <c:v>3.4157261652467299</c:v>
                </c:pt>
                <c:pt idx="40">
                  <c:v>3.3362906730316886</c:v>
                </c:pt>
                <c:pt idx="41">
                  <c:v>3.2604658850082417</c:v>
                </c:pt>
                <c:pt idx="42">
                  <c:v>3.1880110875636141</c:v>
                </c:pt>
                <c:pt idx="43">
                  <c:v>3.1187064987035353</c:v>
                </c:pt>
                <c:pt idx="44">
                  <c:v>3.0523510412843113</c:v>
                </c:pt>
                <c:pt idx="45">
                  <c:v>2.988760394590888</c:v>
                </c:pt>
                <c:pt idx="46">
                  <c:v>2.9277652844971964</c:v>
                </c:pt>
                <c:pt idx="47">
                  <c:v>2.8692099788072523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BC-874E-9A54-480666358F8F}"/>
            </c:ext>
          </c:extLst>
        </c:ser>
        <c:ser>
          <c:idx val="1"/>
          <c:order val="1"/>
          <c:tx>
            <c:v>Type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'[3]Granules '!$D$19:$D$66</c:f>
              <c:numCache>
                <c:formatCode>General</c:formatCode>
                <c:ptCount val="48"/>
                <c:pt idx="0">
                  <c:v>3.6475996859914538E-3</c:v>
                </c:pt>
                <c:pt idx="1">
                  <c:v>3.7848772361411013E-3</c:v>
                </c:pt>
                <c:pt idx="2">
                  <c:v>4.7317741277116679E-3</c:v>
                </c:pt>
                <c:pt idx="3">
                  <c:v>5.6789420522963489E-3</c:v>
                </c:pt>
                <c:pt idx="4">
                  <c:v>6.626381009895147E-3</c:v>
                </c:pt>
                <c:pt idx="5">
                  <c:v>7.5740910005080639E-3</c:v>
                </c:pt>
                <c:pt idx="6">
                  <c:v>8.5220720241350953E-3</c:v>
                </c:pt>
                <c:pt idx="7">
                  <c:v>9.4703240807762438E-3</c:v>
                </c:pt>
                <c:pt idx="8">
                  <c:v>1.0418847170431508E-2</c:v>
                </c:pt>
                <c:pt idx="9">
                  <c:v>1.1367641293100885E-2</c:v>
                </c:pt>
                <c:pt idx="10">
                  <c:v>1.2316706448784383E-2</c:v>
                </c:pt>
                <c:pt idx="11">
                  <c:v>1.3266042637481993E-2</c:v>
                </c:pt>
                <c:pt idx="12">
                  <c:v>1.4215649859193727E-2</c:v>
                </c:pt>
                <c:pt idx="13">
                  <c:v>1.5165528113919571E-2</c:v>
                </c:pt>
                <c:pt idx="14">
                  <c:v>1.611567740165953E-2</c:v>
                </c:pt>
                <c:pt idx="15">
                  <c:v>1.706609772241361E-2</c:v>
                </c:pt>
                <c:pt idx="16">
                  <c:v>1.8016789076181806E-2</c:v>
                </c:pt>
                <c:pt idx="17">
                  <c:v>1.896775146296412E-2</c:v>
                </c:pt>
                <c:pt idx="18">
                  <c:v>1.9918984882760539E-2</c:v>
                </c:pt>
                <c:pt idx="19">
                  <c:v>2.0870489335571087E-2</c:v>
                </c:pt>
                <c:pt idx="20">
                  <c:v>2.1822264821395744E-2</c:v>
                </c:pt>
                <c:pt idx="21">
                  <c:v>2.277431134023452E-2</c:v>
                </c:pt>
                <c:pt idx="22">
                  <c:v>2.3726628892087414E-2</c:v>
                </c:pt>
                <c:pt idx="23">
                  <c:v>2.4679217476954424E-2</c:v>
                </c:pt>
                <c:pt idx="24">
                  <c:v>2.5632077094835542E-2</c:v>
                </c:pt>
                <c:pt idx="25">
                  <c:v>2.6585207745730786E-2</c:v>
                </c:pt>
                <c:pt idx="26">
                  <c:v>2.7538609429640148E-2</c:v>
                </c:pt>
                <c:pt idx="27">
                  <c:v>2.8492282146563623E-2</c:v>
                </c:pt>
                <c:pt idx="28">
                  <c:v>2.944622589650121E-2</c:v>
                </c:pt>
                <c:pt idx="29">
                  <c:v>3.0400440679452918E-2</c:v>
                </c:pt>
                <c:pt idx="30">
                  <c:v>3.1354926495418739E-2</c:v>
                </c:pt>
                <c:pt idx="31">
                  <c:v>3.2309683344398675E-2</c:v>
                </c:pt>
                <c:pt idx="32">
                  <c:v>3.3264711226392733E-2</c:v>
                </c:pt>
                <c:pt idx="33">
                  <c:v>3.4220010141400907E-2</c:v>
                </c:pt>
                <c:pt idx="34">
                  <c:v>3.5175580089423196E-2</c:v>
                </c:pt>
                <c:pt idx="35">
                  <c:v>3.61314210704596E-2</c:v>
                </c:pt>
                <c:pt idx="36">
                  <c:v>3.708753308451012E-2</c:v>
                </c:pt>
                <c:pt idx="37">
                  <c:v>3.8043916131574762E-2</c:v>
                </c:pt>
                <c:pt idx="38">
                  <c:v>3.9000570211653512E-2</c:v>
                </c:pt>
                <c:pt idx="39">
                  <c:v>3.9957495324746378E-2</c:v>
                </c:pt>
                <c:pt idx="40">
                  <c:v>4.0914691470853366E-2</c:v>
                </c:pt>
                <c:pt idx="41">
                  <c:v>4.187215864997447E-2</c:v>
                </c:pt>
                <c:pt idx="42">
                  <c:v>4.2829896862109688E-2</c:v>
                </c:pt>
                <c:pt idx="43">
                  <c:v>4.3787906107259023E-2</c:v>
                </c:pt>
                <c:pt idx="44">
                  <c:v>4.4746186385422465E-2</c:v>
                </c:pt>
                <c:pt idx="45">
                  <c:v>4.5704737696600037E-2</c:v>
                </c:pt>
                <c:pt idx="46">
                  <c:v>4.6663560040791724E-2</c:v>
                </c:pt>
                <c:pt idx="47">
                  <c:v>4.7622653417997526E-2</c:v>
                </c:pt>
              </c:numCache>
            </c:numRef>
          </c:xVal>
          <c:yVal>
            <c:numRef>
              <c:f>'[3]Granules '!$H$19:$H$66</c:f>
              <c:numCache>
                <c:formatCode>General</c:formatCode>
                <c:ptCount val="48"/>
                <c:pt idx="0">
                  <c:v>37.214137208913776</c:v>
                </c:pt>
                <c:pt idx="1">
                  <c:v>35.865124735090653</c:v>
                </c:pt>
                <c:pt idx="2">
                  <c:v>28.692099788072522</c:v>
                </c:pt>
                <c:pt idx="3">
                  <c:v>23.910083156727104</c:v>
                </c:pt>
                <c:pt idx="4">
                  <c:v>20.494356991480377</c:v>
                </c:pt>
                <c:pt idx="5">
                  <c:v>17.932562367545327</c:v>
                </c:pt>
                <c:pt idx="6">
                  <c:v>15.940055437818067</c:v>
                </c:pt>
                <c:pt idx="7">
                  <c:v>14.346049894036261</c:v>
                </c:pt>
                <c:pt idx="8">
                  <c:v>13.041863540032967</c:v>
                </c:pt>
                <c:pt idx="9">
                  <c:v>11.955041578363552</c:v>
                </c:pt>
                <c:pt idx="10">
                  <c:v>11.03542299541251</c:v>
                </c:pt>
                <c:pt idx="11">
                  <c:v>10.247178495740188</c:v>
                </c:pt>
                <c:pt idx="12">
                  <c:v>9.5640332626908418</c:v>
                </c:pt>
                <c:pt idx="13">
                  <c:v>8.9662811837726633</c:v>
                </c:pt>
                <c:pt idx="14">
                  <c:v>8.4388528788448607</c:v>
                </c:pt>
                <c:pt idx="15">
                  <c:v>7.9700277189090336</c:v>
                </c:pt>
                <c:pt idx="16">
                  <c:v>7.5505525758085588</c:v>
                </c:pt>
                <c:pt idx="17">
                  <c:v>7.1730249470181304</c:v>
                </c:pt>
                <c:pt idx="18">
                  <c:v>6.8314523304934598</c:v>
                </c:pt>
                <c:pt idx="19">
                  <c:v>6.5209317700164835</c:v>
                </c:pt>
                <c:pt idx="20">
                  <c:v>6.2374129974070707</c:v>
                </c:pt>
                <c:pt idx="21">
                  <c:v>5.9775207891817761</c:v>
                </c:pt>
                <c:pt idx="22">
                  <c:v>5.7384199576145045</c:v>
                </c:pt>
                <c:pt idx="23">
                  <c:v>5.5177114977062551</c:v>
                </c:pt>
                <c:pt idx="24">
                  <c:v>5.3133518126060242</c:v>
                </c:pt>
                <c:pt idx="25">
                  <c:v>5.1235892478700942</c:v>
                </c:pt>
                <c:pt idx="26">
                  <c:v>4.9469137565642285</c:v>
                </c:pt>
                <c:pt idx="27">
                  <c:v>4.7820166313454209</c:v>
                </c:pt>
                <c:pt idx="28">
                  <c:v>4.6277580303342782</c:v>
                </c:pt>
                <c:pt idx="29">
                  <c:v>4.4831405918863316</c:v>
                </c:pt>
                <c:pt idx="30">
                  <c:v>4.3472878466776548</c:v>
                </c:pt>
                <c:pt idx="31">
                  <c:v>4.2194264394224303</c:v>
                </c:pt>
                <c:pt idx="32">
                  <c:v>4.0988713982960752</c:v>
                </c:pt>
                <c:pt idx="33">
                  <c:v>3.9850138594545168</c:v>
                </c:pt>
                <c:pt idx="34">
                  <c:v>3.8773107821719628</c:v>
                </c:pt>
                <c:pt idx="35">
                  <c:v>3.7752762879042794</c:v>
                </c:pt>
                <c:pt idx="36">
                  <c:v>3.6784743318041699</c:v>
                </c:pt>
                <c:pt idx="37">
                  <c:v>3.5865124735090652</c:v>
                </c:pt>
                <c:pt idx="38">
                  <c:v>3.4990365595210395</c:v>
                </c:pt>
                <c:pt idx="39">
                  <c:v>3.4157261652467299</c:v>
                </c:pt>
                <c:pt idx="40">
                  <c:v>3.3362906730316886</c:v>
                </c:pt>
                <c:pt idx="41">
                  <c:v>3.2604658850082417</c:v>
                </c:pt>
                <c:pt idx="42">
                  <c:v>3.1880110875636141</c:v>
                </c:pt>
                <c:pt idx="43">
                  <c:v>3.1187064987035353</c:v>
                </c:pt>
                <c:pt idx="44">
                  <c:v>3.0523510412843113</c:v>
                </c:pt>
                <c:pt idx="45">
                  <c:v>2.988760394590888</c:v>
                </c:pt>
                <c:pt idx="46">
                  <c:v>2.9277652844971964</c:v>
                </c:pt>
                <c:pt idx="47">
                  <c:v>2.8692099788072523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BC-874E-9A54-480666358F8F}"/>
            </c:ext>
          </c:extLst>
        </c:ser>
        <c:ser>
          <c:idx val="2"/>
          <c:order val="2"/>
          <c:tx>
            <c:v>Type 3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4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'[3]Granules '!$E$19:$E$66</c:f>
              <c:numCache>
                <c:formatCode>General</c:formatCode>
                <c:ptCount val="48"/>
                <c:pt idx="0">
                  <c:v>2.872738439569237E-3</c:v>
                </c:pt>
                <c:pt idx="1">
                  <c:v>2.9808736526858838E-3</c:v>
                </c:pt>
                <c:pt idx="2">
                  <c:v>3.7267946304334484E-3</c:v>
                </c:pt>
                <c:pt idx="3">
                  <c:v>4.4729966340114492E-3</c:v>
                </c:pt>
                <c:pt idx="4">
                  <c:v>5.2194796634198867E-3</c:v>
                </c:pt>
                <c:pt idx="5">
                  <c:v>5.9662437186587623E-3</c:v>
                </c:pt>
                <c:pt idx="6">
                  <c:v>6.7132887997280758E-3</c:v>
                </c:pt>
                <c:pt idx="7">
                  <c:v>7.4606149066278257E-3</c:v>
                </c:pt>
                <c:pt idx="8">
                  <c:v>8.208222039358011E-3</c:v>
                </c:pt>
                <c:pt idx="9">
                  <c:v>8.9561101979186361E-3</c:v>
                </c:pt>
                <c:pt idx="10">
                  <c:v>9.7042793823096957E-3</c:v>
                </c:pt>
                <c:pt idx="11">
                  <c:v>1.0452729592531195E-2</c:v>
                </c:pt>
                <c:pt idx="12">
                  <c:v>1.1201460828583131E-2</c:v>
                </c:pt>
                <c:pt idx="13">
                  <c:v>1.1950473090465503E-2</c:v>
                </c:pt>
                <c:pt idx="14">
                  <c:v>1.2699766378178313E-2</c:v>
                </c:pt>
                <c:pt idx="15">
                  <c:v>1.3449340691721561E-2</c:v>
                </c:pt>
                <c:pt idx="16">
                  <c:v>1.4199196031095243E-2</c:v>
                </c:pt>
                <c:pt idx="17">
                  <c:v>1.4949332396299366E-2</c:v>
                </c:pt>
                <c:pt idx="18">
                  <c:v>1.5699749787333919E-2</c:v>
                </c:pt>
                <c:pt idx="19">
                  <c:v>1.6450448204198918E-2</c:v>
                </c:pt>
                <c:pt idx="20">
                  <c:v>1.7201427646894349E-2</c:v>
                </c:pt>
                <c:pt idx="21">
                  <c:v>1.7952688115420223E-2</c:v>
                </c:pt>
                <c:pt idx="22">
                  <c:v>1.8704229609776527E-2</c:v>
                </c:pt>
                <c:pt idx="23">
                  <c:v>1.9456052129963271E-2</c:v>
                </c:pt>
                <c:pt idx="24">
                  <c:v>2.0208155675980451E-2</c:v>
                </c:pt>
                <c:pt idx="25">
                  <c:v>2.096054024782807E-2</c:v>
                </c:pt>
                <c:pt idx="26">
                  <c:v>2.1713205845506126E-2</c:v>
                </c:pt>
                <c:pt idx="27">
                  <c:v>2.2466152469014622E-2</c:v>
                </c:pt>
                <c:pt idx="28">
                  <c:v>2.321938011835355E-2</c:v>
                </c:pt>
                <c:pt idx="29">
                  <c:v>2.3972888793522915E-2</c:v>
                </c:pt>
                <c:pt idx="30">
                  <c:v>2.4726678494522723E-2</c:v>
                </c:pt>
                <c:pt idx="31">
                  <c:v>2.5480749221352964E-2</c:v>
                </c:pt>
                <c:pt idx="32">
                  <c:v>2.6235100974013641E-2</c:v>
                </c:pt>
                <c:pt idx="33">
                  <c:v>2.6989733752504762E-2</c:v>
                </c:pt>
                <c:pt idx="34">
                  <c:v>2.7744647556826312E-2</c:v>
                </c:pt>
                <c:pt idx="35">
                  <c:v>2.8499842386978298E-2</c:v>
                </c:pt>
                <c:pt idx="36">
                  <c:v>2.9255318242960723E-2</c:v>
                </c:pt>
                <c:pt idx="37">
                  <c:v>3.0011075124773596E-2</c:v>
                </c:pt>
                <c:pt idx="38">
                  <c:v>3.0767113032416891E-2</c:v>
                </c:pt>
                <c:pt idx="39">
                  <c:v>3.1523431965890629E-2</c:v>
                </c:pt>
                <c:pt idx="40">
                  <c:v>3.2280031925194817E-2</c:v>
                </c:pt>
                <c:pt idx="41">
                  <c:v>3.3036912910329418E-2</c:v>
                </c:pt>
                <c:pt idx="42">
                  <c:v>3.3794074921294472E-2</c:v>
                </c:pt>
                <c:pt idx="43">
                  <c:v>3.4551517958089951E-2</c:v>
                </c:pt>
                <c:pt idx="44">
                  <c:v>3.5309242020715878E-2</c:v>
                </c:pt>
                <c:pt idx="45">
                  <c:v>3.6067247109172244E-2</c:v>
                </c:pt>
                <c:pt idx="46">
                  <c:v>3.6825533223459044E-2</c:v>
                </c:pt>
                <c:pt idx="47">
                  <c:v>3.7584100363576275E-2</c:v>
                </c:pt>
              </c:numCache>
            </c:numRef>
          </c:xVal>
          <c:yVal>
            <c:numRef>
              <c:f>'[3]Granules '!$H$19:$H$66</c:f>
              <c:numCache>
                <c:formatCode>General</c:formatCode>
                <c:ptCount val="48"/>
                <c:pt idx="0">
                  <c:v>37.214137208913776</c:v>
                </c:pt>
                <c:pt idx="1">
                  <c:v>35.865124735090653</c:v>
                </c:pt>
                <c:pt idx="2">
                  <c:v>28.692099788072522</c:v>
                </c:pt>
                <c:pt idx="3">
                  <c:v>23.910083156727104</c:v>
                </c:pt>
                <c:pt idx="4">
                  <c:v>20.494356991480377</c:v>
                </c:pt>
                <c:pt idx="5">
                  <c:v>17.932562367545327</c:v>
                </c:pt>
                <c:pt idx="6">
                  <c:v>15.940055437818067</c:v>
                </c:pt>
                <c:pt idx="7">
                  <c:v>14.346049894036261</c:v>
                </c:pt>
                <c:pt idx="8">
                  <c:v>13.041863540032967</c:v>
                </c:pt>
                <c:pt idx="9">
                  <c:v>11.955041578363552</c:v>
                </c:pt>
                <c:pt idx="10">
                  <c:v>11.03542299541251</c:v>
                </c:pt>
                <c:pt idx="11">
                  <c:v>10.247178495740188</c:v>
                </c:pt>
                <c:pt idx="12">
                  <c:v>9.5640332626908418</c:v>
                </c:pt>
                <c:pt idx="13">
                  <c:v>8.9662811837726633</c:v>
                </c:pt>
                <c:pt idx="14">
                  <c:v>8.4388528788448607</c:v>
                </c:pt>
                <c:pt idx="15">
                  <c:v>7.9700277189090336</c:v>
                </c:pt>
                <c:pt idx="16">
                  <c:v>7.5505525758085588</c:v>
                </c:pt>
                <c:pt idx="17">
                  <c:v>7.1730249470181304</c:v>
                </c:pt>
                <c:pt idx="18">
                  <c:v>6.8314523304934598</c:v>
                </c:pt>
                <c:pt idx="19">
                  <c:v>6.5209317700164835</c:v>
                </c:pt>
                <c:pt idx="20">
                  <c:v>6.2374129974070707</c:v>
                </c:pt>
                <c:pt idx="21">
                  <c:v>5.9775207891817761</c:v>
                </c:pt>
                <c:pt idx="22">
                  <c:v>5.7384199576145045</c:v>
                </c:pt>
                <c:pt idx="23">
                  <c:v>5.5177114977062551</c:v>
                </c:pt>
                <c:pt idx="24">
                  <c:v>5.3133518126060242</c:v>
                </c:pt>
                <c:pt idx="25">
                  <c:v>5.1235892478700942</c:v>
                </c:pt>
                <c:pt idx="26">
                  <c:v>4.9469137565642285</c:v>
                </c:pt>
                <c:pt idx="27">
                  <c:v>4.7820166313454209</c:v>
                </c:pt>
                <c:pt idx="28">
                  <c:v>4.6277580303342782</c:v>
                </c:pt>
                <c:pt idx="29">
                  <c:v>4.4831405918863316</c:v>
                </c:pt>
                <c:pt idx="30">
                  <c:v>4.3472878466776548</c:v>
                </c:pt>
                <c:pt idx="31">
                  <c:v>4.2194264394224303</c:v>
                </c:pt>
                <c:pt idx="32">
                  <c:v>4.0988713982960752</c:v>
                </c:pt>
                <c:pt idx="33">
                  <c:v>3.9850138594545168</c:v>
                </c:pt>
                <c:pt idx="34">
                  <c:v>3.8773107821719628</c:v>
                </c:pt>
                <c:pt idx="35">
                  <c:v>3.7752762879042794</c:v>
                </c:pt>
                <c:pt idx="36">
                  <c:v>3.6784743318041699</c:v>
                </c:pt>
                <c:pt idx="37">
                  <c:v>3.5865124735090652</c:v>
                </c:pt>
                <c:pt idx="38">
                  <c:v>3.4990365595210395</c:v>
                </c:pt>
                <c:pt idx="39">
                  <c:v>3.4157261652467299</c:v>
                </c:pt>
                <c:pt idx="40">
                  <c:v>3.3362906730316886</c:v>
                </c:pt>
                <c:pt idx="41">
                  <c:v>3.2604658850082417</c:v>
                </c:pt>
                <c:pt idx="42">
                  <c:v>3.1880110875636141</c:v>
                </c:pt>
                <c:pt idx="43">
                  <c:v>3.1187064987035353</c:v>
                </c:pt>
                <c:pt idx="44">
                  <c:v>3.0523510412843113</c:v>
                </c:pt>
                <c:pt idx="45">
                  <c:v>2.988760394590888</c:v>
                </c:pt>
                <c:pt idx="46">
                  <c:v>2.9277652844971964</c:v>
                </c:pt>
                <c:pt idx="47">
                  <c:v>2.8692099788072523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BC-874E-9A54-480666358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8541344"/>
        <c:axId val="308574592"/>
      </c:scatterChart>
      <c:valAx>
        <c:axId val="30854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Hydraulic</a:t>
                </a:r>
                <a:r>
                  <a:rPr lang="en-US" baseline="0"/>
                  <a:t> head loss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574592"/>
        <c:crosses val="autoZero"/>
        <c:crossBetween val="midCat"/>
      </c:valAx>
      <c:valAx>
        <c:axId val="30857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Hydraulic</a:t>
                </a:r>
                <a:r>
                  <a:rPr lang="en-US" baseline="0"/>
                  <a:t> retention time (hrs)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541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Type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'[3]Granules '!$C$13</c:f>
              <c:numCache>
                <c:formatCode>General</c:formatCode>
                <c:ptCount val="1"/>
                <c:pt idx="0">
                  <c:v>9.0690835430845239E-3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38-C24B-A5CB-145314D5B056}"/>
            </c:ext>
          </c:extLst>
        </c:ser>
        <c:ser>
          <c:idx val="1"/>
          <c:order val="1"/>
          <c:tx>
            <c:v>Type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'[3]Granules '!$D$13</c:f>
              <c:numCache>
                <c:formatCode>General</c:formatCode>
                <c:ptCount val="1"/>
                <c:pt idx="0">
                  <c:v>1.303353268619915E-2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38-C24B-A5CB-145314D5B056}"/>
            </c:ext>
          </c:extLst>
        </c:ser>
        <c:ser>
          <c:idx val="2"/>
          <c:order val="2"/>
          <c:tx>
            <c:v>Type 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'[3]Granules '!$E$13</c:f>
              <c:numCache>
                <c:formatCode>General</c:formatCode>
                <c:ptCount val="1"/>
                <c:pt idx="0">
                  <c:v>1.9154481231168179E-2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38-C24B-A5CB-145314D5B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8575376"/>
        <c:axId val="308575768"/>
      </c:barChart>
      <c:catAx>
        <c:axId val="308575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Types</a:t>
                </a:r>
                <a:r>
                  <a:rPr lang="en-ZA" baseline="0"/>
                  <a:t> of anaerobic granules 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575768"/>
        <c:crosses val="autoZero"/>
        <c:auto val="1"/>
        <c:lblAlgn val="ctr"/>
        <c:lblOffset val="100"/>
        <c:noMultiLvlLbl val="0"/>
      </c:catAx>
      <c:valAx>
        <c:axId val="308575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Minimum</a:t>
                </a:r>
                <a:r>
                  <a:rPr lang="en-ZA" baseline="0"/>
                  <a:t> fluidising velocity (m/s)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57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13" Type="http://schemas.openxmlformats.org/officeDocument/2006/relationships/chart" Target="../charts/chart19.xml"/><Relationship Id="rId18" Type="http://schemas.openxmlformats.org/officeDocument/2006/relationships/chart" Target="../charts/chart24.xml"/><Relationship Id="rId3" Type="http://schemas.openxmlformats.org/officeDocument/2006/relationships/chart" Target="../charts/chart9.xml"/><Relationship Id="rId21" Type="http://schemas.openxmlformats.org/officeDocument/2006/relationships/chart" Target="../charts/chart27.xml"/><Relationship Id="rId7" Type="http://schemas.openxmlformats.org/officeDocument/2006/relationships/chart" Target="../charts/chart13.xml"/><Relationship Id="rId12" Type="http://schemas.openxmlformats.org/officeDocument/2006/relationships/chart" Target="../charts/chart18.xml"/><Relationship Id="rId17" Type="http://schemas.openxmlformats.org/officeDocument/2006/relationships/chart" Target="../charts/chart23.xml"/><Relationship Id="rId25" Type="http://schemas.openxmlformats.org/officeDocument/2006/relationships/chart" Target="../charts/chart31.xml"/><Relationship Id="rId2" Type="http://schemas.openxmlformats.org/officeDocument/2006/relationships/chart" Target="../charts/chart8.xml"/><Relationship Id="rId16" Type="http://schemas.openxmlformats.org/officeDocument/2006/relationships/chart" Target="../charts/chart22.xml"/><Relationship Id="rId20" Type="http://schemas.openxmlformats.org/officeDocument/2006/relationships/chart" Target="../charts/chart26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11" Type="http://schemas.openxmlformats.org/officeDocument/2006/relationships/chart" Target="../charts/chart17.xml"/><Relationship Id="rId24" Type="http://schemas.openxmlformats.org/officeDocument/2006/relationships/chart" Target="../charts/chart30.xml"/><Relationship Id="rId5" Type="http://schemas.openxmlformats.org/officeDocument/2006/relationships/chart" Target="../charts/chart11.xml"/><Relationship Id="rId15" Type="http://schemas.openxmlformats.org/officeDocument/2006/relationships/chart" Target="../charts/chart21.xml"/><Relationship Id="rId23" Type="http://schemas.openxmlformats.org/officeDocument/2006/relationships/chart" Target="../charts/chart29.xml"/><Relationship Id="rId10" Type="http://schemas.openxmlformats.org/officeDocument/2006/relationships/chart" Target="../charts/chart16.xml"/><Relationship Id="rId19" Type="http://schemas.openxmlformats.org/officeDocument/2006/relationships/chart" Target="../charts/chart25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Relationship Id="rId14" Type="http://schemas.openxmlformats.org/officeDocument/2006/relationships/chart" Target="../charts/chart20.xml"/><Relationship Id="rId22" Type="http://schemas.openxmlformats.org/officeDocument/2006/relationships/chart" Target="../charts/chart28.xml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9.xml"/><Relationship Id="rId13" Type="http://schemas.openxmlformats.org/officeDocument/2006/relationships/chart" Target="../charts/chart44.xml"/><Relationship Id="rId18" Type="http://schemas.openxmlformats.org/officeDocument/2006/relationships/chart" Target="../charts/chart49.xml"/><Relationship Id="rId26" Type="http://schemas.openxmlformats.org/officeDocument/2006/relationships/chart" Target="../charts/chart57.xml"/><Relationship Id="rId3" Type="http://schemas.openxmlformats.org/officeDocument/2006/relationships/chart" Target="../charts/chart34.xml"/><Relationship Id="rId21" Type="http://schemas.openxmlformats.org/officeDocument/2006/relationships/chart" Target="../charts/chart52.xml"/><Relationship Id="rId7" Type="http://schemas.openxmlformats.org/officeDocument/2006/relationships/chart" Target="../charts/chart38.xml"/><Relationship Id="rId12" Type="http://schemas.openxmlformats.org/officeDocument/2006/relationships/chart" Target="../charts/chart43.xml"/><Relationship Id="rId17" Type="http://schemas.openxmlformats.org/officeDocument/2006/relationships/chart" Target="../charts/chart48.xml"/><Relationship Id="rId25" Type="http://schemas.openxmlformats.org/officeDocument/2006/relationships/chart" Target="../charts/chart56.xml"/><Relationship Id="rId2" Type="http://schemas.openxmlformats.org/officeDocument/2006/relationships/chart" Target="../charts/chart33.xml"/><Relationship Id="rId16" Type="http://schemas.openxmlformats.org/officeDocument/2006/relationships/chart" Target="../charts/chart47.xml"/><Relationship Id="rId20" Type="http://schemas.openxmlformats.org/officeDocument/2006/relationships/chart" Target="../charts/chart51.xml"/><Relationship Id="rId1" Type="http://schemas.openxmlformats.org/officeDocument/2006/relationships/chart" Target="../charts/chart32.xml"/><Relationship Id="rId6" Type="http://schemas.openxmlformats.org/officeDocument/2006/relationships/chart" Target="../charts/chart37.xml"/><Relationship Id="rId11" Type="http://schemas.openxmlformats.org/officeDocument/2006/relationships/chart" Target="../charts/chart42.xml"/><Relationship Id="rId24" Type="http://schemas.openxmlformats.org/officeDocument/2006/relationships/chart" Target="../charts/chart55.xml"/><Relationship Id="rId5" Type="http://schemas.openxmlformats.org/officeDocument/2006/relationships/chart" Target="../charts/chart36.xml"/><Relationship Id="rId15" Type="http://schemas.openxmlformats.org/officeDocument/2006/relationships/chart" Target="../charts/chart46.xml"/><Relationship Id="rId23" Type="http://schemas.openxmlformats.org/officeDocument/2006/relationships/chart" Target="../charts/chart54.xml"/><Relationship Id="rId10" Type="http://schemas.openxmlformats.org/officeDocument/2006/relationships/chart" Target="../charts/chart41.xml"/><Relationship Id="rId19" Type="http://schemas.openxmlformats.org/officeDocument/2006/relationships/chart" Target="../charts/chart50.xml"/><Relationship Id="rId4" Type="http://schemas.openxmlformats.org/officeDocument/2006/relationships/chart" Target="../charts/chart35.xml"/><Relationship Id="rId9" Type="http://schemas.openxmlformats.org/officeDocument/2006/relationships/chart" Target="../charts/chart40.xml"/><Relationship Id="rId14" Type="http://schemas.openxmlformats.org/officeDocument/2006/relationships/chart" Target="../charts/chart45.xml"/><Relationship Id="rId22" Type="http://schemas.openxmlformats.org/officeDocument/2006/relationships/chart" Target="../charts/chart53.xml"/><Relationship Id="rId27" Type="http://schemas.openxmlformats.org/officeDocument/2006/relationships/chart" Target="../charts/chart58.xml"/></Relationships>
</file>

<file path=xl/drawings/_rels/drawing2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6.xml"/><Relationship Id="rId13" Type="http://schemas.openxmlformats.org/officeDocument/2006/relationships/chart" Target="../charts/chart71.xml"/><Relationship Id="rId18" Type="http://schemas.openxmlformats.org/officeDocument/2006/relationships/chart" Target="../charts/chart76.xml"/><Relationship Id="rId3" Type="http://schemas.openxmlformats.org/officeDocument/2006/relationships/chart" Target="../charts/chart61.xml"/><Relationship Id="rId21" Type="http://schemas.openxmlformats.org/officeDocument/2006/relationships/chart" Target="../charts/chart79.xml"/><Relationship Id="rId7" Type="http://schemas.openxmlformats.org/officeDocument/2006/relationships/chart" Target="../charts/chart65.xml"/><Relationship Id="rId12" Type="http://schemas.openxmlformats.org/officeDocument/2006/relationships/chart" Target="../charts/chart70.xml"/><Relationship Id="rId17" Type="http://schemas.openxmlformats.org/officeDocument/2006/relationships/chart" Target="../charts/chart75.xml"/><Relationship Id="rId2" Type="http://schemas.openxmlformats.org/officeDocument/2006/relationships/chart" Target="../charts/chart60.xml"/><Relationship Id="rId16" Type="http://schemas.openxmlformats.org/officeDocument/2006/relationships/chart" Target="../charts/chart74.xml"/><Relationship Id="rId20" Type="http://schemas.openxmlformats.org/officeDocument/2006/relationships/chart" Target="../charts/chart78.xml"/><Relationship Id="rId1" Type="http://schemas.openxmlformats.org/officeDocument/2006/relationships/chart" Target="../charts/chart59.xml"/><Relationship Id="rId6" Type="http://schemas.openxmlformats.org/officeDocument/2006/relationships/chart" Target="../charts/chart64.xml"/><Relationship Id="rId11" Type="http://schemas.openxmlformats.org/officeDocument/2006/relationships/chart" Target="../charts/chart69.xml"/><Relationship Id="rId5" Type="http://schemas.openxmlformats.org/officeDocument/2006/relationships/chart" Target="../charts/chart63.xml"/><Relationship Id="rId15" Type="http://schemas.openxmlformats.org/officeDocument/2006/relationships/chart" Target="../charts/chart73.xml"/><Relationship Id="rId23" Type="http://schemas.openxmlformats.org/officeDocument/2006/relationships/chart" Target="../charts/chart81.xml"/><Relationship Id="rId10" Type="http://schemas.openxmlformats.org/officeDocument/2006/relationships/chart" Target="../charts/chart68.xml"/><Relationship Id="rId19" Type="http://schemas.openxmlformats.org/officeDocument/2006/relationships/chart" Target="../charts/chart77.xml"/><Relationship Id="rId4" Type="http://schemas.openxmlformats.org/officeDocument/2006/relationships/chart" Target="../charts/chart62.xml"/><Relationship Id="rId9" Type="http://schemas.openxmlformats.org/officeDocument/2006/relationships/chart" Target="../charts/chart67.xml"/><Relationship Id="rId14" Type="http://schemas.openxmlformats.org/officeDocument/2006/relationships/chart" Target="../charts/chart72.xml"/><Relationship Id="rId22" Type="http://schemas.openxmlformats.org/officeDocument/2006/relationships/chart" Target="../charts/chart80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2.xm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5.xml"/><Relationship Id="rId2" Type="http://schemas.openxmlformats.org/officeDocument/2006/relationships/chart" Target="../charts/chart84.xml"/><Relationship Id="rId1" Type="http://schemas.openxmlformats.org/officeDocument/2006/relationships/chart" Target="../charts/chart83.xml"/><Relationship Id="rId5" Type="http://schemas.openxmlformats.org/officeDocument/2006/relationships/chart" Target="../charts/chart87.xml"/><Relationship Id="rId4" Type="http://schemas.openxmlformats.org/officeDocument/2006/relationships/chart" Target="../charts/chart86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8.xm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1.xml"/><Relationship Id="rId2" Type="http://schemas.openxmlformats.org/officeDocument/2006/relationships/chart" Target="../charts/chart90.xml"/><Relationship Id="rId1" Type="http://schemas.openxmlformats.org/officeDocument/2006/relationships/chart" Target="../charts/chart89.xml"/><Relationship Id="rId4" Type="http://schemas.openxmlformats.org/officeDocument/2006/relationships/chart" Target="../charts/chart9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139700</xdr:colOff>
      <xdr:row>36</xdr:row>
      <xdr:rowOff>127000</xdr:rowOff>
    </xdr:from>
    <xdr:to>
      <xdr:col>11</xdr:col>
      <xdr:colOff>63500</xdr:colOff>
      <xdr:row>58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2671F4-566B-4D44-BA66-BD3791F8B9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368300</xdr:colOff>
      <xdr:row>34</xdr:row>
      <xdr:rowOff>88900</xdr:rowOff>
    </xdr:from>
    <xdr:to>
      <xdr:col>20</xdr:col>
      <xdr:colOff>355600</xdr:colOff>
      <xdr:row>53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546233-46BA-3E4A-B5CA-AAA0AF57B5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609600</xdr:colOff>
      <xdr:row>56</xdr:row>
      <xdr:rowOff>50800</xdr:rowOff>
    </xdr:from>
    <xdr:to>
      <xdr:col>10</xdr:col>
      <xdr:colOff>495300</xdr:colOff>
      <xdr:row>77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1B12DD-AC0F-8349-9A10-CFEF626952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342900</xdr:colOff>
      <xdr:row>55</xdr:row>
      <xdr:rowOff>25400</xdr:rowOff>
    </xdr:from>
    <xdr:to>
      <xdr:col>20</xdr:col>
      <xdr:colOff>355600</xdr:colOff>
      <xdr:row>73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887EB0E-9FAF-AB4F-AA5C-3D5861A5AD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33</xdr:row>
      <xdr:rowOff>177800</xdr:rowOff>
    </xdr:from>
    <xdr:to>
      <xdr:col>4</xdr:col>
      <xdr:colOff>0</xdr:colOff>
      <xdr:row>48</xdr:row>
      <xdr:rowOff>114300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BE4E15B1-C25F-3B4F-8A3E-5EB3F68A2DEE}"/>
            </a:ext>
          </a:extLst>
        </xdr:cNvPr>
        <xdr:cNvCxnSpPr/>
      </xdr:nvCxnSpPr>
      <xdr:spPr>
        <a:xfrm flipV="1">
          <a:off x="3416300" y="6540500"/>
          <a:ext cx="25400" cy="2794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177800</xdr:colOff>
      <xdr:row>35</xdr:row>
      <xdr:rowOff>38100</xdr:rowOff>
    </xdr:from>
    <xdr:to>
      <xdr:col>30</xdr:col>
      <xdr:colOff>584200</xdr:colOff>
      <xdr:row>54</xdr:row>
      <xdr:rowOff>50800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E8721FA-82E0-4A43-BE2C-A37219A42E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40</xdr:col>
      <xdr:colOff>133350</xdr:colOff>
      <xdr:row>9</xdr:row>
      <xdr:rowOff>19050</xdr:rowOff>
    </xdr:from>
    <xdr:to>
      <xdr:col>50</xdr:col>
      <xdr:colOff>419100</xdr:colOff>
      <xdr:row>25</xdr:row>
      <xdr:rowOff>50800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E6BE5C4-671A-1B4D-B6E3-825F1BC855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0.28163</cdr:x>
      <cdr:y>0.13419</cdr:y>
    </cdr:from>
    <cdr:to>
      <cdr:x>0.28367</cdr:x>
      <cdr:y>0.78956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1D52A701-7E75-4846-BFDC-88BEC59D1EF9}"/>
            </a:ext>
          </a:extLst>
        </cdr:cNvPr>
        <cdr:cNvCxnSpPr/>
      </cdr:nvCxnSpPr>
      <cdr:spPr>
        <a:xfrm xmlns:a="http://schemas.openxmlformats.org/drawingml/2006/main" flipH="1" flipV="1">
          <a:off x="1752600" y="533400"/>
          <a:ext cx="12700" cy="260518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0.38163</cdr:x>
      <cdr:y>0.13419</cdr:y>
    </cdr:from>
    <cdr:to>
      <cdr:x>0.38163</cdr:x>
      <cdr:y>0.77072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7296BE5F-22F2-AA4A-B1C3-2BDECF609F3B}"/>
            </a:ext>
          </a:extLst>
        </cdr:cNvPr>
        <cdr:cNvCxnSpPr/>
      </cdr:nvCxnSpPr>
      <cdr:spPr>
        <a:xfrm xmlns:a="http://schemas.openxmlformats.org/drawingml/2006/main" flipV="1">
          <a:off x="2374900" y="533400"/>
          <a:ext cx="0" cy="2530301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0.28163</cdr:x>
      <cdr:y>0.31224</cdr:y>
    </cdr:from>
    <cdr:to>
      <cdr:x>0.38163</cdr:x>
      <cdr:y>0.31224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0C2E2F5B-E7D7-244A-A724-FCD39E846DFD}"/>
            </a:ext>
          </a:extLst>
        </cdr:cNvPr>
        <cdr:cNvCxnSpPr/>
      </cdr:nvCxnSpPr>
      <cdr:spPr>
        <a:xfrm xmlns:a="http://schemas.openxmlformats.org/drawingml/2006/main">
          <a:off x="1752600" y="1241195"/>
          <a:ext cx="622300" cy="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</cdr:x>
      <cdr:y>0.07457</cdr:y>
    </cdr:from>
    <cdr:to>
      <cdr:x>0.21837</cdr:x>
      <cdr:y>0.13527</cdr:y>
    </cdr:to>
    <cdr:sp macro="" textlink="">
      <cdr:nvSpPr>
        <cdr:cNvPr id="10" name="Left Brace 9">
          <a:extLst xmlns:a="http://schemas.openxmlformats.org/drawingml/2006/main">
            <a:ext uri="{FF2B5EF4-FFF2-40B4-BE49-F238E27FC236}">
              <a16:creationId xmlns:a16="http://schemas.microsoft.com/office/drawing/2014/main" id="{2424ED13-CD9B-C149-8263-61583C56561B}"/>
            </a:ext>
          </a:extLst>
        </cdr:cNvPr>
        <cdr:cNvSpPr/>
      </cdr:nvSpPr>
      <cdr:spPr>
        <a:xfrm xmlns:a="http://schemas.openxmlformats.org/drawingml/2006/main" rot="5400000">
          <a:off x="862241" y="75409"/>
          <a:ext cx="256718" cy="736600"/>
        </a:xfrm>
        <a:prstGeom xmlns:a="http://schemas.openxmlformats.org/drawingml/2006/main" prst="leftBrac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0.21837</cdr:x>
      <cdr:y>0.08108</cdr:y>
    </cdr:from>
    <cdr:to>
      <cdr:x>0.90816</cdr:x>
      <cdr:y>0.13227</cdr:y>
    </cdr:to>
    <cdr:sp macro="" textlink="">
      <cdr:nvSpPr>
        <cdr:cNvPr id="12" name="Left Brace 11">
          <a:extLst xmlns:a="http://schemas.openxmlformats.org/drawingml/2006/main">
            <a:ext uri="{FF2B5EF4-FFF2-40B4-BE49-F238E27FC236}">
              <a16:creationId xmlns:a16="http://schemas.microsoft.com/office/drawing/2014/main" id="{EB6384D2-76B9-8D47-9643-069291775576}"/>
            </a:ext>
          </a:extLst>
        </cdr:cNvPr>
        <cdr:cNvSpPr/>
      </cdr:nvSpPr>
      <cdr:spPr>
        <a:xfrm xmlns:a="http://schemas.openxmlformats.org/drawingml/2006/main" rot="5400000">
          <a:off x="3396966" y="-1695166"/>
          <a:ext cx="216468" cy="4292600"/>
        </a:xfrm>
        <a:prstGeom xmlns:a="http://schemas.openxmlformats.org/drawingml/2006/main" prst="leftBrac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0.50204</cdr:x>
      <cdr:y>0.01201</cdr:y>
    </cdr:from>
    <cdr:to>
      <cdr:x>0.64286</cdr:x>
      <cdr:y>0.07508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C2D7DE6D-CCFB-4A44-9264-F9142B8076F4}"/>
            </a:ext>
          </a:extLst>
        </cdr:cNvPr>
        <cdr:cNvSpPr txBox="1"/>
      </cdr:nvSpPr>
      <cdr:spPr>
        <a:xfrm xmlns:a="http://schemas.openxmlformats.org/drawingml/2006/main">
          <a:off x="3124200" y="50800"/>
          <a:ext cx="876300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No dilution</a:t>
          </a:r>
        </a:p>
      </cdr:txBody>
    </cdr:sp>
  </cdr:relSizeAnchor>
  <cdr:relSizeAnchor xmlns:cdr="http://schemas.openxmlformats.org/drawingml/2006/chartDrawing">
    <cdr:from>
      <cdr:x>0.08163</cdr:x>
      <cdr:y>0.01802</cdr:y>
    </cdr:from>
    <cdr:to>
      <cdr:x>0.29388</cdr:x>
      <cdr:y>0.07808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D05FA3F9-6D8B-3D43-BF1E-4E0B7264CF2D}"/>
            </a:ext>
          </a:extLst>
        </cdr:cNvPr>
        <cdr:cNvSpPr txBox="1"/>
      </cdr:nvSpPr>
      <cdr:spPr>
        <a:xfrm xmlns:a="http://schemas.openxmlformats.org/drawingml/2006/main">
          <a:off x="508000" y="76200"/>
          <a:ext cx="13208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50%</a:t>
          </a:r>
          <a:r>
            <a:rPr lang="en-US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Dilution</a:t>
          </a:r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0.22857</cdr:x>
      <cdr:y>0.31231</cdr:y>
    </cdr:from>
    <cdr:to>
      <cdr:x>0.47347</cdr:x>
      <cdr:y>0.37538</cdr:y>
    </cdr:to>
    <cdr:sp macro="" textlink="">
      <cdr:nvSpPr>
        <cdr:cNvPr id="17" name="TextBox 16">
          <a:extLst xmlns:a="http://schemas.openxmlformats.org/drawingml/2006/main">
            <a:ext uri="{FF2B5EF4-FFF2-40B4-BE49-F238E27FC236}">
              <a16:creationId xmlns:a16="http://schemas.microsoft.com/office/drawing/2014/main" id="{3E0291E9-9169-1343-854C-CD8A7EF3E768}"/>
            </a:ext>
          </a:extLst>
        </cdr:cNvPr>
        <cdr:cNvSpPr txBox="1"/>
      </cdr:nvSpPr>
      <cdr:spPr>
        <a:xfrm xmlns:a="http://schemas.openxmlformats.org/drawingml/2006/main">
          <a:off x="1422400" y="1320800"/>
          <a:ext cx="1524000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Temperature anomaly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0.29622</cdr:x>
      <cdr:y>0.1406</cdr:y>
    </cdr:from>
    <cdr:to>
      <cdr:x>0.29622</cdr:x>
      <cdr:y>0.76977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8247FD81-3B15-BE44-B11E-0EAFF2A4A4B5}"/>
            </a:ext>
          </a:extLst>
        </cdr:cNvPr>
        <cdr:cNvCxnSpPr/>
      </cdr:nvCxnSpPr>
      <cdr:spPr>
        <a:xfrm xmlns:a="http://schemas.openxmlformats.org/drawingml/2006/main" flipV="1">
          <a:off x="1790700" y="508000"/>
          <a:ext cx="0" cy="227330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accent5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0.39286</cdr:x>
      <cdr:y>0.14411</cdr:y>
    </cdr:from>
    <cdr:to>
      <cdr:x>0.39496</cdr:x>
      <cdr:y>0.76626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F5A85C82-3038-284B-9D65-70BFFC1650E5}"/>
            </a:ext>
          </a:extLst>
        </cdr:cNvPr>
        <cdr:cNvCxnSpPr/>
      </cdr:nvCxnSpPr>
      <cdr:spPr>
        <a:xfrm xmlns:a="http://schemas.openxmlformats.org/drawingml/2006/main" flipH="1" flipV="1">
          <a:off x="2374900" y="520700"/>
          <a:ext cx="12700" cy="224790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accent5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0.29202</cdr:x>
      <cdr:y>0.40773</cdr:y>
    </cdr:from>
    <cdr:to>
      <cdr:x>0.39496</cdr:x>
      <cdr:y>0.40773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8681ADD7-3EB2-B245-A203-A5A59A97244E}"/>
            </a:ext>
          </a:extLst>
        </cdr:cNvPr>
        <cdr:cNvCxnSpPr/>
      </cdr:nvCxnSpPr>
      <cdr:spPr>
        <a:xfrm xmlns:a="http://schemas.openxmlformats.org/drawingml/2006/main">
          <a:off x="1765300" y="1473200"/>
          <a:ext cx="622300" cy="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0.23109</cdr:x>
      <cdr:y>0.13357</cdr:y>
    </cdr:from>
    <cdr:to>
      <cdr:x>0.23319</cdr:x>
      <cdr:y>0.76977</cdr:y>
    </cdr:to>
    <cdr:cxnSp macro="">
      <cdr:nvCxnSpPr>
        <cdr:cNvPr id="12" name="Straight Connector 11">
          <a:extLst xmlns:a="http://schemas.openxmlformats.org/drawingml/2006/main">
            <a:ext uri="{FF2B5EF4-FFF2-40B4-BE49-F238E27FC236}">
              <a16:creationId xmlns:a16="http://schemas.microsoft.com/office/drawing/2014/main" id="{E497B865-F988-AD43-8A9F-84307EDAC93D}"/>
            </a:ext>
          </a:extLst>
        </cdr:cNvPr>
        <cdr:cNvCxnSpPr>
          <a:endCxn xmlns:a="http://schemas.openxmlformats.org/drawingml/2006/main" id="14" idx="0"/>
        </cdr:cNvCxnSpPr>
      </cdr:nvCxnSpPr>
      <cdr:spPr>
        <a:xfrm xmlns:a="http://schemas.openxmlformats.org/drawingml/2006/main" flipH="1" flipV="1">
          <a:off x="1397000" y="482600"/>
          <a:ext cx="12700" cy="229870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0.12185</cdr:x>
      <cdr:y>0.08084</cdr:y>
    </cdr:from>
    <cdr:to>
      <cdr:x>0.23109</cdr:x>
      <cdr:y>0.13357</cdr:y>
    </cdr:to>
    <cdr:sp macro="" textlink="">
      <cdr:nvSpPr>
        <cdr:cNvPr id="14" name="Left Brace 13">
          <a:extLst xmlns:a="http://schemas.openxmlformats.org/drawingml/2006/main">
            <a:ext uri="{FF2B5EF4-FFF2-40B4-BE49-F238E27FC236}">
              <a16:creationId xmlns:a16="http://schemas.microsoft.com/office/drawing/2014/main" id="{2424ED13-CD9B-C149-8263-61583C56561B}"/>
            </a:ext>
          </a:extLst>
        </cdr:cNvPr>
        <cdr:cNvSpPr/>
      </cdr:nvSpPr>
      <cdr:spPr>
        <a:xfrm xmlns:a="http://schemas.openxmlformats.org/drawingml/2006/main" rot="5400000">
          <a:off x="971550" y="57150"/>
          <a:ext cx="190500" cy="660400"/>
        </a:xfrm>
        <a:prstGeom xmlns:a="http://schemas.openxmlformats.org/drawingml/2006/main" prst="leftBrac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0.23109</cdr:x>
      <cdr:y>0.0703</cdr:y>
    </cdr:from>
    <cdr:to>
      <cdr:x>0.89496</cdr:x>
      <cdr:y>0.1406</cdr:y>
    </cdr:to>
    <cdr:sp macro="" textlink="">
      <cdr:nvSpPr>
        <cdr:cNvPr id="16" name="Left Brace 15">
          <a:extLst xmlns:a="http://schemas.openxmlformats.org/drawingml/2006/main">
            <a:ext uri="{FF2B5EF4-FFF2-40B4-BE49-F238E27FC236}">
              <a16:creationId xmlns:a16="http://schemas.microsoft.com/office/drawing/2014/main" id="{2424ED13-CD9B-C149-8263-61583C56561B}"/>
            </a:ext>
          </a:extLst>
        </cdr:cNvPr>
        <cdr:cNvSpPr/>
      </cdr:nvSpPr>
      <cdr:spPr>
        <a:xfrm xmlns:a="http://schemas.openxmlformats.org/drawingml/2006/main" rot="5400000">
          <a:off x="3276600" y="-1625600"/>
          <a:ext cx="254000" cy="4013200"/>
        </a:xfrm>
        <a:prstGeom xmlns:a="http://schemas.openxmlformats.org/drawingml/2006/main" prst="leftBrac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0.10504</cdr:x>
      <cdr:y>0.00703</cdr:y>
    </cdr:from>
    <cdr:to>
      <cdr:x>0.27101</cdr:x>
      <cdr:y>0.07733</cdr:y>
    </cdr:to>
    <cdr:sp macro="" textlink="">
      <cdr:nvSpPr>
        <cdr:cNvPr id="19" name="TextBox 18">
          <a:extLst xmlns:a="http://schemas.openxmlformats.org/drawingml/2006/main">
            <a:ext uri="{FF2B5EF4-FFF2-40B4-BE49-F238E27FC236}">
              <a16:creationId xmlns:a16="http://schemas.microsoft.com/office/drawing/2014/main" id="{ED4D6784-F8DD-804A-BE61-95653CB655D5}"/>
            </a:ext>
          </a:extLst>
        </cdr:cNvPr>
        <cdr:cNvSpPr txBox="1"/>
      </cdr:nvSpPr>
      <cdr:spPr>
        <a:xfrm xmlns:a="http://schemas.openxmlformats.org/drawingml/2006/main">
          <a:off x="635000" y="25400"/>
          <a:ext cx="10033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50%</a:t>
          </a:r>
          <a:r>
            <a:rPr lang="en-US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Dilution</a:t>
          </a:r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0.4958</cdr:x>
      <cdr:y>0</cdr:y>
    </cdr:from>
    <cdr:to>
      <cdr:x>0.65756</cdr:x>
      <cdr:y>0.06327</cdr:y>
    </cdr:to>
    <cdr:sp macro="" textlink="">
      <cdr:nvSpPr>
        <cdr:cNvPr id="20" name="TextBox 19">
          <a:extLst xmlns:a="http://schemas.openxmlformats.org/drawingml/2006/main">
            <a:ext uri="{FF2B5EF4-FFF2-40B4-BE49-F238E27FC236}">
              <a16:creationId xmlns:a16="http://schemas.microsoft.com/office/drawing/2014/main" id="{B07EAAD3-52BF-9E4B-97AD-AC46853DBCF2}"/>
            </a:ext>
          </a:extLst>
        </cdr:cNvPr>
        <cdr:cNvSpPr txBox="1"/>
      </cdr:nvSpPr>
      <cdr:spPr>
        <a:xfrm xmlns:a="http://schemas.openxmlformats.org/drawingml/2006/main">
          <a:off x="2997200" y="0"/>
          <a:ext cx="97790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No dilution</a:t>
          </a:r>
        </a:p>
      </cdr:txBody>
    </cdr:sp>
  </cdr:relSizeAnchor>
  <cdr:relSizeAnchor xmlns:cdr="http://schemas.openxmlformats.org/drawingml/2006/chartDrawing">
    <cdr:from>
      <cdr:x>0.2395</cdr:x>
      <cdr:y>0.41828</cdr:y>
    </cdr:from>
    <cdr:to>
      <cdr:x>0.53571</cdr:x>
      <cdr:y>0.48506</cdr:y>
    </cdr:to>
    <cdr:sp macro="" textlink="">
      <cdr:nvSpPr>
        <cdr:cNvPr id="21" name="TextBox 20">
          <a:extLst xmlns:a="http://schemas.openxmlformats.org/drawingml/2006/main">
            <a:ext uri="{FF2B5EF4-FFF2-40B4-BE49-F238E27FC236}">
              <a16:creationId xmlns:a16="http://schemas.microsoft.com/office/drawing/2014/main" id="{4DB489A1-CD3A-AA4F-B4F4-890430188A68}"/>
            </a:ext>
          </a:extLst>
        </cdr:cNvPr>
        <cdr:cNvSpPr txBox="1"/>
      </cdr:nvSpPr>
      <cdr:spPr>
        <a:xfrm xmlns:a="http://schemas.openxmlformats.org/drawingml/2006/main">
          <a:off x="1447800" y="1511300"/>
          <a:ext cx="1790700" cy="241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Temperature</a:t>
          </a:r>
          <a:r>
            <a:rPr lang="en-US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anomaly</a:t>
          </a:r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0.28131</cdr:x>
      <cdr:y>0.15123</cdr:y>
    </cdr:from>
    <cdr:to>
      <cdr:x>0.28542</cdr:x>
      <cdr:y>0.75309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FB33E57E-668A-D946-A757-20F7DE4DA96D}"/>
            </a:ext>
          </a:extLst>
        </cdr:cNvPr>
        <cdr:cNvCxnSpPr/>
      </cdr:nvCxnSpPr>
      <cdr:spPr>
        <a:xfrm xmlns:a="http://schemas.openxmlformats.org/drawingml/2006/main" flipH="1" flipV="1">
          <a:off x="1739900" y="622300"/>
          <a:ext cx="25400" cy="247650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accent5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0.38193</cdr:x>
      <cdr:y>0.14506</cdr:y>
    </cdr:from>
    <cdr:to>
      <cdr:x>0.38398</cdr:x>
      <cdr:y>0.74691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C07A2287-A40D-5046-AA3A-FD468A9862EF}"/>
            </a:ext>
          </a:extLst>
        </cdr:cNvPr>
        <cdr:cNvCxnSpPr/>
      </cdr:nvCxnSpPr>
      <cdr:spPr>
        <a:xfrm xmlns:a="http://schemas.openxmlformats.org/drawingml/2006/main" flipH="1" flipV="1">
          <a:off x="2362200" y="596900"/>
          <a:ext cx="12700" cy="247650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accent5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0.22382</cdr:x>
      <cdr:y>0.14198</cdr:y>
    </cdr:from>
    <cdr:to>
      <cdr:x>0.22382</cdr:x>
      <cdr:y>0.75</cdr:y>
    </cdr:to>
    <cdr:cxnSp macro="">
      <cdr:nvCxnSpPr>
        <cdr:cNvPr id="9" name="Straight Connector 8">
          <a:extLst xmlns:a="http://schemas.openxmlformats.org/drawingml/2006/main">
            <a:ext uri="{FF2B5EF4-FFF2-40B4-BE49-F238E27FC236}">
              <a16:creationId xmlns:a16="http://schemas.microsoft.com/office/drawing/2014/main" id="{37A49CC7-31A1-8D41-A3F6-C59C1F80E684}"/>
            </a:ext>
          </a:extLst>
        </cdr:cNvPr>
        <cdr:cNvCxnSpPr/>
      </cdr:nvCxnSpPr>
      <cdr:spPr>
        <a:xfrm xmlns:a="http://schemas.openxmlformats.org/drawingml/2006/main" flipV="1">
          <a:off x="1384300" y="584200"/>
          <a:ext cx="0" cy="250190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0.10062</cdr:x>
      <cdr:y>0.08333</cdr:y>
    </cdr:from>
    <cdr:to>
      <cdr:x>0.22382</cdr:x>
      <cdr:y>0.14198</cdr:y>
    </cdr:to>
    <cdr:sp macro="" textlink="">
      <cdr:nvSpPr>
        <cdr:cNvPr id="11" name="Left Brace 10">
          <a:extLst xmlns:a="http://schemas.openxmlformats.org/drawingml/2006/main">
            <a:ext uri="{FF2B5EF4-FFF2-40B4-BE49-F238E27FC236}">
              <a16:creationId xmlns:a16="http://schemas.microsoft.com/office/drawing/2014/main" id="{06355D36-3957-5C4A-A4A9-1DF1303ED71C}"/>
            </a:ext>
          </a:extLst>
        </cdr:cNvPr>
        <cdr:cNvSpPr/>
      </cdr:nvSpPr>
      <cdr:spPr>
        <a:xfrm xmlns:a="http://schemas.openxmlformats.org/drawingml/2006/main" rot="5400000">
          <a:off x="882650" y="82550"/>
          <a:ext cx="241300" cy="762000"/>
        </a:xfrm>
        <a:prstGeom xmlns:a="http://schemas.openxmlformats.org/drawingml/2006/main" prst="leftBrac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0.22382</cdr:x>
      <cdr:y>0.07716</cdr:y>
    </cdr:from>
    <cdr:to>
      <cdr:x>0.90349</cdr:x>
      <cdr:y>0.14815</cdr:y>
    </cdr:to>
    <cdr:sp macro="" textlink="">
      <cdr:nvSpPr>
        <cdr:cNvPr id="12" name="Left Brace 11">
          <a:extLst xmlns:a="http://schemas.openxmlformats.org/drawingml/2006/main">
            <a:ext uri="{FF2B5EF4-FFF2-40B4-BE49-F238E27FC236}">
              <a16:creationId xmlns:a16="http://schemas.microsoft.com/office/drawing/2014/main" id="{5654570A-0337-5C49-BC9B-7C84A04662DA}"/>
            </a:ext>
          </a:extLst>
        </cdr:cNvPr>
        <cdr:cNvSpPr/>
      </cdr:nvSpPr>
      <cdr:spPr>
        <a:xfrm xmlns:a="http://schemas.openxmlformats.org/drawingml/2006/main" rot="5400000">
          <a:off x="3340100" y="-1638300"/>
          <a:ext cx="292100" cy="4203700"/>
        </a:xfrm>
        <a:prstGeom xmlns:a="http://schemas.openxmlformats.org/drawingml/2006/main" prst="leftBrac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0.28131</cdr:x>
      <cdr:y>0.48765</cdr:y>
    </cdr:from>
    <cdr:to>
      <cdr:x>0.38604</cdr:x>
      <cdr:y>0.48765</cdr:y>
    </cdr:to>
    <cdr:cxnSp macro="">
      <cdr:nvCxnSpPr>
        <cdr:cNvPr id="14" name="Straight Arrow Connector 13">
          <a:extLst xmlns:a="http://schemas.openxmlformats.org/drawingml/2006/main">
            <a:ext uri="{FF2B5EF4-FFF2-40B4-BE49-F238E27FC236}">
              <a16:creationId xmlns:a16="http://schemas.microsoft.com/office/drawing/2014/main" id="{CC6B3E8C-2C7F-B541-90AB-760D5C68472A}"/>
            </a:ext>
          </a:extLst>
        </cdr:cNvPr>
        <cdr:cNvCxnSpPr/>
      </cdr:nvCxnSpPr>
      <cdr:spPr>
        <a:xfrm xmlns:a="http://schemas.openxmlformats.org/drawingml/2006/main">
          <a:off x="1739900" y="2006600"/>
          <a:ext cx="647700" cy="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0.06982</cdr:x>
      <cdr:y>0.01543</cdr:y>
    </cdr:from>
    <cdr:to>
      <cdr:x>0.27721</cdr:x>
      <cdr:y>0.07716</cdr:y>
    </cdr:to>
    <cdr:sp macro="" textlink="">
      <cdr:nvSpPr>
        <cdr:cNvPr id="15" name="TextBox 14">
          <a:extLst xmlns:a="http://schemas.openxmlformats.org/drawingml/2006/main">
            <a:ext uri="{FF2B5EF4-FFF2-40B4-BE49-F238E27FC236}">
              <a16:creationId xmlns:a16="http://schemas.microsoft.com/office/drawing/2014/main" id="{83B4BA56-57DF-0345-9D97-8F325DEF7DD7}"/>
            </a:ext>
          </a:extLst>
        </cdr:cNvPr>
        <cdr:cNvSpPr txBox="1"/>
      </cdr:nvSpPr>
      <cdr:spPr>
        <a:xfrm xmlns:a="http://schemas.openxmlformats.org/drawingml/2006/main">
          <a:off x="431800" y="63500"/>
          <a:ext cx="12827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50% </a:t>
          </a:r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Dilution</a:t>
          </a:r>
          <a:r>
            <a:rPr lang="en-US" sz="1100"/>
            <a:t> </a:t>
          </a:r>
        </a:p>
      </cdr:txBody>
    </cdr:sp>
  </cdr:relSizeAnchor>
  <cdr:relSizeAnchor xmlns:cdr="http://schemas.openxmlformats.org/drawingml/2006/chartDrawing">
    <cdr:from>
      <cdr:x>0.49487</cdr:x>
      <cdr:y>0.01852</cdr:y>
    </cdr:from>
    <cdr:to>
      <cdr:x>0.75154</cdr:x>
      <cdr:y>0.07407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C28C0675-DE05-1641-B27B-76DDC1E60953}"/>
            </a:ext>
          </a:extLst>
        </cdr:cNvPr>
        <cdr:cNvSpPr txBox="1"/>
      </cdr:nvSpPr>
      <cdr:spPr>
        <a:xfrm xmlns:a="http://schemas.openxmlformats.org/drawingml/2006/main">
          <a:off x="3060700" y="76200"/>
          <a:ext cx="158750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No dilution</a:t>
          </a:r>
        </a:p>
      </cdr:txBody>
    </cdr:sp>
  </cdr:relSizeAnchor>
  <cdr:relSizeAnchor xmlns:cdr="http://schemas.openxmlformats.org/drawingml/2006/chartDrawing">
    <cdr:from>
      <cdr:x>0.23409</cdr:x>
      <cdr:y>0.5216</cdr:y>
    </cdr:from>
    <cdr:to>
      <cdr:x>0.58727</cdr:x>
      <cdr:y>0.58951</cdr:y>
    </cdr:to>
    <cdr:sp macro="" textlink="">
      <cdr:nvSpPr>
        <cdr:cNvPr id="17" name="TextBox 16">
          <a:extLst xmlns:a="http://schemas.openxmlformats.org/drawingml/2006/main">
            <a:ext uri="{FF2B5EF4-FFF2-40B4-BE49-F238E27FC236}">
              <a16:creationId xmlns:a16="http://schemas.microsoft.com/office/drawing/2014/main" id="{941CC13C-88B6-334B-85EA-3A1F41F54D6E}"/>
            </a:ext>
          </a:extLst>
        </cdr:cNvPr>
        <cdr:cNvSpPr txBox="1"/>
      </cdr:nvSpPr>
      <cdr:spPr>
        <a:xfrm xmlns:a="http://schemas.openxmlformats.org/drawingml/2006/main">
          <a:off x="1447800" y="2146300"/>
          <a:ext cx="21844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Temperature anomaly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0.20395</cdr:x>
      <cdr:y>0.15385</cdr:y>
    </cdr:from>
    <cdr:to>
      <cdr:x>0.20395</cdr:x>
      <cdr:y>0.76573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5A6582DD-2173-314A-9774-059F410FFA69}"/>
            </a:ext>
          </a:extLst>
        </cdr:cNvPr>
        <cdr:cNvCxnSpPr/>
      </cdr:nvCxnSpPr>
      <cdr:spPr>
        <a:xfrm xmlns:a="http://schemas.openxmlformats.org/drawingml/2006/main" flipV="1">
          <a:off x="1181100" y="558800"/>
          <a:ext cx="0" cy="222250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0.09759</cdr:x>
      <cdr:y>0.1049</cdr:y>
    </cdr:from>
    <cdr:to>
      <cdr:x>0.20395</cdr:x>
      <cdr:y>0.15559</cdr:y>
    </cdr:to>
    <cdr:sp macro="" textlink="">
      <cdr:nvSpPr>
        <cdr:cNvPr id="4" name="Left Brace 3">
          <a:extLst xmlns:a="http://schemas.openxmlformats.org/drawingml/2006/main">
            <a:ext uri="{FF2B5EF4-FFF2-40B4-BE49-F238E27FC236}">
              <a16:creationId xmlns:a16="http://schemas.microsoft.com/office/drawing/2014/main" id="{CE1F130C-BCCE-5342-ABCA-9AA7CFAFB08F}"/>
            </a:ext>
          </a:extLst>
        </cdr:cNvPr>
        <cdr:cNvSpPr/>
      </cdr:nvSpPr>
      <cdr:spPr>
        <a:xfrm xmlns:a="http://schemas.openxmlformats.org/drawingml/2006/main" rot="5400000">
          <a:off x="781050" y="165100"/>
          <a:ext cx="184150" cy="615950"/>
        </a:xfrm>
        <a:prstGeom xmlns:a="http://schemas.openxmlformats.org/drawingml/2006/main" prst="leftBrac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0.20614</cdr:x>
      <cdr:y>0.1014</cdr:y>
    </cdr:from>
    <cdr:to>
      <cdr:x>0.89693</cdr:x>
      <cdr:y>0.15559</cdr:y>
    </cdr:to>
    <cdr:sp macro="" textlink="">
      <cdr:nvSpPr>
        <cdr:cNvPr id="5" name="Left Brace 4">
          <a:extLst xmlns:a="http://schemas.openxmlformats.org/drawingml/2006/main">
            <a:ext uri="{FF2B5EF4-FFF2-40B4-BE49-F238E27FC236}">
              <a16:creationId xmlns:a16="http://schemas.microsoft.com/office/drawing/2014/main" id="{AE090B96-8985-6E40-A10D-3FFB64700E65}"/>
            </a:ext>
          </a:extLst>
        </cdr:cNvPr>
        <cdr:cNvSpPr/>
      </cdr:nvSpPr>
      <cdr:spPr>
        <a:xfrm xmlns:a="http://schemas.openxmlformats.org/drawingml/2006/main" rot="5400000">
          <a:off x="3095625" y="-1533525"/>
          <a:ext cx="196850" cy="4000500"/>
        </a:xfrm>
        <a:prstGeom xmlns:a="http://schemas.openxmlformats.org/drawingml/2006/main" prst="leftBrac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0.49561</cdr:x>
      <cdr:y>0.01748</cdr:y>
    </cdr:from>
    <cdr:to>
      <cdr:x>0.66886</cdr:x>
      <cdr:y>0.08741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7D346373-B7AB-7241-8516-F3207C138921}"/>
            </a:ext>
          </a:extLst>
        </cdr:cNvPr>
        <cdr:cNvSpPr txBox="1"/>
      </cdr:nvSpPr>
      <cdr:spPr>
        <a:xfrm xmlns:a="http://schemas.openxmlformats.org/drawingml/2006/main">
          <a:off x="2870200" y="63500"/>
          <a:ext cx="1003322" cy="2540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No Dilution</a:t>
          </a:r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0.0636</cdr:x>
      <cdr:y>0.01399</cdr:y>
    </cdr:from>
    <cdr:to>
      <cdr:x>0.23685</cdr:x>
      <cdr:y>0.08392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7D346373-B7AB-7241-8516-F3207C138921}"/>
            </a:ext>
          </a:extLst>
        </cdr:cNvPr>
        <cdr:cNvSpPr txBox="1"/>
      </cdr:nvSpPr>
      <cdr:spPr>
        <a:xfrm xmlns:a="http://schemas.openxmlformats.org/drawingml/2006/main">
          <a:off x="368300" y="50800"/>
          <a:ext cx="1003322" cy="2540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50%</a:t>
          </a:r>
          <a:r>
            <a:rPr lang="en-US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Dilution</a:t>
          </a:r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845864</xdr:colOff>
      <xdr:row>168</xdr:row>
      <xdr:rowOff>182116</xdr:rowOff>
    </xdr:from>
    <xdr:to>
      <xdr:col>28</xdr:col>
      <xdr:colOff>816428</xdr:colOff>
      <xdr:row>183</xdr:row>
      <xdr:rowOff>73259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9B5AC0-42C3-6A4E-8B00-A896A1262B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303368</xdr:colOff>
      <xdr:row>168</xdr:row>
      <xdr:rowOff>169930</xdr:rowOff>
    </xdr:from>
    <xdr:to>
      <xdr:col>22</xdr:col>
      <xdr:colOff>665092</xdr:colOff>
      <xdr:row>183</xdr:row>
      <xdr:rowOff>53930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623E32-46F1-0849-BD1E-F5CE484283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34327</xdr:colOff>
      <xdr:row>184</xdr:row>
      <xdr:rowOff>66426</xdr:rowOff>
    </xdr:from>
    <xdr:to>
      <xdr:col>29</xdr:col>
      <xdr:colOff>34327</xdr:colOff>
      <xdr:row>198</xdr:row>
      <xdr:rowOff>142626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72DE90-F48A-6549-81D6-C56E6BF407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253093</xdr:colOff>
      <xdr:row>184</xdr:row>
      <xdr:rowOff>69397</xdr:rowOff>
    </xdr:from>
    <xdr:to>
      <xdr:col>22</xdr:col>
      <xdr:colOff>620486</xdr:colOff>
      <xdr:row>198</xdr:row>
      <xdr:rowOff>145597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84A996-661F-9E4D-B190-644435101D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326572</xdr:colOff>
      <xdr:row>184</xdr:row>
      <xdr:rowOff>87085</xdr:rowOff>
    </xdr:from>
    <xdr:to>
      <xdr:col>35</xdr:col>
      <xdr:colOff>332015</xdr:colOff>
      <xdr:row>198</xdr:row>
      <xdr:rowOff>163285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F55A56A-6299-7D44-89DD-C78B73C84A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35</xdr:col>
      <xdr:colOff>652152</xdr:colOff>
      <xdr:row>169</xdr:row>
      <xdr:rowOff>12370</xdr:rowOff>
    </xdr:from>
    <xdr:to>
      <xdr:col>41</xdr:col>
      <xdr:colOff>656845</xdr:colOff>
      <xdr:row>183</xdr:row>
      <xdr:rowOff>88570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0FFAA5E-7004-FF45-BFD7-CB3E07A8AA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312964</xdr:colOff>
      <xdr:row>169</xdr:row>
      <xdr:rowOff>0</xdr:rowOff>
    </xdr:from>
    <xdr:to>
      <xdr:col>35</xdr:col>
      <xdr:colOff>316790</xdr:colOff>
      <xdr:row>183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5B5B27D-1959-984E-BB25-A6C3CD5D0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282</xdr:col>
      <xdr:colOff>145677</xdr:colOff>
      <xdr:row>153</xdr:row>
      <xdr:rowOff>134471</xdr:rowOff>
    </xdr:from>
    <xdr:to>
      <xdr:col>290</xdr:col>
      <xdr:colOff>526677</xdr:colOff>
      <xdr:row>168</xdr:row>
      <xdr:rowOff>20171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8846605-6CC8-3248-A6BC-86C8DCF39C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824413</xdr:colOff>
      <xdr:row>215</xdr:row>
      <xdr:rowOff>153078</xdr:rowOff>
    </xdr:from>
    <xdr:to>
      <xdr:col>28</xdr:col>
      <xdr:colOff>802767</xdr:colOff>
      <xdr:row>230</xdr:row>
      <xdr:rowOff>38778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9E77612-E3C1-0049-838B-7DE61DBB15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163286</xdr:colOff>
      <xdr:row>215</xdr:row>
      <xdr:rowOff>97505</xdr:rowOff>
    </xdr:from>
    <xdr:to>
      <xdr:col>22</xdr:col>
      <xdr:colOff>522640</xdr:colOff>
      <xdr:row>229</xdr:row>
      <xdr:rowOff>173705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9BA58F1-EC94-664F-B48B-DA6E5247B4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23</xdr:col>
      <xdr:colOff>59012</xdr:colOff>
      <xdr:row>200</xdr:row>
      <xdr:rowOff>54427</xdr:rowOff>
    </xdr:from>
    <xdr:to>
      <xdr:col>29</xdr:col>
      <xdr:colOff>50973</xdr:colOff>
      <xdr:row>214</xdr:row>
      <xdr:rowOff>130627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744CD86-9B24-B54F-9E38-9EEB1EF367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207892</xdr:colOff>
      <xdr:row>200</xdr:row>
      <xdr:rowOff>0</xdr:rowOff>
    </xdr:from>
    <xdr:to>
      <xdr:col>22</xdr:col>
      <xdr:colOff>567246</xdr:colOff>
      <xdr:row>214</xdr:row>
      <xdr:rowOff>91409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34332F1-ADE5-A54F-819D-8C6F52772D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35</xdr:col>
      <xdr:colOff>657162</xdr:colOff>
      <xdr:row>200</xdr:row>
      <xdr:rowOff>147820</xdr:rowOff>
    </xdr:from>
    <xdr:to>
      <xdr:col>41</xdr:col>
      <xdr:colOff>666711</xdr:colOff>
      <xdr:row>215</xdr:row>
      <xdr:rowOff>33520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5F1C36A-A03C-BF40-9E4E-F419036535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29</xdr:col>
      <xdr:colOff>367393</xdr:colOff>
      <xdr:row>215</xdr:row>
      <xdr:rowOff>187405</xdr:rowOff>
    </xdr:from>
    <xdr:to>
      <xdr:col>35</xdr:col>
      <xdr:colOff>380541</xdr:colOff>
      <xdr:row>230</xdr:row>
      <xdr:rowOff>73105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DEBC04-2323-EA42-AA6E-9D3D0BAAA6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29</xdr:col>
      <xdr:colOff>338012</xdr:colOff>
      <xdr:row>200</xdr:row>
      <xdr:rowOff>95250</xdr:rowOff>
    </xdr:from>
    <xdr:to>
      <xdr:col>35</xdr:col>
      <xdr:colOff>329973</xdr:colOff>
      <xdr:row>214</xdr:row>
      <xdr:rowOff>171450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0DE60F0-F800-8B4C-B749-FBA5F3792E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35</xdr:col>
      <xdr:colOff>640773</xdr:colOff>
      <xdr:row>184</xdr:row>
      <xdr:rowOff>121227</xdr:rowOff>
    </xdr:from>
    <xdr:to>
      <xdr:col>41</xdr:col>
      <xdr:colOff>662967</xdr:colOff>
      <xdr:row>199</xdr:row>
      <xdr:rowOff>6927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8759DD7-AA46-C144-A762-10498C47C6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35</xdr:col>
      <xdr:colOff>615415</xdr:colOff>
      <xdr:row>215</xdr:row>
      <xdr:rowOff>182459</xdr:rowOff>
    </xdr:from>
    <xdr:to>
      <xdr:col>41</xdr:col>
      <xdr:colOff>666751</xdr:colOff>
      <xdr:row>230</xdr:row>
      <xdr:rowOff>68159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1807AE9-2FAB-9C48-A71A-6D2459D7D4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43</xdr:col>
      <xdr:colOff>37619</xdr:colOff>
      <xdr:row>184</xdr:row>
      <xdr:rowOff>125449</xdr:rowOff>
    </xdr:from>
    <xdr:to>
      <xdr:col>46</xdr:col>
      <xdr:colOff>299687</xdr:colOff>
      <xdr:row>199</xdr:row>
      <xdr:rowOff>11149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CC5B680-505C-C941-B9FB-05005EFEA4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43</xdr:col>
      <xdr:colOff>22267</xdr:colOff>
      <xdr:row>169</xdr:row>
      <xdr:rowOff>0</xdr:rowOff>
    </xdr:from>
    <xdr:to>
      <xdr:col>46</xdr:col>
      <xdr:colOff>279387</xdr:colOff>
      <xdr:row>183</xdr:row>
      <xdr:rowOff>76200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BCA9968D-E1FE-294C-BCAB-69ECDFEFF9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46</xdr:col>
      <xdr:colOff>601756</xdr:colOff>
      <xdr:row>184</xdr:row>
      <xdr:rowOff>131050</xdr:rowOff>
    </xdr:from>
    <xdr:to>
      <xdr:col>50</xdr:col>
      <xdr:colOff>181535</xdr:colOff>
      <xdr:row>199</xdr:row>
      <xdr:rowOff>16750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5CF04974-FDDC-5D49-BF19-4A64E862C6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50</xdr:col>
      <xdr:colOff>479290</xdr:colOff>
      <xdr:row>200</xdr:row>
      <xdr:rowOff>11789</xdr:rowOff>
    </xdr:from>
    <xdr:to>
      <xdr:col>54</xdr:col>
      <xdr:colOff>45462</xdr:colOff>
      <xdr:row>214</xdr:row>
      <xdr:rowOff>87989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E16FFF46-456E-0243-921C-8063B9126D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634934</xdr:colOff>
      <xdr:row>169</xdr:row>
      <xdr:rowOff>12152</xdr:rowOff>
    </xdr:from>
    <xdr:to>
      <xdr:col>50</xdr:col>
      <xdr:colOff>207637</xdr:colOff>
      <xdr:row>183</xdr:row>
      <xdr:rowOff>88352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147EB155-5EE0-294C-98AA-322D1C23DD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43</xdr:col>
      <xdr:colOff>0</xdr:colOff>
      <xdr:row>200</xdr:row>
      <xdr:rowOff>43006</xdr:rowOff>
    </xdr:from>
    <xdr:to>
      <xdr:col>46</xdr:col>
      <xdr:colOff>257120</xdr:colOff>
      <xdr:row>214</xdr:row>
      <xdr:rowOff>119206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40FC7A95-84A2-2940-A8D1-4EB9462A54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46</xdr:col>
      <xdr:colOff>540924</xdr:colOff>
      <xdr:row>200</xdr:row>
      <xdr:rowOff>10988</xdr:rowOff>
    </xdr:from>
    <xdr:to>
      <xdr:col>50</xdr:col>
      <xdr:colOff>133855</xdr:colOff>
      <xdr:row>214</xdr:row>
      <xdr:rowOff>87188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837DD6F4-6258-8A4E-893D-B351890D44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50</xdr:col>
      <xdr:colOff>656585</xdr:colOff>
      <xdr:row>169</xdr:row>
      <xdr:rowOff>26996</xdr:rowOff>
    </xdr:from>
    <xdr:to>
      <xdr:col>54</xdr:col>
      <xdr:colOff>222756</xdr:colOff>
      <xdr:row>183</xdr:row>
      <xdr:rowOff>103196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62963A67-C4BC-CC4B-BC3B-2AF608463F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0.30015</cdr:x>
      <cdr:y>0.09197</cdr:y>
    </cdr:from>
    <cdr:to>
      <cdr:x>0.30015</cdr:x>
      <cdr:y>0.74286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112D376C-F9C7-954F-8911-43AD4FBA298F}"/>
            </a:ext>
          </a:extLst>
        </cdr:cNvPr>
        <cdr:cNvCxnSpPr/>
      </cdr:nvCxnSpPr>
      <cdr:spPr>
        <a:xfrm xmlns:a="http://schemas.openxmlformats.org/drawingml/2006/main" flipV="1">
          <a:off x="1539073" y="252786"/>
          <a:ext cx="0" cy="178906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ysClr val="windowText" lastClr="0000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0.45212</cdr:x>
      <cdr:y>0.09283</cdr:y>
    </cdr:from>
    <cdr:to>
      <cdr:x>0.45212</cdr:x>
      <cdr:y>0.7437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047EFC7A-029E-1848-8562-5B0174A6EF5E}"/>
            </a:ext>
          </a:extLst>
        </cdr:cNvPr>
        <cdr:cNvCxnSpPr/>
      </cdr:nvCxnSpPr>
      <cdr:spPr>
        <a:xfrm xmlns:a="http://schemas.openxmlformats.org/drawingml/2006/main" flipV="1">
          <a:off x="2318333" y="255145"/>
          <a:ext cx="0" cy="1789033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ysClr val="windowText" lastClr="0000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0.60009</cdr:x>
      <cdr:y>0.0967</cdr:y>
    </cdr:from>
    <cdr:to>
      <cdr:x>0.60009</cdr:x>
      <cdr:y>0.74758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304A66AE-7D92-CD40-97ED-76DB5D326A7B}"/>
            </a:ext>
          </a:extLst>
        </cdr:cNvPr>
        <cdr:cNvCxnSpPr/>
      </cdr:nvCxnSpPr>
      <cdr:spPr>
        <a:xfrm xmlns:a="http://schemas.openxmlformats.org/drawingml/2006/main" flipV="1">
          <a:off x="3077047" y="265789"/>
          <a:ext cx="0" cy="1789032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ysClr val="windowText" lastClr="0000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0.74684</cdr:x>
      <cdr:y>0.09016</cdr:y>
    </cdr:from>
    <cdr:to>
      <cdr:x>0.74684</cdr:x>
      <cdr:y>0.74104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E041615E-7814-CF4B-8B40-AAD550FFD99A}"/>
            </a:ext>
          </a:extLst>
        </cdr:cNvPr>
        <cdr:cNvCxnSpPr/>
      </cdr:nvCxnSpPr>
      <cdr:spPr>
        <a:xfrm xmlns:a="http://schemas.openxmlformats.org/drawingml/2006/main" flipV="1">
          <a:off x="3829532" y="247821"/>
          <a:ext cx="0" cy="1789032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ysClr val="windowText" lastClr="0000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0.15073</cdr:x>
      <cdr:y>0.09904</cdr:y>
    </cdr:from>
    <cdr:to>
      <cdr:x>0.30091</cdr:x>
      <cdr:y>0.09912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F8CB5CE6-A92C-2242-A13F-EEB64DD7E7B0}"/>
            </a:ext>
          </a:extLst>
        </cdr:cNvPr>
        <cdr:cNvCxnSpPr/>
      </cdr:nvCxnSpPr>
      <cdr:spPr>
        <a:xfrm xmlns:a="http://schemas.openxmlformats.org/drawingml/2006/main" flipV="1">
          <a:off x="772892" y="272235"/>
          <a:ext cx="770094" cy="22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0.30253</cdr:x>
      <cdr:y>0.09836</cdr:y>
    </cdr:from>
    <cdr:to>
      <cdr:x>0.44838</cdr:x>
      <cdr:y>0.09848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63B5DD5C-B80B-A84E-8BC2-07A72349E058}"/>
            </a:ext>
          </a:extLst>
        </cdr:cNvPr>
        <cdr:cNvCxnSpPr/>
      </cdr:nvCxnSpPr>
      <cdr:spPr>
        <a:xfrm xmlns:a="http://schemas.openxmlformats.org/drawingml/2006/main" flipV="1">
          <a:off x="1551276" y="270370"/>
          <a:ext cx="747851" cy="32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0.4513</cdr:x>
      <cdr:y>0.09916</cdr:y>
    </cdr:from>
    <cdr:to>
      <cdr:x>0.60111</cdr:x>
      <cdr:y>0.09938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8FBE024D-5901-654B-ABC4-70418FDFC52A}"/>
            </a:ext>
          </a:extLst>
        </cdr:cNvPr>
        <cdr:cNvCxnSpPr/>
      </cdr:nvCxnSpPr>
      <cdr:spPr>
        <a:xfrm xmlns:a="http://schemas.openxmlformats.org/drawingml/2006/main">
          <a:off x="2314131" y="272545"/>
          <a:ext cx="768172" cy="608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0.60153</cdr:x>
      <cdr:y>0.09923</cdr:y>
    </cdr:from>
    <cdr:to>
      <cdr:x>0.75088</cdr:x>
      <cdr:y>0.09938</cdr:y>
    </cdr:to>
    <cdr:cxnSp macro="">
      <cdr:nvCxnSpPr>
        <cdr:cNvPr id="9" name="Straight Arrow Connector 8">
          <a:extLst xmlns:a="http://schemas.openxmlformats.org/drawingml/2006/main">
            <a:ext uri="{FF2B5EF4-FFF2-40B4-BE49-F238E27FC236}">
              <a16:creationId xmlns:a16="http://schemas.microsoft.com/office/drawing/2014/main" id="{CD0F6FB3-0474-B64C-94FA-B209305269C9}"/>
            </a:ext>
          </a:extLst>
        </cdr:cNvPr>
        <cdr:cNvCxnSpPr/>
      </cdr:nvCxnSpPr>
      <cdr:spPr>
        <a:xfrm xmlns:a="http://schemas.openxmlformats.org/drawingml/2006/main">
          <a:off x="3084473" y="272759"/>
          <a:ext cx="765783" cy="394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0.74957</cdr:x>
      <cdr:y>0.09964</cdr:y>
    </cdr:from>
    <cdr:to>
      <cdr:x>0.89376</cdr:x>
      <cdr:y>0.09964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8F8AFE44-83FE-B84F-A1C6-FE0D73A4F10C}"/>
            </a:ext>
          </a:extLst>
        </cdr:cNvPr>
        <cdr:cNvCxnSpPr/>
      </cdr:nvCxnSpPr>
      <cdr:spPr>
        <a:xfrm xmlns:a="http://schemas.openxmlformats.org/drawingml/2006/main">
          <a:off x="3843572" y="273872"/>
          <a:ext cx="739354" cy="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0.1479</cdr:x>
      <cdr:y>0</cdr:y>
    </cdr:from>
    <cdr:to>
      <cdr:x>0.31242</cdr:x>
      <cdr:y>0.0693</cdr:y>
    </cdr:to>
    <cdr:sp macro="" textlink="">
      <cdr:nvSpPr>
        <cdr:cNvPr id="11" name="TextBox 6"/>
        <cdr:cNvSpPr txBox="1"/>
      </cdr:nvSpPr>
      <cdr:spPr>
        <a:xfrm xmlns:a="http://schemas.openxmlformats.org/drawingml/2006/main">
          <a:off x="758371" y="0"/>
          <a:ext cx="843623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55 h</a:t>
          </a:r>
          <a:endParaRPr lang="en-GB" sz="1100"/>
        </a:p>
      </cdr:txBody>
    </cdr:sp>
  </cdr:relSizeAnchor>
  <cdr:relSizeAnchor xmlns:cdr="http://schemas.openxmlformats.org/drawingml/2006/chartDrawing">
    <cdr:from>
      <cdr:x>0.29303</cdr:x>
      <cdr:y>0</cdr:y>
    </cdr:from>
    <cdr:to>
      <cdr:x>0.45755</cdr:x>
      <cdr:y>0.0693</cdr:y>
    </cdr:to>
    <cdr:sp macro="" textlink="">
      <cdr:nvSpPr>
        <cdr:cNvPr id="12" name="TextBox 1"/>
        <cdr:cNvSpPr txBox="1"/>
      </cdr:nvSpPr>
      <cdr:spPr>
        <a:xfrm xmlns:a="http://schemas.openxmlformats.org/drawingml/2006/main">
          <a:off x="1502566" y="0"/>
          <a:ext cx="843623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96 h</a:t>
          </a:r>
          <a:endParaRPr lang="en-GB" sz="1100"/>
        </a:p>
      </cdr:txBody>
    </cdr:sp>
  </cdr:relSizeAnchor>
  <cdr:relSizeAnchor xmlns:cdr="http://schemas.openxmlformats.org/drawingml/2006/chartDrawing">
    <cdr:from>
      <cdr:x>0.44505</cdr:x>
      <cdr:y>0</cdr:y>
    </cdr:from>
    <cdr:to>
      <cdr:x>0.60959</cdr:x>
      <cdr:y>0.0693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2282083" y="0"/>
          <a:ext cx="843674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48 h</a:t>
          </a:r>
          <a:endParaRPr lang="en-GB" sz="1100"/>
        </a:p>
      </cdr:txBody>
    </cdr:sp>
  </cdr:relSizeAnchor>
  <cdr:relSizeAnchor xmlns:cdr="http://schemas.openxmlformats.org/drawingml/2006/chartDrawing">
    <cdr:from>
      <cdr:x>0.60334</cdr:x>
      <cdr:y>0</cdr:y>
    </cdr:from>
    <cdr:to>
      <cdr:x>0.76786</cdr:x>
      <cdr:y>0.0693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3093730" y="0"/>
          <a:ext cx="843623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36 h</a:t>
          </a:r>
          <a:endParaRPr lang="en-GB" sz="1100"/>
        </a:p>
      </cdr:txBody>
    </cdr:sp>
  </cdr:relSizeAnchor>
  <cdr:relSizeAnchor xmlns:cdr="http://schemas.openxmlformats.org/drawingml/2006/chartDrawing">
    <cdr:from>
      <cdr:x>0.74079</cdr:x>
      <cdr:y>0</cdr:y>
    </cdr:from>
    <cdr:to>
      <cdr:x>0.90531</cdr:x>
      <cdr:y>0.0693</cdr:y>
    </cdr:to>
    <cdr:sp macro="" textlink="">
      <cdr:nvSpPr>
        <cdr:cNvPr id="15" name="TextBox 1"/>
        <cdr:cNvSpPr txBox="1"/>
      </cdr:nvSpPr>
      <cdr:spPr>
        <a:xfrm xmlns:a="http://schemas.openxmlformats.org/drawingml/2006/main">
          <a:off x="3798534" y="0"/>
          <a:ext cx="843623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24 h</a:t>
          </a:r>
          <a:endParaRPr lang="en-GB" sz="1100"/>
        </a:p>
      </cdr:txBody>
    </cdr:sp>
  </cdr:relSizeAnchor>
  <cdr:relSizeAnchor xmlns:cdr="http://schemas.openxmlformats.org/drawingml/2006/chartDrawing">
    <cdr:from>
      <cdr:x>0.88827</cdr:x>
      <cdr:y>0.09769</cdr:y>
    </cdr:from>
    <cdr:to>
      <cdr:x>0.88853</cdr:x>
      <cdr:y>0.73554</cdr:y>
    </cdr:to>
    <cdr:cxnSp macro="">
      <cdr:nvCxnSpPr>
        <cdr:cNvPr id="16" name="Straight Connector 15">
          <a:extLst xmlns:a="http://schemas.openxmlformats.org/drawingml/2006/main">
            <a:ext uri="{FF2B5EF4-FFF2-40B4-BE49-F238E27FC236}">
              <a16:creationId xmlns:a16="http://schemas.microsoft.com/office/drawing/2014/main" id="{82ABF83D-2678-E648-A1E5-EC169CFDBED5}"/>
            </a:ext>
          </a:extLst>
        </cdr:cNvPr>
        <cdr:cNvCxnSpPr/>
      </cdr:nvCxnSpPr>
      <cdr:spPr>
        <a:xfrm xmlns:a="http://schemas.openxmlformats.org/drawingml/2006/main" flipH="1" flipV="1">
          <a:off x="4554765" y="268515"/>
          <a:ext cx="1345" cy="1753218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bg1">
              <a:lumMod val="50000"/>
            </a:schemeClr>
          </a:solidFill>
          <a:prstDash val="solid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0.29442</cdr:x>
      <cdr:y>0.09221</cdr:y>
    </cdr:from>
    <cdr:to>
      <cdr:x>0.29442</cdr:x>
      <cdr:y>0.74479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425DE2D4-216B-814A-B4F9-30EE34C8F340}"/>
            </a:ext>
          </a:extLst>
        </cdr:cNvPr>
        <cdr:cNvCxnSpPr/>
      </cdr:nvCxnSpPr>
      <cdr:spPr>
        <a:xfrm xmlns:a="http://schemas.openxmlformats.org/drawingml/2006/main" flipV="1">
          <a:off x="1517615" y="252786"/>
          <a:ext cx="0" cy="178906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ysClr val="windowText" lastClr="0000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0.44609</cdr:x>
      <cdr:y>0.09307</cdr:y>
    </cdr:from>
    <cdr:to>
      <cdr:x>0.44609</cdr:x>
      <cdr:y>0.74564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7D30C577-3E4B-1645-A6D6-B7DA953EDCA5}"/>
            </a:ext>
          </a:extLst>
        </cdr:cNvPr>
        <cdr:cNvCxnSpPr/>
      </cdr:nvCxnSpPr>
      <cdr:spPr>
        <a:xfrm xmlns:a="http://schemas.openxmlformats.org/drawingml/2006/main" flipV="1">
          <a:off x="2299424" y="255145"/>
          <a:ext cx="0" cy="1789033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ysClr val="windowText" lastClr="0000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0.59376</cdr:x>
      <cdr:y>0.09695</cdr:y>
    </cdr:from>
    <cdr:to>
      <cdr:x>0.59376</cdr:x>
      <cdr:y>0.74952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3F07C370-EF03-C049-90B5-B8F368DD7763}"/>
            </a:ext>
          </a:extLst>
        </cdr:cNvPr>
        <cdr:cNvCxnSpPr/>
      </cdr:nvCxnSpPr>
      <cdr:spPr>
        <a:xfrm xmlns:a="http://schemas.openxmlformats.org/drawingml/2006/main" flipV="1">
          <a:off x="3060621" y="265789"/>
          <a:ext cx="0" cy="1789032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ysClr val="windowText" lastClr="0000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0.74022</cdr:x>
      <cdr:y>0.0904</cdr:y>
    </cdr:from>
    <cdr:to>
      <cdr:x>0.74022</cdr:x>
      <cdr:y>0.74297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87973493-BB29-5E42-931C-59D08BFD42B1}"/>
            </a:ext>
          </a:extLst>
        </cdr:cNvPr>
        <cdr:cNvCxnSpPr/>
      </cdr:nvCxnSpPr>
      <cdr:spPr>
        <a:xfrm xmlns:a="http://schemas.openxmlformats.org/drawingml/2006/main" flipV="1">
          <a:off x="3815567" y="247821"/>
          <a:ext cx="0" cy="1789032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ysClr val="windowText" lastClr="0000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0.14529</cdr:x>
      <cdr:y>0.0993</cdr:y>
    </cdr:from>
    <cdr:to>
      <cdr:x>0.29518</cdr:x>
      <cdr:y>0.09938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81F74F92-9C40-F445-AE30-5F3536400C83}"/>
            </a:ext>
          </a:extLst>
        </cdr:cNvPr>
        <cdr:cNvCxnSpPr/>
      </cdr:nvCxnSpPr>
      <cdr:spPr>
        <a:xfrm xmlns:a="http://schemas.openxmlformats.org/drawingml/2006/main" flipV="1">
          <a:off x="748927" y="272235"/>
          <a:ext cx="772614" cy="22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0.29679</cdr:x>
      <cdr:y>0.09862</cdr:y>
    </cdr:from>
    <cdr:to>
      <cdr:x>0.44235</cdr:x>
      <cdr:y>0.09874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FF2D5FDA-2FB9-B44E-A775-63CAE3D953C2}"/>
            </a:ext>
          </a:extLst>
        </cdr:cNvPr>
        <cdr:cNvCxnSpPr/>
      </cdr:nvCxnSpPr>
      <cdr:spPr>
        <a:xfrm xmlns:a="http://schemas.openxmlformats.org/drawingml/2006/main" flipV="1">
          <a:off x="1529858" y="270370"/>
          <a:ext cx="750297" cy="32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0.44527</cdr:x>
      <cdr:y>0.09941</cdr:y>
    </cdr:from>
    <cdr:to>
      <cdr:x>0.59478</cdr:x>
      <cdr:y>0.09964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596362A9-D060-0C43-A4AC-43930E166ACA}"/>
            </a:ext>
          </a:extLst>
        </cdr:cNvPr>
        <cdr:cNvCxnSpPr/>
      </cdr:nvCxnSpPr>
      <cdr:spPr>
        <a:xfrm xmlns:a="http://schemas.openxmlformats.org/drawingml/2006/main">
          <a:off x="2287724" y="272545"/>
          <a:ext cx="768172" cy="608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0.59521</cdr:x>
      <cdr:y>0.09949</cdr:y>
    </cdr:from>
    <cdr:to>
      <cdr:x>0.74425</cdr:x>
      <cdr:y>0.09964</cdr:y>
    </cdr:to>
    <cdr:cxnSp macro="">
      <cdr:nvCxnSpPr>
        <cdr:cNvPr id="9" name="Straight Arrow Connector 8">
          <a:extLst xmlns:a="http://schemas.openxmlformats.org/drawingml/2006/main">
            <a:ext uri="{FF2B5EF4-FFF2-40B4-BE49-F238E27FC236}">
              <a16:creationId xmlns:a16="http://schemas.microsoft.com/office/drawing/2014/main" id="{93D93839-F800-D04B-8083-50F1A2DC8DC0}"/>
            </a:ext>
          </a:extLst>
        </cdr:cNvPr>
        <cdr:cNvCxnSpPr/>
      </cdr:nvCxnSpPr>
      <cdr:spPr>
        <a:xfrm xmlns:a="http://schemas.openxmlformats.org/drawingml/2006/main">
          <a:off x="3058066" y="272759"/>
          <a:ext cx="765783" cy="394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0.74295</cdr:x>
      <cdr:y>0.0999</cdr:y>
    </cdr:from>
    <cdr:to>
      <cdr:x>0.88686</cdr:x>
      <cdr:y>0.0999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C9904B64-402D-984B-BB79-D72307D8BFB0}"/>
            </a:ext>
          </a:extLst>
        </cdr:cNvPr>
        <cdr:cNvCxnSpPr/>
      </cdr:nvCxnSpPr>
      <cdr:spPr>
        <a:xfrm xmlns:a="http://schemas.openxmlformats.org/drawingml/2006/main">
          <a:off x="3817165" y="273872"/>
          <a:ext cx="739354" cy="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0.14247</cdr:x>
      <cdr:y>0</cdr:y>
    </cdr:from>
    <cdr:to>
      <cdr:x>0.30666</cdr:x>
      <cdr:y>0.06948</cdr:y>
    </cdr:to>
    <cdr:sp macro="" textlink="">
      <cdr:nvSpPr>
        <cdr:cNvPr id="11" name="TextBox 6"/>
        <cdr:cNvSpPr txBox="1"/>
      </cdr:nvSpPr>
      <cdr:spPr>
        <a:xfrm xmlns:a="http://schemas.openxmlformats.org/drawingml/2006/main">
          <a:off x="734359" y="0"/>
          <a:ext cx="846383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55 h</a:t>
          </a:r>
          <a:endParaRPr lang="en-GB" sz="1100"/>
        </a:p>
      </cdr:txBody>
    </cdr:sp>
  </cdr:relSizeAnchor>
  <cdr:relSizeAnchor xmlns:cdr="http://schemas.openxmlformats.org/drawingml/2006/chartDrawing">
    <cdr:from>
      <cdr:x>0.28731</cdr:x>
      <cdr:y>0</cdr:y>
    </cdr:from>
    <cdr:to>
      <cdr:x>0.45151</cdr:x>
      <cdr:y>0.06948</cdr:y>
    </cdr:to>
    <cdr:sp macro="" textlink="">
      <cdr:nvSpPr>
        <cdr:cNvPr id="12" name="TextBox 1"/>
        <cdr:cNvSpPr txBox="1"/>
      </cdr:nvSpPr>
      <cdr:spPr>
        <a:xfrm xmlns:a="http://schemas.openxmlformats.org/drawingml/2006/main">
          <a:off x="1480988" y="0"/>
          <a:ext cx="846383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96 h</a:t>
          </a:r>
          <a:endParaRPr lang="en-GB" sz="1100"/>
        </a:p>
      </cdr:txBody>
    </cdr:sp>
  </cdr:relSizeAnchor>
  <cdr:relSizeAnchor xmlns:cdr="http://schemas.openxmlformats.org/drawingml/2006/chartDrawing">
    <cdr:from>
      <cdr:x>0.43903</cdr:x>
      <cdr:y>0</cdr:y>
    </cdr:from>
    <cdr:to>
      <cdr:x>0.60324</cdr:x>
      <cdr:y>0.06948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2263056" y="0"/>
          <a:ext cx="846434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48 h</a:t>
          </a:r>
          <a:endParaRPr lang="en-GB" sz="1100"/>
        </a:p>
      </cdr:txBody>
    </cdr:sp>
  </cdr:relSizeAnchor>
  <cdr:relSizeAnchor xmlns:cdr="http://schemas.openxmlformats.org/drawingml/2006/chartDrawing">
    <cdr:from>
      <cdr:x>0.59701</cdr:x>
      <cdr:y>0</cdr:y>
    </cdr:from>
    <cdr:to>
      <cdr:x>0.76121</cdr:x>
      <cdr:y>0.06948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3077358" y="0"/>
          <a:ext cx="846383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36 h</a:t>
          </a:r>
          <a:endParaRPr lang="en-GB" sz="1100"/>
        </a:p>
      </cdr:txBody>
    </cdr:sp>
  </cdr:relSizeAnchor>
  <cdr:relSizeAnchor xmlns:cdr="http://schemas.openxmlformats.org/drawingml/2006/chartDrawing">
    <cdr:from>
      <cdr:x>0.73419</cdr:x>
      <cdr:y>0</cdr:y>
    </cdr:from>
    <cdr:to>
      <cdr:x>0.89838</cdr:x>
      <cdr:y>0.06948</cdr:y>
    </cdr:to>
    <cdr:sp macro="" textlink="">
      <cdr:nvSpPr>
        <cdr:cNvPr id="15" name="TextBox 1"/>
        <cdr:cNvSpPr txBox="1"/>
      </cdr:nvSpPr>
      <cdr:spPr>
        <a:xfrm xmlns:a="http://schemas.openxmlformats.org/drawingml/2006/main">
          <a:off x="3784468" y="0"/>
          <a:ext cx="846383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24 h</a:t>
          </a:r>
          <a:endParaRPr lang="en-GB" sz="1100"/>
        </a:p>
      </cdr:txBody>
    </cdr:sp>
  </cdr:relSizeAnchor>
  <cdr:relSizeAnchor xmlns:cdr="http://schemas.openxmlformats.org/drawingml/2006/chartDrawing">
    <cdr:from>
      <cdr:x>0.88677</cdr:x>
      <cdr:y>0.09746</cdr:y>
    </cdr:from>
    <cdr:to>
      <cdr:x>0.88703</cdr:x>
      <cdr:y>0.73698</cdr:y>
    </cdr:to>
    <cdr:cxnSp macro="">
      <cdr:nvCxnSpPr>
        <cdr:cNvPr id="16" name="Straight Connector 15">
          <a:extLst xmlns:a="http://schemas.openxmlformats.org/drawingml/2006/main">
            <a:ext uri="{FF2B5EF4-FFF2-40B4-BE49-F238E27FC236}">
              <a16:creationId xmlns:a16="http://schemas.microsoft.com/office/drawing/2014/main" id="{5CBCCA9F-5A71-A64F-BEF9-16E833EC4342}"/>
            </a:ext>
          </a:extLst>
        </cdr:cNvPr>
        <cdr:cNvCxnSpPr/>
      </cdr:nvCxnSpPr>
      <cdr:spPr>
        <a:xfrm xmlns:a="http://schemas.openxmlformats.org/drawingml/2006/main" flipH="1" flipV="1">
          <a:off x="4556083" y="267199"/>
          <a:ext cx="1345" cy="1753218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bg1">
              <a:lumMod val="50000"/>
            </a:schemeClr>
          </a:solidFill>
          <a:prstDash val="solid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0.28187</cdr:x>
      <cdr:y>0.09215</cdr:y>
    </cdr:from>
    <cdr:to>
      <cdr:x>0.28187</cdr:x>
      <cdr:y>0.74433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0AC47763-0A1D-784C-ADB0-0732E96C8945}"/>
            </a:ext>
          </a:extLst>
        </cdr:cNvPr>
        <cdr:cNvCxnSpPr/>
      </cdr:nvCxnSpPr>
      <cdr:spPr>
        <a:xfrm xmlns:a="http://schemas.openxmlformats.org/drawingml/2006/main" flipV="1">
          <a:off x="1449784" y="252791"/>
          <a:ext cx="0" cy="178906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ysClr val="windowText" lastClr="0000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0.44445</cdr:x>
      <cdr:y>0.09301</cdr:y>
    </cdr:from>
    <cdr:to>
      <cdr:x>0.44445</cdr:x>
      <cdr:y>0.74518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6EF7E199-1D71-AA4B-840F-7B48230419CB}"/>
            </a:ext>
          </a:extLst>
        </cdr:cNvPr>
        <cdr:cNvCxnSpPr/>
      </cdr:nvCxnSpPr>
      <cdr:spPr>
        <a:xfrm xmlns:a="http://schemas.openxmlformats.org/drawingml/2006/main" flipV="1">
          <a:off x="2286051" y="255156"/>
          <a:ext cx="0" cy="1789033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ysClr val="windowText" lastClr="0000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0.58056</cdr:x>
      <cdr:y>0.09689</cdr:y>
    </cdr:from>
    <cdr:to>
      <cdr:x>0.58056</cdr:x>
      <cdr:y>0.74906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4807B39B-B47A-6743-B258-0E2E0D938CDD}"/>
            </a:ext>
          </a:extLst>
        </cdr:cNvPr>
        <cdr:cNvCxnSpPr/>
      </cdr:nvCxnSpPr>
      <cdr:spPr>
        <a:xfrm xmlns:a="http://schemas.openxmlformats.org/drawingml/2006/main" flipV="1">
          <a:off x="2986126" y="265778"/>
          <a:ext cx="0" cy="1789033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ysClr val="windowText" lastClr="0000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0.7267</cdr:x>
      <cdr:y>0.09034</cdr:y>
    </cdr:from>
    <cdr:to>
      <cdr:x>0.7267</cdr:x>
      <cdr:y>0.74251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F7F8D0DC-3461-DB4E-9E35-F0F4A05EEB51}"/>
            </a:ext>
          </a:extLst>
        </cdr:cNvPr>
        <cdr:cNvCxnSpPr/>
      </cdr:nvCxnSpPr>
      <cdr:spPr>
        <a:xfrm xmlns:a="http://schemas.openxmlformats.org/drawingml/2006/main" flipV="1">
          <a:off x="3737794" y="247826"/>
          <a:ext cx="0" cy="1789033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ysClr val="windowText" lastClr="0000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0.13307</cdr:x>
      <cdr:y>0.0913</cdr:y>
    </cdr:from>
    <cdr:to>
      <cdr:x>0.28263</cdr:x>
      <cdr:y>0.09138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52EF3AAB-18FC-DB4A-9F96-11A824EFA0BC}"/>
            </a:ext>
          </a:extLst>
        </cdr:cNvPr>
        <cdr:cNvCxnSpPr/>
      </cdr:nvCxnSpPr>
      <cdr:spPr>
        <a:xfrm xmlns:a="http://schemas.openxmlformats.org/drawingml/2006/main" flipV="1">
          <a:off x="686618" y="250464"/>
          <a:ext cx="771704" cy="22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0.28529</cdr:x>
      <cdr:y>0.09446</cdr:y>
    </cdr:from>
    <cdr:to>
      <cdr:x>0.44515</cdr:x>
      <cdr:y>0.09471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EDCFD8FB-0A6B-EB4F-867E-2E1D8AB4E6DF}"/>
            </a:ext>
          </a:extLst>
        </cdr:cNvPr>
        <cdr:cNvCxnSpPr/>
      </cdr:nvCxnSpPr>
      <cdr:spPr>
        <a:xfrm xmlns:a="http://schemas.openxmlformats.org/drawingml/2006/main" flipV="1">
          <a:off x="1472072" y="259113"/>
          <a:ext cx="824833" cy="701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0.44539</cdr:x>
      <cdr:y>0.09347</cdr:y>
    </cdr:from>
    <cdr:to>
      <cdr:x>0.58195</cdr:x>
      <cdr:y>0.09384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83701D85-C1F9-0D47-950F-0F599BA85F6D}"/>
            </a:ext>
          </a:extLst>
        </cdr:cNvPr>
        <cdr:cNvCxnSpPr/>
      </cdr:nvCxnSpPr>
      <cdr:spPr>
        <a:xfrm xmlns:a="http://schemas.openxmlformats.org/drawingml/2006/main">
          <a:off x="2298145" y="256415"/>
          <a:ext cx="704642" cy="100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0.58406</cdr:x>
      <cdr:y>0.09582</cdr:y>
    </cdr:from>
    <cdr:to>
      <cdr:x>0.72331</cdr:x>
      <cdr:y>0.09582</cdr:y>
    </cdr:to>
    <cdr:cxnSp macro="">
      <cdr:nvCxnSpPr>
        <cdr:cNvPr id="9" name="Straight Arrow Connector 8">
          <a:extLst xmlns:a="http://schemas.openxmlformats.org/drawingml/2006/main">
            <a:ext uri="{FF2B5EF4-FFF2-40B4-BE49-F238E27FC236}">
              <a16:creationId xmlns:a16="http://schemas.microsoft.com/office/drawing/2014/main" id="{2E5172E1-909B-DC48-944F-C1860C192EC3}"/>
            </a:ext>
          </a:extLst>
        </cdr:cNvPr>
        <cdr:cNvCxnSpPr/>
      </cdr:nvCxnSpPr>
      <cdr:spPr>
        <a:xfrm xmlns:a="http://schemas.openxmlformats.org/drawingml/2006/main">
          <a:off x="3013673" y="262867"/>
          <a:ext cx="718457" cy="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0.72747</cdr:x>
      <cdr:y>0.098</cdr:y>
    </cdr:from>
    <cdr:to>
      <cdr:x>0.87106</cdr:x>
      <cdr:y>0.098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7C6AEF0A-423F-7840-875F-2E63EFF3F4EA}"/>
            </a:ext>
          </a:extLst>
        </cdr:cNvPr>
        <cdr:cNvCxnSpPr/>
      </cdr:nvCxnSpPr>
      <cdr:spPr>
        <a:xfrm xmlns:a="http://schemas.openxmlformats.org/drawingml/2006/main">
          <a:off x="3741725" y="268834"/>
          <a:ext cx="738549" cy="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0.13025</cdr:x>
      <cdr:y>0</cdr:y>
    </cdr:from>
    <cdr:to>
      <cdr:x>0.29409</cdr:x>
      <cdr:y>0.06944</cdr:y>
    </cdr:to>
    <cdr:sp macro="" textlink="">
      <cdr:nvSpPr>
        <cdr:cNvPr id="11" name="TextBox 6"/>
        <cdr:cNvSpPr txBox="1"/>
      </cdr:nvSpPr>
      <cdr:spPr>
        <a:xfrm xmlns:a="http://schemas.openxmlformats.org/drawingml/2006/main">
          <a:off x="669925" y="0"/>
          <a:ext cx="842733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55 h</a:t>
          </a:r>
          <a:endParaRPr lang="en-GB" sz="1100"/>
        </a:p>
      </cdr:txBody>
    </cdr:sp>
  </cdr:relSizeAnchor>
  <cdr:relSizeAnchor xmlns:cdr="http://schemas.openxmlformats.org/drawingml/2006/chartDrawing">
    <cdr:from>
      <cdr:x>0.27478</cdr:x>
      <cdr:y>0</cdr:y>
    </cdr:from>
    <cdr:to>
      <cdr:x>0.43862</cdr:x>
      <cdr:y>0.06944</cdr:y>
    </cdr:to>
    <cdr:sp macro="" textlink="">
      <cdr:nvSpPr>
        <cdr:cNvPr id="12" name="TextBox 1"/>
        <cdr:cNvSpPr txBox="1"/>
      </cdr:nvSpPr>
      <cdr:spPr>
        <a:xfrm xmlns:a="http://schemas.openxmlformats.org/drawingml/2006/main">
          <a:off x="1413307" y="0"/>
          <a:ext cx="842733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96 h</a:t>
          </a:r>
          <a:endParaRPr lang="en-GB" sz="1100"/>
        </a:p>
      </cdr:txBody>
    </cdr:sp>
  </cdr:relSizeAnchor>
  <cdr:relSizeAnchor xmlns:cdr="http://schemas.openxmlformats.org/drawingml/2006/chartDrawing">
    <cdr:from>
      <cdr:x>0.42617</cdr:x>
      <cdr:y>0</cdr:y>
    </cdr:from>
    <cdr:to>
      <cdr:x>0.59002</cdr:x>
      <cdr:y>0.06944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2192018" y="0"/>
          <a:ext cx="842733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48 h</a:t>
          </a:r>
          <a:endParaRPr lang="en-GB" sz="1100"/>
        </a:p>
      </cdr:txBody>
    </cdr:sp>
  </cdr:relSizeAnchor>
  <cdr:relSizeAnchor xmlns:cdr="http://schemas.openxmlformats.org/drawingml/2006/chartDrawing">
    <cdr:from>
      <cdr:x>0.5838</cdr:x>
      <cdr:y>0</cdr:y>
    </cdr:from>
    <cdr:to>
      <cdr:x>0.74764</cdr:x>
      <cdr:y>0.06944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3002765" y="0"/>
          <a:ext cx="842733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36 h</a:t>
          </a:r>
          <a:endParaRPr lang="en-GB" sz="1100"/>
        </a:p>
      </cdr:txBody>
    </cdr:sp>
  </cdr:relSizeAnchor>
  <cdr:relSizeAnchor xmlns:cdr="http://schemas.openxmlformats.org/drawingml/2006/chartDrawing">
    <cdr:from>
      <cdr:x>0.72068</cdr:x>
      <cdr:y>0</cdr:y>
    </cdr:from>
    <cdr:to>
      <cdr:x>0.88452</cdr:x>
      <cdr:y>0.06944</cdr:y>
    </cdr:to>
    <cdr:sp macro="" textlink="">
      <cdr:nvSpPr>
        <cdr:cNvPr id="15" name="TextBox 1"/>
        <cdr:cNvSpPr txBox="1"/>
      </cdr:nvSpPr>
      <cdr:spPr>
        <a:xfrm xmlns:a="http://schemas.openxmlformats.org/drawingml/2006/main">
          <a:off x="3706808" y="0"/>
          <a:ext cx="842733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24 h</a:t>
          </a:r>
          <a:endParaRPr lang="en-GB" sz="1100"/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0.28187</cdr:x>
      <cdr:y>0.09215</cdr:y>
    </cdr:from>
    <cdr:to>
      <cdr:x>0.28187</cdr:x>
      <cdr:y>0.74433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4502D90C-B83C-B442-9674-3CB0323689B0}"/>
            </a:ext>
          </a:extLst>
        </cdr:cNvPr>
        <cdr:cNvCxnSpPr/>
      </cdr:nvCxnSpPr>
      <cdr:spPr>
        <a:xfrm xmlns:a="http://schemas.openxmlformats.org/drawingml/2006/main" flipV="1">
          <a:off x="1449784" y="252791"/>
          <a:ext cx="0" cy="178906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ysClr val="windowText" lastClr="0000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0.43321</cdr:x>
      <cdr:y>0.09301</cdr:y>
    </cdr:from>
    <cdr:to>
      <cdr:x>0.43321</cdr:x>
      <cdr:y>0.74518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06A8CE15-D43C-3C42-8F43-C7C6BD890E45}"/>
            </a:ext>
          </a:extLst>
        </cdr:cNvPr>
        <cdr:cNvCxnSpPr/>
      </cdr:nvCxnSpPr>
      <cdr:spPr>
        <a:xfrm xmlns:a="http://schemas.openxmlformats.org/drawingml/2006/main" flipV="1">
          <a:off x="2235413" y="255145"/>
          <a:ext cx="0" cy="1789033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ysClr val="windowText" lastClr="0000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0.58056</cdr:x>
      <cdr:y>0.09689</cdr:y>
    </cdr:from>
    <cdr:to>
      <cdr:x>0.58056</cdr:x>
      <cdr:y>0.74906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12D7F5BF-7809-5444-8B94-959AE8F83DE8}"/>
            </a:ext>
          </a:extLst>
        </cdr:cNvPr>
        <cdr:cNvCxnSpPr/>
      </cdr:nvCxnSpPr>
      <cdr:spPr>
        <a:xfrm xmlns:a="http://schemas.openxmlformats.org/drawingml/2006/main" flipV="1">
          <a:off x="2986126" y="265778"/>
          <a:ext cx="0" cy="1789033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ysClr val="windowText" lastClr="0000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0.7267</cdr:x>
      <cdr:y>0.09034</cdr:y>
    </cdr:from>
    <cdr:to>
      <cdr:x>0.7267</cdr:x>
      <cdr:y>0.74251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29586D9A-A0E6-4646-A154-8B8C8FC1593A}"/>
            </a:ext>
          </a:extLst>
        </cdr:cNvPr>
        <cdr:cNvCxnSpPr/>
      </cdr:nvCxnSpPr>
      <cdr:spPr>
        <a:xfrm xmlns:a="http://schemas.openxmlformats.org/drawingml/2006/main" flipV="1">
          <a:off x="3737794" y="247826"/>
          <a:ext cx="0" cy="1789033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ysClr val="windowText" lastClr="0000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0.13307</cdr:x>
      <cdr:y>0.09924</cdr:y>
    </cdr:from>
    <cdr:to>
      <cdr:x>0.28263</cdr:x>
      <cdr:y>0.09932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90B557C7-16FB-EB4C-9AE6-83422E6C05FC}"/>
            </a:ext>
          </a:extLst>
        </cdr:cNvPr>
        <cdr:cNvCxnSpPr/>
      </cdr:nvCxnSpPr>
      <cdr:spPr>
        <a:xfrm xmlns:a="http://schemas.openxmlformats.org/drawingml/2006/main" flipV="1">
          <a:off x="684426" y="272235"/>
          <a:ext cx="769300" cy="22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0.28424</cdr:x>
      <cdr:y>0.09856</cdr:y>
    </cdr:from>
    <cdr:to>
      <cdr:x>0.42948</cdr:x>
      <cdr:y>0.09868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38569948-D0E5-F74A-BAB6-B50C6FC146B4}"/>
            </a:ext>
          </a:extLst>
        </cdr:cNvPr>
        <cdr:cNvCxnSpPr/>
      </cdr:nvCxnSpPr>
      <cdr:spPr>
        <a:xfrm xmlns:a="http://schemas.openxmlformats.org/drawingml/2006/main" flipV="1">
          <a:off x="1462006" y="270370"/>
          <a:ext cx="747033" cy="32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0.42758</cdr:x>
      <cdr:y>0.09698</cdr:y>
    </cdr:from>
    <cdr:to>
      <cdr:x>0.59085</cdr:x>
      <cdr:y>0.09703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8D534BE8-5191-8849-BBFC-3352AED347DA}"/>
            </a:ext>
          </a:extLst>
        </cdr:cNvPr>
        <cdr:cNvCxnSpPr/>
      </cdr:nvCxnSpPr>
      <cdr:spPr>
        <a:xfrm xmlns:a="http://schemas.openxmlformats.org/drawingml/2006/main" flipV="1">
          <a:off x="2199268" y="266036"/>
          <a:ext cx="839751" cy="13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0.59054</cdr:x>
      <cdr:y>0.09676</cdr:y>
    </cdr:from>
    <cdr:to>
      <cdr:x>0.72525</cdr:x>
      <cdr:y>0.09676</cdr:y>
    </cdr:to>
    <cdr:cxnSp macro="">
      <cdr:nvCxnSpPr>
        <cdr:cNvPr id="9" name="Straight Arrow Connector 8">
          <a:extLst xmlns:a="http://schemas.openxmlformats.org/drawingml/2006/main">
            <a:ext uri="{FF2B5EF4-FFF2-40B4-BE49-F238E27FC236}">
              <a16:creationId xmlns:a16="http://schemas.microsoft.com/office/drawing/2014/main" id="{471B1D10-FAB5-ED4A-B28D-9089C38B430D}"/>
            </a:ext>
          </a:extLst>
        </cdr:cNvPr>
        <cdr:cNvCxnSpPr/>
      </cdr:nvCxnSpPr>
      <cdr:spPr>
        <a:xfrm xmlns:a="http://schemas.openxmlformats.org/drawingml/2006/main">
          <a:off x="3037425" y="265432"/>
          <a:ext cx="692884" cy="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0.72747</cdr:x>
      <cdr:y>0.098</cdr:y>
    </cdr:from>
    <cdr:to>
      <cdr:x>0.87106</cdr:x>
      <cdr:y>0.098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AFC67E67-C528-334F-8759-BC5CAA77F378}"/>
            </a:ext>
          </a:extLst>
        </cdr:cNvPr>
        <cdr:cNvCxnSpPr/>
      </cdr:nvCxnSpPr>
      <cdr:spPr>
        <a:xfrm xmlns:a="http://schemas.openxmlformats.org/drawingml/2006/main">
          <a:off x="3741725" y="268834"/>
          <a:ext cx="738549" cy="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0.13025</cdr:x>
      <cdr:y>0</cdr:y>
    </cdr:from>
    <cdr:to>
      <cdr:x>0.29409</cdr:x>
      <cdr:y>0.06944</cdr:y>
    </cdr:to>
    <cdr:sp macro="" textlink="">
      <cdr:nvSpPr>
        <cdr:cNvPr id="11" name="TextBox 6"/>
        <cdr:cNvSpPr txBox="1"/>
      </cdr:nvSpPr>
      <cdr:spPr>
        <a:xfrm xmlns:a="http://schemas.openxmlformats.org/drawingml/2006/main">
          <a:off x="669925" y="0"/>
          <a:ext cx="842733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55 h</a:t>
          </a:r>
          <a:endParaRPr lang="en-GB" sz="1100"/>
        </a:p>
      </cdr:txBody>
    </cdr:sp>
  </cdr:relSizeAnchor>
  <cdr:relSizeAnchor xmlns:cdr="http://schemas.openxmlformats.org/drawingml/2006/chartDrawing">
    <cdr:from>
      <cdr:x>0.27478</cdr:x>
      <cdr:y>0</cdr:y>
    </cdr:from>
    <cdr:to>
      <cdr:x>0.43862</cdr:x>
      <cdr:y>0.06944</cdr:y>
    </cdr:to>
    <cdr:sp macro="" textlink="">
      <cdr:nvSpPr>
        <cdr:cNvPr id="12" name="TextBox 1"/>
        <cdr:cNvSpPr txBox="1"/>
      </cdr:nvSpPr>
      <cdr:spPr>
        <a:xfrm xmlns:a="http://schemas.openxmlformats.org/drawingml/2006/main">
          <a:off x="1413307" y="0"/>
          <a:ext cx="842733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96 h</a:t>
          </a:r>
          <a:endParaRPr lang="en-GB" sz="1100"/>
        </a:p>
      </cdr:txBody>
    </cdr:sp>
  </cdr:relSizeAnchor>
  <cdr:relSizeAnchor xmlns:cdr="http://schemas.openxmlformats.org/drawingml/2006/chartDrawing">
    <cdr:from>
      <cdr:x>0.42617</cdr:x>
      <cdr:y>0</cdr:y>
    </cdr:from>
    <cdr:to>
      <cdr:x>0.59002</cdr:x>
      <cdr:y>0.06944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2192018" y="0"/>
          <a:ext cx="842733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48 h</a:t>
          </a:r>
          <a:endParaRPr lang="en-GB" sz="1100"/>
        </a:p>
      </cdr:txBody>
    </cdr:sp>
  </cdr:relSizeAnchor>
  <cdr:relSizeAnchor xmlns:cdr="http://schemas.openxmlformats.org/drawingml/2006/chartDrawing">
    <cdr:from>
      <cdr:x>0.5838</cdr:x>
      <cdr:y>0</cdr:y>
    </cdr:from>
    <cdr:to>
      <cdr:x>0.74764</cdr:x>
      <cdr:y>0.06944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3002765" y="0"/>
          <a:ext cx="842733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36 h</a:t>
          </a:r>
          <a:endParaRPr lang="en-GB" sz="1100"/>
        </a:p>
      </cdr:txBody>
    </cdr:sp>
  </cdr:relSizeAnchor>
  <cdr:relSizeAnchor xmlns:cdr="http://schemas.openxmlformats.org/drawingml/2006/chartDrawing">
    <cdr:from>
      <cdr:x>0.72068</cdr:x>
      <cdr:y>0</cdr:y>
    </cdr:from>
    <cdr:to>
      <cdr:x>0.88452</cdr:x>
      <cdr:y>0.06944</cdr:y>
    </cdr:to>
    <cdr:sp macro="" textlink="">
      <cdr:nvSpPr>
        <cdr:cNvPr id="15" name="TextBox 1"/>
        <cdr:cNvSpPr txBox="1"/>
      </cdr:nvSpPr>
      <cdr:spPr>
        <a:xfrm xmlns:a="http://schemas.openxmlformats.org/drawingml/2006/main">
          <a:off x="3706808" y="0"/>
          <a:ext cx="842733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24 h</a:t>
          </a:r>
          <a:endParaRPr lang="en-GB" sz="1100"/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0.2865</cdr:x>
      <cdr:y>0.09215</cdr:y>
    </cdr:from>
    <cdr:to>
      <cdr:x>0.2865</cdr:x>
      <cdr:y>0.74433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DAB83579-F74A-634F-BEAD-0AE6D4E31E8C}"/>
            </a:ext>
          </a:extLst>
        </cdr:cNvPr>
        <cdr:cNvCxnSpPr/>
      </cdr:nvCxnSpPr>
      <cdr:spPr>
        <a:xfrm xmlns:a="http://schemas.openxmlformats.org/drawingml/2006/main" flipV="1">
          <a:off x="1473946" y="252786"/>
          <a:ext cx="0" cy="178906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ysClr val="windowText" lastClr="0000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0.44174</cdr:x>
      <cdr:y>0.09202</cdr:y>
    </cdr:from>
    <cdr:to>
      <cdr:x>0.44174</cdr:x>
      <cdr:y>0.74419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3C97AD20-AA10-F04B-B795-4FA28CA35013}"/>
            </a:ext>
          </a:extLst>
        </cdr:cNvPr>
        <cdr:cNvCxnSpPr/>
      </cdr:nvCxnSpPr>
      <cdr:spPr>
        <a:xfrm xmlns:a="http://schemas.openxmlformats.org/drawingml/2006/main" flipV="1">
          <a:off x="2276249" y="252421"/>
          <a:ext cx="0" cy="1789033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ysClr val="windowText" lastClr="0000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0.58368</cdr:x>
      <cdr:y>0.0945</cdr:y>
    </cdr:from>
    <cdr:to>
      <cdr:x>0.58368</cdr:x>
      <cdr:y>0.74667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00255C06-1317-0B46-96E0-9CCC94C7D0A7}"/>
            </a:ext>
          </a:extLst>
        </cdr:cNvPr>
        <cdr:cNvCxnSpPr/>
      </cdr:nvCxnSpPr>
      <cdr:spPr>
        <a:xfrm xmlns:a="http://schemas.openxmlformats.org/drawingml/2006/main" flipV="1">
          <a:off x="3002860" y="259220"/>
          <a:ext cx="0" cy="1789032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ysClr val="windowText" lastClr="0000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0.7267</cdr:x>
      <cdr:y>0.09034</cdr:y>
    </cdr:from>
    <cdr:to>
      <cdr:x>0.7267</cdr:x>
      <cdr:y>0.74251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D727E209-96C0-0C4B-8A45-F21CBC75959F}"/>
            </a:ext>
          </a:extLst>
        </cdr:cNvPr>
        <cdr:cNvCxnSpPr/>
      </cdr:nvCxnSpPr>
      <cdr:spPr>
        <a:xfrm xmlns:a="http://schemas.openxmlformats.org/drawingml/2006/main" flipV="1">
          <a:off x="3737781" y="247821"/>
          <a:ext cx="0" cy="1789032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ysClr val="windowText" lastClr="0000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0.13307</cdr:x>
      <cdr:y>0.09924</cdr:y>
    </cdr:from>
    <cdr:to>
      <cdr:x>0.28263</cdr:x>
      <cdr:y>0.09932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30C70DB1-BCB5-9345-BABA-AC0ED414B881}"/>
            </a:ext>
          </a:extLst>
        </cdr:cNvPr>
        <cdr:cNvCxnSpPr/>
      </cdr:nvCxnSpPr>
      <cdr:spPr>
        <a:xfrm xmlns:a="http://schemas.openxmlformats.org/drawingml/2006/main" flipV="1">
          <a:off x="684426" y="272235"/>
          <a:ext cx="769300" cy="22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0.28843</cdr:x>
      <cdr:y>0.09853</cdr:y>
    </cdr:from>
    <cdr:to>
      <cdr:x>0.44373</cdr:x>
      <cdr:y>0.09868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5B15BEA0-FBA8-5444-9444-014B4F2E7E3C}"/>
            </a:ext>
          </a:extLst>
        </cdr:cNvPr>
        <cdr:cNvCxnSpPr/>
      </cdr:nvCxnSpPr>
      <cdr:spPr>
        <a:xfrm xmlns:a="http://schemas.openxmlformats.org/drawingml/2006/main" flipV="1">
          <a:off x="1485905" y="270294"/>
          <a:ext cx="800095" cy="406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0.44369</cdr:x>
      <cdr:y>0.09853</cdr:y>
    </cdr:from>
    <cdr:to>
      <cdr:x>0.58118</cdr:x>
      <cdr:y>0.09887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567580FB-6550-D44E-984E-78D6E56FE5F1}"/>
            </a:ext>
          </a:extLst>
        </cdr:cNvPr>
        <cdr:cNvCxnSpPr/>
      </cdr:nvCxnSpPr>
      <cdr:spPr>
        <a:xfrm xmlns:a="http://schemas.openxmlformats.org/drawingml/2006/main" flipV="1">
          <a:off x="2285784" y="270294"/>
          <a:ext cx="708302" cy="92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0.58517</cdr:x>
      <cdr:y>0.09676</cdr:y>
    </cdr:from>
    <cdr:to>
      <cdr:x>0.72525</cdr:x>
      <cdr:y>0.09722</cdr:y>
    </cdr:to>
    <cdr:cxnSp macro="">
      <cdr:nvCxnSpPr>
        <cdr:cNvPr id="9" name="Straight Arrow Connector 8">
          <a:extLst xmlns:a="http://schemas.openxmlformats.org/drawingml/2006/main">
            <a:ext uri="{FF2B5EF4-FFF2-40B4-BE49-F238E27FC236}">
              <a16:creationId xmlns:a16="http://schemas.microsoft.com/office/drawing/2014/main" id="{F6576B95-E0FA-1C49-A643-E8ADFE527E15}"/>
            </a:ext>
          </a:extLst>
        </cdr:cNvPr>
        <cdr:cNvCxnSpPr/>
      </cdr:nvCxnSpPr>
      <cdr:spPr>
        <a:xfrm xmlns:a="http://schemas.openxmlformats.org/drawingml/2006/main" flipV="1">
          <a:off x="3013120" y="265432"/>
          <a:ext cx="721290" cy="1268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0.72747</cdr:x>
      <cdr:y>0.098</cdr:y>
    </cdr:from>
    <cdr:to>
      <cdr:x>0.87106</cdr:x>
      <cdr:y>0.098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27B85F6C-EF40-C146-8DCF-BDD5F87521C5}"/>
            </a:ext>
          </a:extLst>
        </cdr:cNvPr>
        <cdr:cNvCxnSpPr/>
      </cdr:nvCxnSpPr>
      <cdr:spPr>
        <a:xfrm xmlns:a="http://schemas.openxmlformats.org/drawingml/2006/main">
          <a:off x="3741725" y="268834"/>
          <a:ext cx="738549" cy="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0.13025</cdr:x>
      <cdr:y>0</cdr:y>
    </cdr:from>
    <cdr:to>
      <cdr:x>0.29409</cdr:x>
      <cdr:y>0.06944</cdr:y>
    </cdr:to>
    <cdr:sp macro="" textlink="">
      <cdr:nvSpPr>
        <cdr:cNvPr id="11" name="TextBox 6"/>
        <cdr:cNvSpPr txBox="1"/>
      </cdr:nvSpPr>
      <cdr:spPr>
        <a:xfrm xmlns:a="http://schemas.openxmlformats.org/drawingml/2006/main">
          <a:off x="669925" y="0"/>
          <a:ext cx="842733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55 h</a:t>
          </a:r>
          <a:endParaRPr lang="en-GB" sz="1100"/>
        </a:p>
      </cdr:txBody>
    </cdr:sp>
  </cdr:relSizeAnchor>
  <cdr:relSizeAnchor xmlns:cdr="http://schemas.openxmlformats.org/drawingml/2006/chartDrawing">
    <cdr:from>
      <cdr:x>0.27478</cdr:x>
      <cdr:y>0</cdr:y>
    </cdr:from>
    <cdr:to>
      <cdr:x>0.43862</cdr:x>
      <cdr:y>0.06944</cdr:y>
    </cdr:to>
    <cdr:sp macro="" textlink="">
      <cdr:nvSpPr>
        <cdr:cNvPr id="12" name="TextBox 1"/>
        <cdr:cNvSpPr txBox="1"/>
      </cdr:nvSpPr>
      <cdr:spPr>
        <a:xfrm xmlns:a="http://schemas.openxmlformats.org/drawingml/2006/main">
          <a:off x="1413307" y="0"/>
          <a:ext cx="842733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96 h</a:t>
          </a:r>
          <a:endParaRPr lang="en-GB" sz="1100"/>
        </a:p>
      </cdr:txBody>
    </cdr:sp>
  </cdr:relSizeAnchor>
  <cdr:relSizeAnchor xmlns:cdr="http://schemas.openxmlformats.org/drawingml/2006/chartDrawing">
    <cdr:from>
      <cdr:x>0.42617</cdr:x>
      <cdr:y>0</cdr:y>
    </cdr:from>
    <cdr:to>
      <cdr:x>0.59002</cdr:x>
      <cdr:y>0.06944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2192018" y="0"/>
          <a:ext cx="842733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48 h</a:t>
          </a:r>
          <a:endParaRPr lang="en-GB" sz="1100"/>
        </a:p>
      </cdr:txBody>
    </cdr:sp>
  </cdr:relSizeAnchor>
  <cdr:relSizeAnchor xmlns:cdr="http://schemas.openxmlformats.org/drawingml/2006/chartDrawing">
    <cdr:from>
      <cdr:x>0.5838</cdr:x>
      <cdr:y>0</cdr:y>
    </cdr:from>
    <cdr:to>
      <cdr:x>0.74764</cdr:x>
      <cdr:y>0.06944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3002765" y="0"/>
          <a:ext cx="842733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36 h</a:t>
          </a:r>
          <a:endParaRPr lang="en-GB" sz="1100"/>
        </a:p>
      </cdr:txBody>
    </cdr:sp>
  </cdr:relSizeAnchor>
  <cdr:relSizeAnchor xmlns:cdr="http://schemas.openxmlformats.org/drawingml/2006/chartDrawing">
    <cdr:from>
      <cdr:x>0.72068</cdr:x>
      <cdr:y>0</cdr:y>
    </cdr:from>
    <cdr:to>
      <cdr:x>0.88452</cdr:x>
      <cdr:y>0.06944</cdr:y>
    </cdr:to>
    <cdr:sp macro="" textlink="">
      <cdr:nvSpPr>
        <cdr:cNvPr id="15" name="TextBox 1"/>
        <cdr:cNvSpPr txBox="1"/>
      </cdr:nvSpPr>
      <cdr:spPr>
        <a:xfrm xmlns:a="http://schemas.openxmlformats.org/drawingml/2006/main">
          <a:off x="3706808" y="0"/>
          <a:ext cx="842733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24 h</a:t>
          </a:r>
          <a:endParaRPr lang="en-GB" sz="1100"/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0.13319</cdr:x>
      <cdr:y>0.09924</cdr:y>
    </cdr:from>
    <cdr:to>
      <cdr:x>0.28289</cdr:x>
      <cdr:y>0.09932</cdr:y>
    </cdr:to>
    <cdr:cxnSp macro="">
      <cdr:nvCxnSpPr>
        <cdr:cNvPr id="2" name="Straight Arrow Connector 1">
          <a:extLst xmlns:a="http://schemas.openxmlformats.org/drawingml/2006/main">
            <a:ext uri="{FF2B5EF4-FFF2-40B4-BE49-F238E27FC236}">
              <a16:creationId xmlns:a16="http://schemas.microsoft.com/office/drawing/2014/main" id="{DACE31B7-E24E-9F41-9820-D13634D1C114}"/>
            </a:ext>
          </a:extLst>
        </cdr:cNvPr>
        <cdr:cNvCxnSpPr/>
      </cdr:nvCxnSpPr>
      <cdr:spPr>
        <a:xfrm xmlns:a="http://schemas.openxmlformats.org/drawingml/2006/main" flipV="1">
          <a:off x="684430" y="272235"/>
          <a:ext cx="769261" cy="22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0.2845</cdr:x>
      <cdr:y>0.09702</cdr:y>
    </cdr:from>
    <cdr:to>
      <cdr:x>0.43576</cdr:x>
      <cdr:y>0.09868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198B9DA1-0055-6247-A37A-F2240A17291C}"/>
            </a:ext>
          </a:extLst>
        </cdr:cNvPr>
        <cdr:cNvCxnSpPr/>
      </cdr:nvCxnSpPr>
      <cdr:spPr>
        <a:xfrm xmlns:a="http://schemas.openxmlformats.org/drawingml/2006/main" flipV="1">
          <a:off x="1464682" y="266146"/>
          <a:ext cx="778697" cy="4554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0.43676</cdr:x>
      <cdr:y>0.09585</cdr:y>
    </cdr:from>
    <cdr:to>
      <cdr:x>0.57876</cdr:x>
      <cdr:y>0.0982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068E70E9-8869-7843-848C-27BC9909E384}"/>
            </a:ext>
          </a:extLst>
        </cdr:cNvPr>
        <cdr:cNvCxnSpPr/>
      </cdr:nvCxnSpPr>
      <cdr:spPr>
        <a:xfrm xmlns:a="http://schemas.openxmlformats.org/drawingml/2006/main">
          <a:off x="2248521" y="262945"/>
          <a:ext cx="731028" cy="643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0.57938</cdr:x>
      <cdr:y>0.0982</cdr:y>
    </cdr:from>
    <cdr:to>
      <cdr:x>0.72363</cdr:x>
      <cdr:y>0.0982</cdr:y>
    </cdr:to>
    <cdr:cxnSp macro="">
      <cdr:nvCxnSpPr>
        <cdr:cNvPr id="5" name="Straight Arrow Connector 4">
          <a:extLst xmlns:a="http://schemas.openxmlformats.org/drawingml/2006/main">
            <a:ext uri="{FF2B5EF4-FFF2-40B4-BE49-F238E27FC236}">
              <a16:creationId xmlns:a16="http://schemas.microsoft.com/office/drawing/2014/main" id="{71083E30-2C64-6847-A4E5-4B333EC9DD9A}"/>
            </a:ext>
          </a:extLst>
        </cdr:cNvPr>
        <cdr:cNvCxnSpPr/>
      </cdr:nvCxnSpPr>
      <cdr:spPr>
        <a:xfrm xmlns:a="http://schemas.openxmlformats.org/drawingml/2006/main" flipV="1">
          <a:off x="2982778" y="269375"/>
          <a:ext cx="742627" cy="1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0.7231</cdr:x>
      <cdr:y>0.098</cdr:y>
    </cdr:from>
    <cdr:to>
      <cdr:x>0.86682</cdr:x>
      <cdr:y>0.098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225C8457-637B-5B4A-BB27-62896B57592F}"/>
            </a:ext>
          </a:extLst>
        </cdr:cNvPr>
        <cdr:cNvCxnSpPr/>
      </cdr:nvCxnSpPr>
      <cdr:spPr>
        <a:xfrm xmlns:a="http://schemas.openxmlformats.org/drawingml/2006/main">
          <a:off x="3716379" y="268834"/>
          <a:ext cx="738679" cy="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0.13037</cdr:x>
      <cdr:y>0</cdr:y>
    </cdr:from>
    <cdr:to>
      <cdr:x>0.29436</cdr:x>
      <cdr:y>0.06944</cdr:y>
    </cdr:to>
    <cdr:sp macro="" textlink="">
      <cdr:nvSpPr>
        <cdr:cNvPr id="7" name="TextBox 6"/>
        <cdr:cNvSpPr txBox="1"/>
      </cdr:nvSpPr>
      <cdr:spPr>
        <a:xfrm xmlns:a="http://schemas.openxmlformats.org/drawingml/2006/main">
          <a:off x="669925" y="0"/>
          <a:ext cx="842711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55 h</a:t>
          </a:r>
          <a:endParaRPr lang="en-GB" sz="1100"/>
        </a:p>
      </cdr:txBody>
    </cdr:sp>
  </cdr:relSizeAnchor>
  <cdr:relSizeAnchor xmlns:cdr="http://schemas.openxmlformats.org/drawingml/2006/chartDrawing">
    <cdr:from>
      <cdr:x>0.27504</cdr:x>
      <cdr:y>0</cdr:y>
    </cdr:from>
    <cdr:to>
      <cdr:x>0.43903</cdr:x>
      <cdr:y>0.06944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1413315" y="0"/>
          <a:ext cx="842711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96 h</a:t>
          </a:r>
          <a:endParaRPr lang="en-GB" sz="1100"/>
        </a:p>
      </cdr:txBody>
    </cdr:sp>
  </cdr:relSizeAnchor>
  <cdr:relSizeAnchor xmlns:cdr="http://schemas.openxmlformats.org/drawingml/2006/chartDrawing">
    <cdr:from>
      <cdr:x>0.42657</cdr:x>
      <cdr:y>0</cdr:y>
    </cdr:from>
    <cdr:to>
      <cdr:x>0.59057</cdr:x>
      <cdr:y>0.06944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2191989" y="0"/>
          <a:ext cx="842763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48 h</a:t>
          </a:r>
          <a:endParaRPr lang="en-GB" sz="1100"/>
        </a:p>
      </cdr:txBody>
    </cdr:sp>
  </cdr:relSizeAnchor>
  <cdr:relSizeAnchor xmlns:cdr="http://schemas.openxmlformats.org/drawingml/2006/chartDrawing">
    <cdr:from>
      <cdr:x>0.58435</cdr:x>
      <cdr:y>0</cdr:y>
    </cdr:from>
    <cdr:to>
      <cdr:x>0.74834</cdr:x>
      <cdr:y>0.06944</cdr:y>
    </cdr:to>
    <cdr:sp macro="" textlink="">
      <cdr:nvSpPr>
        <cdr:cNvPr id="10" name="TextBox 1"/>
        <cdr:cNvSpPr txBox="1"/>
      </cdr:nvSpPr>
      <cdr:spPr>
        <a:xfrm xmlns:a="http://schemas.openxmlformats.org/drawingml/2006/main">
          <a:off x="3002759" y="0"/>
          <a:ext cx="842711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36 h</a:t>
          </a:r>
          <a:endParaRPr lang="en-GB" sz="1100"/>
        </a:p>
      </cdr:txBody>
    </cdr:sp>
  </cdr:relSizeAnchor>
  <cdr:relSizeAnchor xmlns:cdr="http://schemas.openxmlformats.org/drawingml/2006/chartDrawing">
    <cdr:from>
      <cdr:x>0.72135</cdr:x>
      <cdr:y>0</cdr:y>
    </cdr:from>
    <cdr:to>
      <cdr:x>0.88535</cdr:x>
      <cdr:y>0.06944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3706802" y="0"/>
          <a:ext cx="842711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24 h</a:t>
          </a:r>
          <a:endParaRPr lang="en-GB" sz="1100"/>
        </a:p>
      </cdr:txBody>
    </cdr:sp>
  </cdr:relSizeAnchor>
  <cdr:relSizeAnchor xmlns:cdr="http://schemas.openxmlformats.org/drawingml/2006/chartDrawing">
    <cdr:from>
      <cdr:x>0.2855</cdr:x>
      <cdr:y>0.10284</cdr:y>
    </cdr:from>
    <cdr:to>
      <cdr:x>0.28628</cdr:x>
      <cdr:y>0.74204</cdr:y>
    </cdr:to>
    <cdr:cxnSp macro="">
      <cdr:nvCxnSpPr>
        <cdr:cNvPr id="12" name="Straight Connector 11">
          <a:extLst xmlns:a="http://schemas.openxmlformats.org/drawingml/2006/main">
            <a:ext uri="{FF2B5EF4-FFF2-40B4-BE49-F238E27FC236}">
              <a16:creationId xmlns:a16="http://schemas.microsoft.com/office/drawing/2014/main" id="{D1BCC4B1-B1D9-6648-B050-1ECE294C27F5}"/>
            </a:ext>
          </a:extLst>
        </cdr:cNvPr>
        <cdr:cNvCxnSpPr/>
      </cdr:nvCxnSpPr>
      <cdr:spPr>
        <a:xfrm xmlns:a="http://schemas.openxmlformats.org/drawingml/2006/main" flipH="1" flipV="1">
          <a:off x="1465943" y="282121"/>
          <a:ext cx="3981" cy="1753455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ysClr val="windowText" lastClr="0000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0.43585</cdr:x>
      <cdr:y>0.11198</cdr:y>
    </cdr:from>
    <cdr:to>
      <cdr:x>0.43614</cdr:x>
      <cdr:y>0.74216</cdr:y>
    </cdr:to>
    <cdr:cxnSp macro="">
      <cdr:nvCxnSpPr>
        <cdr:cNvPr id="13" name="Straight Connector 12">
          <a:extLst xmlns:a="http://schemas.openxmlformats.org/drawingml/2006/main">
            <a:ext uri="{FF2B5EF4-FFF2-40B4-BE49-F238E27FC236}">
              <a16:creationId xmlns:a16="http://schemas.microsoft.com/office/drawing/2014/main" id="{A8357433-A476-2242-A485-6ADEB7A5EF32}"/>
            </a:ext>
          </a:extLst>
        </cdr:cNvPr>
        <cdr:cNvCxnSpPr/>
      </cdr:nvCxnSpPr>
      <cdr:spPr>
        <a:xfrm xmlns:a="http://schemas.openxmlformats.org/drawingml/2006/main" flipV="1">
          <a:off x="2237886" y="307187"/>
          <a:ext cx="1516" cy="1728699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ysClr val="windowText" lastClr="0000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0.57616</cdr:x>
      <cdr:y>0.1084</cdr:y>
    </cdr:from>
    <cdr:to>
      <cdr:x>0.57646</cdr:x>
      <cdr:y>0.74572</cdr:y>
    </cdr:to>
    <cdr:cxnSp macro="">
      <cdr:nvCxnSpPr>
        <cdr:cNvPr id="14" name="Straight Connector 13">
          <a:extLst xmlns:a="http://schemas.openxmlformats.org/drawingml/2006/main">
            <a:ext uri="{FF2B5EF4-FFF2-40B4-BE49-F238E27FC236}">
              <a16:creationId xmlns:a16="http://schemas.microsoft.com/office/drawing/2014/main" id="{8F40AE2C-073A-C74D-BD66-8362DC41E143}"/>
            </a:ext>
          </a:extLst>
        </cdr:cNvPr>
        <cdr:cNvCxnSpPr/>
      </cdr:nvCxnSpPr>
      <cdr:spPr>
        <a:xfrm xmlns:a="http://schemas.openxmlformats.org/drawingml/2006/main" flipH="1" flipV="1">
          <a:off x="2958364" y="297350"/>
          <a:ext cx="1519" cy="1748321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ysClr val="windowText" lastClr="0000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0.72204</cdr:x>
      <cdr:y>0.10617</cdr:y>
    </cdr:from>
    <cdr:to>
      <cdr:x>0.72211</cdr:x>
      <cdr:y>0.74324</cdr:y>
    </cdr:to>
    <cdr:cxnSp macro="">
      <cdr:nvCxnSpPr>
        <cdr:cNvPr id="15" name="Straight Connector 14">
          <a:extLst xmlns:a="http://schemas.openxmlformats.org/drawingml/2006/main">
            <a:ext uri="{FF2B5EF4-FFF2-40B4-BE49-F238E27FC236}">
              <a16:creationId xmlns:a16="http://schemas.microsoft.com/office/drawing/2014/main" id="{8AD06EA8-F4FE-8742-9BA4-18167A24396A}"/>
            </a:ext>
          </a:extLst>
        </cdr:cNvPr>
        <cdr:cNvCxnSpPr/>
      </cdr:nvCxnSpPr>
      <cdr:spPr>
        <a:xfrm xmlns:a="http://schemas.openxmlformats.org/drawingml/2006/main" flipV="1">
          <a:off x="3707357" y="291252"/>
          <a:ext cx="363" cy="1747608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ysClr val="windowText" lastClr="0000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0.15064</cdr:x>
      <cdr:y>0.10978</cdr:y>
    </cdr:from>
    <cdr:to>
      <cdr:x>0.3886</cdr:x>
      <cdr:y>0.10991</cdr:y>
    </cdr:to>
    <cdr:cxnSp macro="">
      <cdr:nvCxnSpPr>
        <cdr:cNvPr id="19" name="Straight Arrow Connector 18">
          <a:extLst xmlns:a="http://schemas.openxmlformats.org/drawingml/2006/main">
            <a:ext uri="{FF2B5EF4-FFF2-40B4-BE49-F238E27FC236}">
              <a16:creationId xmlns:a16="http://schemas.microsoft.com/office/drawing/2014/main" id="{1B4709F7-AD0D-D547-BDF8-66A156D42BE7}"/>
            </a:ext>
          </a:extLst>
        </cdr:cNvPr>
        <cdr:cNvCxnSpPr/>
      </cdr:nvCxnSpPr>
      <cdr:spPr>
        <a:xfrm xmlns:a="http://schemas.openxmlformats.org/drawingml/2006/main">
          <a:off x="775381" y="301145"/>
          <a:ext cx="1224869" cy="36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0.39055</cdr:x>
      <cdr:y>0.10991</cdr:y>
    </cdr:from>
    <cdr:to>
      <cdr:x>0.64998</cdr:x>
      <cdr:y>0.11037</cdr:y>
    </cdr:to>
    <cdr:cxnSp macro="">
      <cdr:nvCxnSpPr>
        <cdr:cNvPr id="20" name="Straight Arrow Connector 19">
          <a:extLst xmlns:a="http://schemas.openxmlformats.org/drawingml/2006/main">
            <a:ext uri="{FF2B5EF4-FFF2-40B4-BE49-F238E27FC236}">
              <a16:creationId xmlns:a16="http://schemas.microsoft.com/office/drawing/2014/main" id="{DF9FB6FD-39C2-0747-A4F3-FA2E1C202FE8}"/>
            </a:ext>
          </a:extLst>
        </cdr:cNvPr>
        <cdr:cNvCxnSpPr/>
      </cdr:nvCxnSpPr>
      <cdr:spPr>
        <a:xfrm xmlns:a="http://schemas.openxmlformats.org/drawingml/2006/main">
          <a:off x="2010276" y="301507"/>
          <a:ext cx="1335380" cy="1251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0.65114</cdr:x>
      <cdr:y>0.1082</cdr:y>
    </cdr:from>
    <cdr:to>
      <cdr:x>0.91337</cdr:x>
      <cdr:y>0.10843</cdr:y>
    </cdr:to>
    <cdr:cxnSp macro="">
      <cdr:nvCxnSpPr>
        <cdr:cNvPr id="21" name="Straight Arrow Connector 20">
          <a:extLst xmlns:a="http://schemas.openxmlformats.org/drawingml/2006/main">
            <a:ext uri="{FF2B5EF4-FFF2-40B4-BE49-F238E27FC236}">
              <a16:creationId xmlns:a16="http://schemas.microsoft.com/office/drawing/2014/main" id="{D3DCCE45-7095-3E4E-8B76-AE332CE92BAB}"/>
            </a:ext>
          </a:extLst>
        </cdr:cNvPr>
        <cdr:cNvCxnSpPr/>
      </cdr:nvCxnSpPr>
      <cdr:spPr>
        <a:xfrm xmlns:a="http://schemas.openxmlformats.org/drawingml/2006/main">
          <a:off x="3351609" y="296805"/>
          <a:ext cx="1349817" cy="65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0.1896</cdr:x>
      <cdr:y>0.02671</cdr:y>
    </cdr:from>
    <cdr:to>
      <cdr:x>0.35351</cdr:x>
      <cdr:y>0.09615</cdr:y>
    </cdr:to>
    <cdr:sp macro="" textlink="">
      <cdr:nvSpPr>
        <cdr:cNvPr id="22" name="TextBox 1"/>
        <cdr:cNvSpPr txBox="1"/>
      </cdr:nvSpPr>
      <cdr:spPr>
        <a:xfrm xmlns:a="http://schemas.openxmlformats.org/drawingml/2006/main">
          <a:off x="980661" y="73281"/>
          <a:ext cx="847746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48 h</a:t>
          </a:r>
          <a:endParaRPr lang="en-GB" sz="1100"/>
        </a:p>
      </cdr:txBody>
    </cdr:sp>
  </cdr:relSizeAnchor>
  <cdr:relSizeAnchor xmlns:cdr="http://schemas.openxmlformats.org/drawingml/2006/chartDrawing">
    <cdr:from>
      <cdr:x>0.44817</cdr:x>
      <cdr:y>0.02671</cdr:y>
    </cdr:from>
    <cdr:to>
      <cdr:x>0.61207</cdr:x>
      <cdr:y>0.09615</cdr:y>
    </cdr:to>
    <cdr:sp macro="" textlink="">
      <cdr:nvSpPr>
        <cdr:cNvPr id="23" name="TextBox 1"/>
        <cdr:cNvSpPr txBox="1"/>
      </cdr:nvSpPr>
      <cdr:spPr>
        <a:xfrm xmlns:a="http://schemas.openxmlformats.org/drawingml/2006/main">
          <a:off x="2318032" y="73282"/>
          <a:ext cx="847695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36 h</a:t>
          </a:r>
          <a:endParaRPr lang="en-GB" sz="1100"/>
        </a:p>
      </cdr:txBody>
    </cdr:sp>
  </cdr:relSizeAnchor>
  <cdr:relSizeAnchor xmlns:cdr="http://schemas.openxmlformats.org/drawingml/2006/chartDrawing">
    <cdr:from>
      <cdr:x>0.7036</cdr:x>
      <cdr:y>0.02369</cdr:y>
    </cdr:from>
    <cdr:to>
      <cdr:x>0.8675</cdr:x>
      <cdr:y>0.09313</cdr:y>
    </cdr:to>
    <cdr:sp macro="" textlink="">
      <cdr:nvSpPr>
        <cdr:cNvPr id="24" name="TextBox 1"/>
        <cdr:cNvSpPr txBox="1"/>
      </cdr:nvSpPr>
      <cdr:spPr>
        <a:xfrm xmlns:a="http://schemas.openxmlformats.org/drawingml/2006/main">
          <a:off x="3639150" y="64999"/>
          <a:ext cx="847696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24 h</a:t>
          </a:r>
          <a:endParaRPr lang="en-GB" sz="1100"/>
        </a:p>
      </cdr:txBody>
    </cdr:sp>
  </cdr:relSizeAnchor>
  <cdr:relSizeAnchor xmlns:cdr="http://schemas.openxmlformats.org/drawingml/2006/chartDrawing">
    <cdr:from>
      <cdr:x>0.9101</cdr:x>
      <cdr:y>0.11367</cdr:y>
    </cdr:from>
    <cdr:to>
      <cdr:x>0.91036</cdr:x>
      <cdr:y>0.75278</cdr:y>
    </cdr:to>
    <cdr:cxnSp macro="">
      <cdr:nvCxnSpPr>
        <cdr:cNvPr id="25" name="Straight Connector 24">
          <a:extLst xmlns:a="http://schemas.openxmlformats.org/drawingml/2006/main">
            <a:ext uri="{FF2B5EF4-FFF2-40B4-BE49-F238E27FC236}">
              <a16:creationId xmlns:a16="http://schemas.microsoft.com/office/drawing/2014/main" id="{F69A64C8-46E8-0A41-902C-D4B4C089ECCE}"/>
            </a:ext>
          </a:extLst>
        </cdr:cNvPr>
        <cdr:cNvCxnSpPr/>
      </cdr:nvCxnSpPr>
      <cdr:spPr>
        <a:xfrm xmlns:a="http://schemas.openxmlformats.org/drawingml/2006/main" flipH="1" flipV="1">
          <a:off x="4702515" y="311807"/>
          <a:ext cx="1351" cy="1753218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bg1">
              <a:lumMod val="50000"/>
            </a:schemeClr>
          </a:solidFill>
          <a:prstDash val="solid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0.39058</cdr:x>
      <cdr:y>0.09307</cdr:y>
    </cdr:from>
    <cdr:to>
      <cdr:x>0.39058</cdr:x>
      <cdr:y>0.74564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D0CE46E9-3EA2-C244-B5D4-C57BB290BF64}"/>
            </a:ext>
          </a:extLst>
        </cdr:cNvPr>
        <cdr:cNvCxnSpPr/>
      </cdr:nvCxnSpPr>
      <cdr:spPr>
        <a:xfrm xmlns:a="http://schemas.openxmlformats.org/drawingml/2006/main" flipV="1">
          <a:off x="2010421" y="255310"/>
          <a:ext cx="0" cy="179013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ysClr val="windowText" lastClr="0000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0.65034</cdr:x>
      <cdr:y>0.09536</cdr:y>
    </cdr:from>
    <cdr:to>
      <cdr:x>0.65034</cdr:x>
      <cdr:y>0.74793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3BDBF0A6-7399-204B-ADDC-81BEF219D509}"/>
            </a:ext>
          </a:extLst>
        </cdr:cNvPr>
        <cdr:cNvCxnSpPr/>
      </cdr:nvCxnSpPr>
      <cdr:spPr>
        <a:xfrm xmlns:a="http://schemas.openxmlformats.org/drawingml/2006/main" flipV="1">
          <a:off x="3347511" y="261592"/>
          <a:ext cx="0" cy="179013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ysClr val="windowText" lastClr="0000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0.28187</cdr:x>
      <cdr:y>0.09215</cdr:y>
    </cdr:from>
    <cdr:to>
      <cdr:x>0.28187</cdr:x>
      <cdr:y>0.74433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D6B0EEE1-FB03-C347-A577-677759361976}"/>
            </a:ext>
          </a:extLst>
        </cdr:cNvPr>
        <cdr:cNvCxnSpPr/>
      </cdr:nvCxnSpPr>
      <cdr:spPr>
        <a:xfrm xmlns:a="http://schemas.openxmlformats.org/drawingml/2006/main" flipV="1">
          <a:off x="1449784" y="252791"/>
          <a:ext cx="0" cy="1789060"/>
        </a:xfrm>
        <a:prstGeom xmlns:a="http://schemas.openxmlformats.org/drawingml/2006/main" prst="line">
          <a:avLst/>
        </a:prstGeom>
        <a:ln xmlns:a="http://schemas.openxmlformats.org/drawingml/2006/main" w="9525">
          <a:prstDash val="dash"/>
        </a:ln>
        <a:effectLst xmlns:a="http://schemas.openxmlformats.org/drawingml/2006/main">
          <a:outerShdw blurRad="50800" dist="38100" dir="2700000" algn="tl" rotWithShape="0">
            <a:prstClr val="black">
              <a:alpha val="40000"/>
            </a:prstClr>
          </a:outerShdw>
        </a:effectLst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0.44445</cdr:x>
      <cdr:y>0.09301</cdr:y>
    </cdr:from>
    <cdr:to>
      <cdr:x>0.44445</cdr:x>
      <cdr:y>0.74518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F3DDCD2E-3C22-FA41-91D9-ECB6B0046958}"/>
            </a:ext>
          </a:extLst>
        </cdr:cNvPr>
        <cdr:cNvCxnSpPr/>
      </cdr:nvCxnSpPr>
      <cdr:spPr>
        <a:xfrm xmlns:a="http://schemas.openxmlformats.org/drawingml/2006/main" flipV="1">
          <a:off x="2286051" y="255156"/>
          <a:ext cx="0" cy="1789033"/>
        </a:xfrm>
        <a:prstGeom xmlns:a="http://schemas.openxmlformats.org/drawingml/2006/main" prst="line">
          <a:avLst/>
        </a:prstGeom>
        <a:ln xmlns:a="http://schemas.openxmlformats.org/drawingml/2006/main" w="9525">
          <a:prstDash val="dash"/>
        </a:ln>
        <a:effectLst xmlns:a="http://schemas.openxmlformats.org/drawingml/2006/main">
          <a:outerShdw blurRad="50800" dist="38100" dir="2700000" algn="tl" rotWithShape="0">
            <a:prstClr val="black">
              <a:alpha val="40000"/>
            </a:prstClr>
          </a:outerShdw>
        </a:effectLst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0.58056</cdr:x>
      <cdr:y>0.09689</cdr:y>
    </cdr:from>
    <cdr:to>
      <cdr:x>0.58056</cdr:x>
      <cdr:y>0.74906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A3DE3929-8224-D742-AD1D-491443AB04A6}"/>
            </a:ext>
          </a:extLst>
        </cdr:cNvPr>
        <cdr:cNvCxnSpPr/>
      </cdr:nvCxnSpPr>
      <cdr:spPr>
        <a:xfrm xmlns:a="http://schemas.openxmlformats.org/drawingml/2006/main" flipV="1">
          <a:off x="2986126" y="265778"/>
          <a:ext cx="0" cy="1789033"/>
        </a:xfrm>
        <a:prstGeom xmlns:a="http://schemas.openxmlformats.org/drawingml/2006/main" prst="line">
          <a:avLst/>
        </a:prstGeom>
        <a:ln xmlns:a="http://schemas.openxmlformats.org/drawingml/2006/main" w="9525">
          <a:prstDash val="dash"/>
        </a:ln>
        <a:effectLst xmlns:a="http://schemas.openxmlformats.org/drawingml/2006/main">
          <a:outerShdw blurRad="50800" dist="38100" dir="2700000" algn="tl" rotWithShape="0">
            <a:prstClr val="black">
              <a:alpha val="40000"/>
            </a:prstClr>
          </a:outerShdw>
        </a:effectLst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0.7267</cdr:x>
      <cdr:y>0.09034</cdr:y>
    </cdr:from>
    <cdr:to>
      <cdr:x>0.7267</cdr:x>
      <cdr:y>0.74251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088AD83F-32BB-014F-8432-C0D40EAFFB72}"/>
            </a:ext>
          </a:extLst>
        </cdr:cNvPr>
        <cdr:cNvCxnSpPr/>
      </cdr:nvCxnSpPr>
      <cdr:spPr>
        <a:xfrm xmlns:a="http://schemas.openxmlformats.org/drawingml/2006/main" flipV="1">
          <a:off x="3737794" y="247826"/>
          <a:ext cx="0" cy="1789033"/>
        </a:xfrm>
        <a:prstGeom xmlns:a="http://schemas.openxmlformats.org/drawingml/2006/main" prst="line">
          <a:avLst/>
        </a:prstGeom>
        <a:ln xmlns:a="http://schemas.openxmlformats.org/drawingml/2006/main" w="9525">
          <a:prstDash val="dash"/>
        </a:ln>
        <a:effectLst xmlns:a="http://schemas.openxmlformats.org/drawingml/2006/main">
          <a:outerShdw blurRad="50800" dist="38100" dir="2700000" algn="tl" rotWithShape="0">
            <a:prstClr val="black">
              <a:alpha val="40000"/>
            </a:prstClr>
          </a:outerShdw>
        </a:effectLst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0.13307</cdr:x>
      <cdr:y>0.09924</cdr:y>
    </cdr:from>
    <cdr:to>
      <cdr:x>0.28263</cdr:x>
      <cdr:y>0.09932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971374D8-EC03-6246-BA34-0123FEB41A06}"/>
            </a:ext>
          </a:extLst>
        </cdr:cNvPr>
        <cdr:cNvCxnSpPr/>
      </cdr:nvCxnSpPr>
      <cdr:spPr>
        <a:xfrm xmlns:a="http://schemas.openxmlformats.org/drawingml/2006/main" flipV="1">
          <a:off x="684426" y="272235"/>
          <a:ext cx="769300" cy="22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0.28424</cdr:x>
      <cdr:y>0.09856</cdr:y>
    </cdr:from>
    <cdr:to>
      <cdr:x>0.42948</cdr:x>
      <cdr:y>0.09868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3E5D6170-0AC8-F440-BBAE-D67F1EBF4206}"/>
            </a:ext>
          </a:extLst>
        </cdr:cNvPr>
        <cdr:cNvCxnSpPr/>
      </cdr:nvCxnSpPr>
      <cdr:spPr>
        <a:xfrm xmlns:a="http://schemas.openxmlformats.org/drawingml/2006/main" flipV="1">
          <a:off x="1462006" y="270370"/>
          <a:ext cx="747033" cy="32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0.42758</cdr:x>
      <cdr:y>0.09698</cdr:y>
    </cdr:from>
    <cdr:to>
      <cdr:x>0.59085</cdr:x>
      <cdr:y>0.09703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ECB1F962-3847-9A4C-9275-46E72D8A5DCC}"/>
            </a:ext>
          </a:extLst>
        </cdr:cNvPr>
        <cdr:cNvCxnSpPr/>
      </cdr:nvCxnSpPr>
      <cdr:spPr>
        <a:xfrm xmlns:a="http://schemas.openxmlformats.org/drawingml/2006/main" flipV="1">
          <a:off x="2199268" y="266036"/>
          <a:ext cx="839751" cy="13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0.59054</cdr:x>
      <cdr:y>0.09676</cdr:y>
    </cdr:from>
    <cdr:to>
      <cdr:x>0.72525</cdr:x>
      <cdr:y>0.09676</cdr:y>
    </cdr:to>
    <cdr:cxnSp macro="">
      <cdr:nvCxnSpPr>
        <cdr:cNvPr id="9" name="Straight Arrow Connector 8">
          <a:extLst xmlns:a="http://schemas.openxmlformats.org/drawingml/2006/main">
            <a:ext uri="{FF2B5EF4-FFF2-40B4-BE49-F238E27FC236}">
              <a16:creationId xmlns:a16="http://schemas.microsoft.com/office/drawing/2014/main" id="{FDB0CD70-5E43-2249-9EFA-8E84A662978A}"/>
            </a:ext>
          </a:extLst>
        </cdr:cNvPr>
        <cdr:cNvCxnSpPr/>
      </cdr:nvCxnSpPr>
      <cdr:spPr>
        <a:xfrm xmlns:a="http://schemas.openxmlformats.org/drawingml/2006/main">
          <a:off x="3037425" y="265432"/>
          <a:ext cx="692884" cy="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0.72747</cdr:x>
      <cdr:y>0.098</cdr:y>
    </cdr:from>
    <cdr:to>
      <cdr:x>0.87106</cdr:x>
      <cdr:y>0.098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C079FD82-4A02-BA48-9789-EFDB9B89A98B}"/>
            </a:ext>
          </a:extLst>
        </cdr:cNvPr>
        <cdr:cNvCxnSpPr/>
      </cdr:nvCxnSpPr>
      <cdr:spPr>
        <a:xfrm xmlns:a="http://schemas.openxmlformats.org/drawingml/2006/main">
          <a:off x="3741725" y="268834"/>
          <a:ext cx="738549" cy="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0.13025</cdr:x>
      <cdr:y>0</cdr:y>
    </cdr:from>
    <cdr:to>
      <cdr:x>0.29409</cdr:x>
      <cdr:y>0.06944</cdr:y>
    </cdr:to>
    <cdr:sp macro="" textlink="">
      <cdr:nvSpPr>
        <cdr:cNvPr id="11" name="TextBox 6"/>
        <cdr:cNvSpPr txBox="1"/>
      </cdr:nvSpPr>
      <cdr:spPr>
        <a:xfrm xmlns:a="http://schemas.openxmlformats.org/drawingml/2006/main">
          <a:off x="669925" y="0"/>
          <a:ext cx="842733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55 h</a:t>
          </a:r>
          <a:endParaRPr lang="en-GB" sz="1100"/>
        </a:p>
      </cdr:txBody>
    </cdr:sp>
  </cdr:relSizeAnchor>
  <cdr:relSizeAnchor xmlns:cdr="http://schemas.openxmlformats.org/drawingml/2006/chartDrawing">
    <cdr:from>
      <cdr:x>0.27478</cdr:x>
      <cdr:y>0</cdr:y>
    </cdr:from>
    <cdr:to>
      <cdr:x>0.43862</cdr:x>
      <cdr:y>0.06944</cdr:y>
    </cdr:to>
    <cdr:sp macro="" textlink="">
      <cdr:nvSpPr>
        <cdr:cNvPr id="12" name="TextBox 1"/>
        <cdr:cNvSpPr txBox="1"/>
      </cdr:nvSpPr>
      <cdr:spPr>
        <a:xfrm xmlns:a="http://schemas.openxmlformats.org/drawingml/2006/main">
          <a:off x="1413307" y="0"/>
          <a:ext cx="842733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96 h</a:t>
          </a:r>
          <a:endParaRPr lang="en-GB" sz="1100"/>
        </a:p>
      </cdr:txBody>
    </cdr:sp>
  </cdr:relSizeAnchor>
  <cdr:relSizeAnchor xmlns:cdr="http://schemas.openxmlformats.org/drawingml/2006/chartDrawing">
    <cdr:from>
      <cdr:x>0.42617</cdr:x>
      <cdr:y>0</cdr:y>
    </cdr:from>
    <cdr:to>
      <cdr:x>0.59002</cdr:x>
      <cdr:y>0.06944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2192018" y="0"/>
          <a:ext cx="842733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48 h</a:t>
          </a:r>
          <a:endParaRPr lang="en-GB" sz="1100"/>
        </a:p>
      </cdr:txBody>
    </cdr:sp>
  </cdr:relSizeAnchor>
  <cdr:relSizeAnchor xmlns:cdr="http://schemas.openxmlformats.org/drawingml/2006/chartDrawing">
    <cdr:from>
      <cdr:x>0.5838</cdr:x>
      <cdr:y>0</cdr:y>
    </cdr:from>
    <cdr:to>
      <cdr:x>0.74764</cdr:x>
      <cdr:y>0.06944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3002765" y="0"/>
          <a:ext cx="842733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36 h</a:t>
          </a:r>
          <a:endParaRPr lang="en-GB" sz="1100"/>
        </a:p>
      </cdr:txBody>
    </cdr:sp>
  </cdr:relSizeAnchor>
  <cdr:relSizeAnchor xmlns:cdr="http://schemas.openxmlformats.org/drawingml/2006/chartDrawing">
    <cdr:from>
      <cdr:x>0.72068</cdr:x>
      <cdr:y>0</cdr:y>
    </cdr:from>
    <cdr:to>
      <cdr:x>0.88452</cdr:x>
      <cdr:y>0.06944</cdr:y>
    </cdr:to>
    <cdr:sp macro="" textlink="">
      <cdr:nvSpPr>
        <cdr:cNvPr id="15" name="TextBox 1"/>
        <cdr:cNvSpPr txBox="1"/>
      </cdr:nvSpPr>
      <cdr:spPr>
        <a:xfrm xmlns:a="http://schemas.openxmlformats.org/drawingml/2006/main">
          <a:off x="3706808" y="0"/>
          <a:ext cx="842733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24 h</a:t>
          </a:r>
          <a:endParaRPr lang="en-GB" sz="1100"/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0.42409</cdr:x>
      <cdr:y>0.07883</cdr:y>
    </cdr:from>
    <cdr:to>
      <cdr:x>0.42409</cdr:x>
      <cdr:y>0.73101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366E3496-33C1-EF4D-9AFD-A68D2A2D64EC}"/>
            </a:ext>
          </a:extLst>
        </cdr:cNvPr>
        <cdr:cNvCxnSpPr/>
      </cdr:nvCxnSpPr>
      <cdr:spPr>
        <a:xfrm xmlns:a="http://schemas.openxmlformats.org/drawingml/2006/main" flipV="1">
          <a:off x="2197306" y="216241"/>
          <a:ext cx="0" cy="178906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0.27823</cdr:x>
      <cdr:y>0.08466</cdr:y>
    </cdr:from>
    <cdr:to>
      <cdr:x>0.27823</cdr:x>
      <cdr:y>0.73684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22383247-5525-104B-B6D8-4240D94C97FB}"/>
            </a:ext>
          </a:extLst>
        </cdr:cNvPr>
        <cdr:cNvCxnSpPr/>
      </cdr:nvCxnSpPr>
      <cdr:spPr>
        <a:xfrm xmlns:a="http://schemas.openxmlformats.org/drawingml/2006/main" flipV="1">
          <a:off x="1441535" y="232249"/>
          <a:ext cx="0" cy="178906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0.57453</cdr:x>
      <cdr:y>0.08875</cdr:y>
    </cdr:from>
    <cdr:to>
      <cdr:x>0.57453</cdr:x>
      <cdr:y>0.74093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FDA9EB4B-0557-4D4E-8E51-05C172FD7451}"/>
            </a:ext>
          </a:extLst>
        </cdr:cNvPr>
        <cdr:cNvCxnSpPr/>
      </cdr:nvCxnSpPr>
      <cdr:spPr>
        <a:xfrm xmlns:a="http://schemas.openxmlformats.org/drawingml/2006/main" flipV="1">
          <a:off x="2976733" y="243455"/>
          <a:ext cx="0" cy="178906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0.72448</cdr:x>
      <cdr:y>0.09021</cdr:y>
    </cdr:from>
    <cdr:to>
      <cdr:x>0.72448</cdr:x>
      <cdr:y>0.74239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460D00DD-64A3-9F4B-BEE1-EC8F1DCE53BA}"/>
            </a:ext>
          </a:extLst>
        </cdr:cNvPr>
        <cdr:cNvCxnSpPr/>
      </cdr:nvCxnSpPr>
      <cdr:spPr>
        <a:xfrm xmlns:a="http://schemas.openxmlformats.org/drawingml/2006/main" flipV="1">
          <a:off x="3753670" y="247457"/>
          <a:ext cx="0" cy="178906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chemeClr val="tx1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0.12725</cdr:x>
      <cdr:y>0.09236</cdr:y>
    </cdr:from>
    <cdr:to>
      <cdr:x>0.27665</cdr:x>
      <cdr:y>0.09244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BCD93B77-E58A-EA47-9869-3DAD5CD8FEE8}"/>
            </a:ext>
          </a:extLst>
        </cdr:cNvPr>
        <cdr:cNvCxnSpPr/>
      </cdr:nvCxnSpPr>
      <cdr:spPr>
        <a:xfrm xmlns:a="http://schemas.openxmlformats.org/drawingml/2006/main" flipV="1">
          <a:off x="659318" y="253358"/>
          <a:ext cx="774027" cy="21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0.27825</cdr:x>
      <cdr:y>0.09168</cdr:y>
    </cdr:from>
    <cdr:to>
      <cdr:x>0.42334</cdr:x>
      <cdr:y>0.0918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A4E1EB9D-6784-2042-A84F-4D821076383C}"/>
            </a:ext>
          </a:extLst>
        </cdr:cNvPr>
        <cdr:cNvCxnSpPr/>
      </cdr:nvCxnSpPr>
      <cdr:spPr>
        <a:xfrm xmlns:a="http://schemas.openxmlformats.org/drawingml/2006/main" flipV="1">
          <a:off x="1441684" y="251493"/>
          <a:ext cx="751704" cy="32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0.72099</cdr:x>
      <cdr:y>0.09112</cdr:y>
    </cdr:from>
    <cdr:to>
      <cdr:x>0.86443</cdr:x>
      <cdr:y>0.09112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66ADA237-DB4B-F842-BDDD-74293E70F6CA}"/>
            </a:ext>
          </a:extLst>
        </cdr:cNvPr>
        <cdr:cNvCxnSpPr/>
      </cdr:nvCxnSpPr>
      <cdr:spPr>
        <a:xfrm xmlns:a="http://schemas.openxmlformats.org/drawingml/2006/main">
          <a:off x="3735589" y="249956"/>
          <a:ext cx="743158" cy="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0.12443</cdr:x>
      <cdr:y>0.00218</cdr:y>
    </cdr:from>
    <cdr:to>
      <cdr:x>0.28809</cdr:x>
      <cdr:y>0.07162</cdr:y>
    </cdr:to>
    <cdr:sp macro="" textlink="">
      <cdr:nvSpPr>
        <cdr:cNvPr id="11" name="TextBox 6"/>
        <cdr:cNvSpPr txBox="1"/>
      </cdr:nvSpPr>
      <cdr:spPr>
        <a:xfrm xmlns:a="http://schemas.openxmlformats.org/drawingml/2006/main">
          <a:off x="644711" y="5976"/>
          <a:ext cx="847940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55 h</a:t>
          </a:r>
          <a:endParaRPr lang="en-GB" sz="1100"/>
        </a:p>
      </cdr:txBody>
    </cdr:sp>
  </cdr:relSizeAnchor>
  <cdr:relSizeAnchor xmlns:cdr="http://schemas.openxmlformats.org/drawingml/2006/chartDrawing">
    <cdr:from>
      <cdr:x>0.26881</cdr:x>
      <cdr:y>0.00218</cdr:y>
    </cdr:from>
    <cdr:to>
      <cdr:x>0.43247</cdr:x>
      <cdr:y>0.07162</cdr:y>
    </cdr:to>
    <cdr:sp macro="" textlink="">
      <cdr:nvSpPr>
        <cdr:cNvPr id="12" name="TextBox 1"/>
        <cdr:cNvSpPr txBox="1"/>
      </cdr:nvSpPr>
      <cdr:spPr>
        <a:xfrm xmlns:a="http://schemas.openxmlformats.org/drawingml/2006/main">
          <a:off x="1392738" y="5976"/>
          <a:ext cx="847939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96 h</a:t>
          </a:r>
          <a:endParaRPr lang="en-GB" sz="1100"/>
        </a:p>
      </cdr:txBody>
    </cdr:sp>
  </cdr:relSizeAnchor>
  <cdr:relSizeAnchor xmlns:cdr="http://schemas.openxmlformats.org/drawingml/2006/chartDrawing">
    <cdr:from>
      <cdr:x>0.42003</cdr:x>
      <cdr:y>0.00218</cdr:y>
    </cdr:from>
    <cdr:to>
      <cdr:x>0.5837</cdr:x>
      <cdr:y>0.07162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2176243" y="5976"/>
          <a:ext cx="847991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48 h</a:t>
          </a:r>
          <a:endParaRPr lang="en-GB" sz="1100"/>
        </a:p>
      </cdr:txBody>
    </cdr:sp>
  </cdr:relSizeAnchor>
  <cdr:relSizeAnchor xmlns:cdr="http://schemas.openxmlformats.org/drawingml/2006/chartDrawing">
    <cdr:from>
      <cdr:x>0.57748</cdr:x>
      <cdr:y>0.00218</cdr:y>
    </cdr:from>
    <cdr:to>
      <cdr:x>0.74114</cdr:x>
      <cdr:y>0.07162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2992018" y="5976"/>
          <a:ext cx="847939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36 h</a:t>
          </a:r>
          <a:endParaRPr lang="en-GB" sz="1100"/>
        </a:p>
      </cdr:txBody>
    </cdr:sp>
  </cdr:relSizeAnchor>
  <cdr:relSizeAnchor xmlns:cdr="http://schemas.openxmlformats.org/drawingml/2006/chartDrawing">
    <cdr:from>
      <cdr:x>0.71422</cdr:x>
      <cdr:y>0.00218</cdr:y>
    </cdr:from>
    <cdr:to>
      <cdr:x>0.87787</cdr:x>
      <cdr:y>0.07162</cdr:y>
    </cdr:to>
    <cdr:sp macro="" textlink="">
      <cdr:nvSpPr>
        <cdr:cNvPr id="15" name="TextBox 1"/>
        <cdr:cNvSpPr txBox="1"/>
      </cdr:nvSpPr>
      <cdr:spPr>
        <a:xfrm xmlns:a="http://schemas.openxmlformats.org/drawingml/2006/main">
          <a:off x="3700472" y="5976"/>
          <a:ext cx="847939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24 h</a:t>
          </a:r>
          <a:endParaRPr lang="en-GB" sz="1100"/>
        </a:p>
      </cdr:txBody>
    </cdr:sp>
  </cdr:relSizeAnchor>
  <cdr:relSizeAnchor xmlns:cdr="http://schemas.openxmlformats.org/drawingml/2006/chartDrawing">
    <cdr:from>
      <cdr:x>0.42506</cdr:x>
      <cdr:y>0.09205</cdr:y>
    </cdr:from>
    <cdr:to>
      <cdr:x>0.57015</cdr:x>
      <cdr:y>0.09217</cdr:y>
    </cdr:to>
    <cdr:cxnSp macro="">
      <cdr:nvCxnSpPr>
        <cdr:cNvPr id="17" name="Straight Arrow Connector 16">
          <a:extLst xmlns:a="http://schemas.openxmlformats.org/drawingml/2006/main">
            <a:ext uri="{FF2B5EF4-FFF2-40B4-BE49-F238E27FC236}">
              <a16:creationId xmlns:a16="http://schemas.microsoft.com/office/drawing/2014/main" id="{24494429-7DAF-A84E-A0E1-F5AE70AC0331}"/>
            </a:ext>
          </a:extLst>
        </cdr:cNvPr>
        <cdr:cNvCxnSpPr/>
      </cdr:nvCxnSpPr>
      <cdr:spPr>
        <a:xfrm xmlns:a="http://schemas.openxmlformats.org/drawingml/2006/main" flipV="1">
          <a:off x="2202329" y="252506"/>
          <a:ext cx="751704" cy="32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0.5743</cdr:x>
      <cdr:y>0.09205</cdr:y>
    </cdr:from>
    <cdr:to>
      <cdr:x>0.72369</cdr:x>
      <cdr:y>0.09213</cdr:y>
    </cdr:to>
    <cdr:cxnSp macro="">
      <cdr:nvCxnSpPr>
        <cdr:cNvPr id="18" name="Straight Arrow Connector 17">
          <a:extLst xmlns:a="http://schemas.openxmlformats.org/drawingml/2006/main">
            <a:ext uri="{FF2B5EF4-FFF2-40B4-BE49-F238E27FC236}">
              <a16:creationId xmlns:a16="http://schemas.microsoft.com/office/drawing/2014/main" id="{C6CBCEF1-25A5-0242-9E98-6A8DD8282BA9}"/>
            </a:ext>
          </a:extLst>
        </cdr:cNvPr>
        <cdr:cNvCxnSpPr/>
      </cdr:nvCxnSpPr>
      <cdr:spPr>
        <a:xfrm xmlns:a="http://schemas.openxmlformats.org/drawingml/2006/main" flipV="1">
          <a:off x="2975535" y="252505"/>
          <a:ext cx="774027" cy="21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0.28372</cdr:x>
      <cdr:y>0.07023</cdr:y>
    </cdr:from>
    <cdr:to>
      <cdr:x>0.28372</cdr:x>
      <cdr:y>0.72241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D4FF2559-CD79-A546-A26D-C24FD630469A}"/>
            </a:ext>
          </a:extLst>
        </cdr:cNvPr>
        <cdr:cNvCxnSpPr/>
      </cdr:nvCxnSpPr>
      <cdr:spPr>
        <a:xfrm xmlns:a="http://schemas.openxmlformats.org/drawingml/2006/main" flipV="1">
          <a:off x="1460465" y="192647"/>
          <a:ext cx="0" cy="178906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ysClr val="windowText" lastClr="0000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0.42644</cdr:x>
      <cdr:y>0.06986</cdr:y>
    </cdr:from>
    <cdr:to>
      <cdr:x>0.42644</cdr:x>
      <cdr:y>0.72203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A2B14FF0-BF57-C949-BEA3-B2EBF6D6FF0F}"/>
            </a:ext>
          </a:extLst>
        </cdr:cNvPr>
        <cdr:cNvCxnSpPr/>
      </cdr:nvCxnSpPr>
      <cdr:spPr>
        <a:xfrm xmlns:a="http://schemas.openxmlformats.org/drawingml/2006/main" flipV="1">
          <a:off x="2195121" y="191645"/>
          <a:ext cx="0" cy="1789033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ysClr val="windowText" lastClr="0000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0.59044</cdr:x>
      <cdr:y>0.0668</cdr:y>
    </cdr:from>
    <cdr:to>
      <cdr:x>0.59044</cdr:x>
      <cdr:y>0.71897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B0B6451C-962E-ED4B-896B-9F2C9665280C}"/>
            </a:ext>
          </a:extLst>
        </cdr:cNvPr>
        <cdr:cNvCxnSpPr/>
      </cdr:nvCxnSpPr>
      <cdr:spPr>
        <a:xfrm xmlns:a="http://schemas.openxmlformats.org/drawingml/2006/main" flipV="1">
          <a:off x="3039320" y="183239"/>
          <a:ext cx="0" cy="1789032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ysClr val="windowText" lastClr="0000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0.72547</cdr:x>
      <cdr:y>0.07066</cdr:y>
    </cdr:from>
    <cdr:to>
      <cdr:x>0.72547</cdr:x>
      <cdr:y>0.72283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2B967997-2CBA-DB46-B922-D1A3BCD8CC3F}"/>
            </a:ext>
          </a:extLst>
        </cdr:cNvPr>
        <cdr:cNvCxnSpPr/>
      </cdr:nvCxnSpPr>
      <cdr:spPr>
        <a:xfrm xmlns:a="http://schemas.openxmlformats.org/drawingml/2006/main" flipV="1">
          <a:off x="3734438" y="193846"/>
          <a:ext cx="0" cy="1789032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ysClr val="windowText" lastClr="0000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0.13111</cdr:x>
      <cdr:y>0.09134</cdr:y>
    </cdr:from>
    <cdr:to>
      <cdr:x>0.28055</cdr:x>
      <cdr:y>0.09142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41F1C120-F833-F54D-8E0B-9DBAA9B685B3}"/>
            </a:ext>
          </a:extLst>
        </cdr:cNvPr>
        <cdr:cNvCxnSpPr/>
      </cdr:nvCxnSpPr>
      <cdr:spPr>
        <a:xfrm xmlns:a="http://schemas.openxmlformats.org/drawingml/2006/main" flipV="1">
          <a:off x="677240" y="250562"/>
          <a:ext cx="771922" cy="22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0.28216</cdr:x>
      <cdr:y>0.09066</cdr:y>
    </cdr:from>
    <cdr:to>
      <cdr:x>0.42729</cdr:x>
      <cdr:y>0.09078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DA59354C-EAD0-3C40-A623-F937C3379244}"/>
            </a:ext>
          </a:extLst>
        </cdr:cNvPr>
        <cdr:cNvCxnSpPr/>
      </cdr:nvCxnSpPr>
      <cdr:spPr>
        <a:xfrm xmlns:a="http://schemas.openxmlformats.org/drawingml/2006/main" flipV="1">
          <a:off x="1457471" y="248697"/>
          <a:ext cx="749627" cy="32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0.42539</cdr:x>
      <cdr:y>0.08908</cdr:y>
    </cdr:from>
    <cdr:to>
      <cdr:x>0.58853</cdr:x>
      <cdr:y>0.08913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2DC56924-A800-2947-B3A8-6EC37355B908}"/>
            </a:ext>
          </a:extLst>
        </cdr:cNvPr>
        <cdr:cNvCxnSpPr/>
      </cdr:nvCxnSpPr>
      <cdr:spPr>
        <a:xfrm xmlns:a="http://schemas.openxmlformats.org/drawingml/2006/main" flipV="1">
          <a:off x="2197292" y="244363"/>
          <a:ext cx="842684" cy="13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0.58822</cdr:x>
      <cdr:y>0.08886</cdr:y>
    </cdr:from>
    <cdr:to>
      <cdr:x>0.72282</cdr:x>
      <cdr:y>0.08886</cdr:y>
    </cdr:to>
    <cdr:cxnSp macro="">
      <cdr:nvCxnSpPr>
        <cdr:cNvPr id="9" name="Straight Arrow Connector 8">
          <a:extLst xmlns:a="http://schemas.openxmlformats.org/drawingml/2006/main">
            <a:ext uri="{FF2B5EF4-FFF2-40B4-BE49-F238E27FC236}">
              <a16:creationId xmlns:a16="http://schemas.microsoft.com/office/drawing/2014/main" id="{9D48DDA5-8C89-3B4D-AFDA-2B177E39F30B}"/>
            </a:ext>
          </a:extLst>
        </cdr:cNvPr>
        <cdr:cNvCxnSpPr/>
      </cdr:nvCxnSpPr>
      <cdr:spPr>
        <a:xfrm xmlns:a="http://schemas.openxmlformats.org/drawingml/2006/main">
          <a:off x="3038375" y="243759"/>
          <a:ext cx="695278" cy="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0.72504</cdr:x>
      <cdr:y>0.0901</cdr:y>
    </cdr:from>
    <cdr:to>
      <cdr:x>0.86852</cdr:x>
      <cdr:y>0.0901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506A4ACF-A433-1A43-88E0-977289EFC2CD}"/>
            </a:ext>
          </a:extLst>
        </cdr:cNvPr>
        <cdr:cNvCxnSpPr/>
      </cdr:nvCxnSpPr>
      <cdr:spPr>
        <a:xfrm xmlns:a="http://schemas.openxmlformats.org/drawingml/2006/main">
          <a:off x="3745112" y="247161"/>
          <a:ext cx="741110" cy="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0.12829</cdr:x>
      <cdr:y>0.00116</cdr:y>
    </cdr:from>
    <cdr:to>
      <cdr:x>0.292</cdr:x>
      <cdr:y>0.0706</cdr:y>
    </cdr:to>
    <cdr:sp macro="" textlink="">
      <cdr:nvSpPr>
        <cdr:cNvPr id="11" name="TextBox 6"/>
        <cdr:cNvSpPr txBox="1"/>
      </cdr:nvSpPr>
      <cdr:spPr>
        <a:xfrm xmlns:a="http://schemas.openxmlformats.org/drawingml/2006/main">
          <a:off x="660400" y="3175"/>
          <a:ext cx="842711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55 h</a:t>
          </a:r>
          <a:endParaRPr lang="en-GB" sz="1100"/>
        </a:p>
      </cdr:txBody>
    </cdr:sp>
  </cdr:relSizeAnchor>
  <cdr:relSizeAnchor xmlns:cdr="http://schemas.openxmlformats.org/drawingml/2006/chartDrawing">
    <cdr:from>
      <cdr:x>0.27271</cdr:x>
      <cdr:y>0.00116</cdr:y>
    </cdr:from>
    <cdr:to>
      <cdr:x>0.43642</cdr:x>
      <cdr:y>0.0706</cdr:y>
    </cdr:to>
    <cdr:sp macro="" textlink="">
      <cdr:nvSpPr>
        <cdr:cNvPr id="12" name="TextBox 1"/>
        <cdr:cNvSpPr txBox="1"/>
      </cdr:nvSpPr>
      <cdr:spPr>
        <a:xfrm xmlns:a="http://schemas.openxmlformats.org/drawingml/2006/main">
          <a:off x="1403790" y="3175"/>
          <a:ext cx="842711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96 h</a:t>
          </a:r>
          <a:endParaRPr lang="en-GB" sz="1100"/>
        </a:p>
      </cdr:txBody>
    </cdr:sp>
  </cdr:relSizeAnchor>
  <cdr:relSizeAnchor xmlns:cdr="http://schemas.openxmlformats.org/drawingml/2006/chartDrawing">
    <cdr:from>
      <cdr:x>0.42398</cdr:x>
      <cdr:y>0.00116</cdr:y>
    </cdr:from>
    <cdr:to>
      <cdr:x>0.5877</cdr:x>
      <cdr:y>0.0706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2182464" y="3175"/>
          <a:ext cx="842763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48 h</a:t>
          </a:r>
          <a:endParaRPr lang="en-GB" sz="1100"/>
        </a:p>
      </cdr:txBody>
    </cdr:sp>
  </cdr:relSizeAnchor>
  <cdr:relSizeAnchor xmlns:cdr="http://schemas.openxmlformats.org/drawingml/2006/chartDrawing">
    <cdr:from>
      <cdr:x>0.58148</cdr:x>
      <cdr:y>0.00116</cdr:y>
    </cdr:from>
    <cdr:to>
      <cdr:x>0.74519</cdr:x>
      <cdr:y>0.0706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2993234" y="3175"/>
          <a:ext cx="842711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36 h</a:t>
          </a:r>
          <a:endParaRPr lang="en-GB" sz="1100"/>
        </a:p>
      </cdr:txBody>
    </cdr:sp>
  </cdr:relSizeAnchor>
  <cdr:relSizeAnchor xmlns:cdr="http://schemas.openxmlformats.org/drawingml/2006/chartDrawing">
    <cdr:from>
      <cdr:x>0.71826</cdr:x>
      <cdr:y>0.00116</cdr:y>
    </cdr:from>
    <cdr:to>
      <cdr:x>0.88197</cdr:x>
      <cdr:y>0.0706</cdr:y>
    </cdr:to>
    <cdr:sp macro="" textlink="">
      <cdr:nvSpPr>
        <cdr:cNvPr id="15" name="TextBox 1"/>
        <cdr:cNvSpPr txBox="1"/>
      </cdr:nvSpPr>
      <cdr:spPr>
        <a:xfrm xmlns:a="http://schemas.openxmlformats.org/drawingml/2006/main">
          <a:off x="3697277" y="3175"/>
          <a:ext cx="842711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24 h</a:t>
          </a:r>
          <a:endParaRPr lang="en-GB" sz="1100"/>
        </a:p>
      </cdr:txBody>
    </cdr: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0.27888</cdr:x>
      <cdr:y>0.08955</cdr:y>
    </cdr:from>
    <cdr:to>
      <cdr:x>0.27888</cdr:x>
      <cdr:y>0.74129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25A6C6D1-7CA8-0F42-BA75-C0FDF153DDB2}"/>
            </a:ext>
          </a:extLst>
        </cdr:cNvPr>
        <cdr:cNvCxnSpPr/>
      </cdr:nvCxnSpPr>
      <cdr:spPr>
        <a:xfrm xmlns:a="http://schemas.openxmlformats.org/drawingml/2006/main" flipV="1">
          <a:off x="1450256" y="245654"/>
          <a:ext cx="0" cy="1787853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ysClr val="windowText" lastClr="0000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0.58214</cdr:x>
      <cdr:y>0.07822</cdr:y>
    </cdr:from>
    <cdr:to>
      <cdr:x>0.58214</cdr:x>
      <cdr:y>0.72996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B20DC24F-72E2-D64B-B023-32E1A8284E03}"/>
            </a:ext>
          </a:extLst>
        </cdr:cNvPr>
        <cdr:cNvCxnSpPr/>
      </cdr:nvCxnSpPr>
      <cdr:spPr>
        <a:xfrm xmlns:a="http://schemas.openxmlformats.org/drawingml/2006/main" flipV="1">
          <a:off x="3027314" y="214573"/>
          <a:ext cx="0" cy="1787853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ysClr val="windowText" lastClr="0000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0.43073</cdr:x>
      <cdr:y>0.08679</cdr:y>
    </cdr:from>
    <cdr:to>
      <cdr:x>0.43073</cdr:x>
      <cdr:y>0.73853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0F22CF95-A507-8C4D-B008-9F50434C5922}"/>
            </a:ext>
          </a:extLst>
        </cdr:cNvPr>
        <cdr:cNvCxnSpPr/>
      </cdr:nvCxnSpPr>
      <cdr:spPr>
        <a:xfrm xmlns:a="http://schemas.openxmlformats.org/drawingml/2006/main" flipV="1">
          <a:off x="2239913" y="238082"/>
          <a:ext cx="0" cy="1787853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ysClr val="windowText" lastClr="0000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0.72951</cdr:x>
      <cdr:y>0.08181</cdr:y>
    </cdr:from>
    <cdr:to>
      <cdr:x>0.72951</cdr:x>
      <cdr:y>0.73356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A79943A6-BE0D-FB41-AA07-68D3AC2A8735}"/>
            </a:ext>
          </a:extLst>
        </cdr:cNvPr>
        <cdr:cNvCxnSpPr/>
      </cdr:nvCxnSpPr>
      <cdr:spPr>
        <a:xfrm xmlns:a="http://schemas.openxmlformats.org/drawingml/2006/main" flipV="1">
          <a:off x="3793683" y="224421"/>
          <a:ext cx="0" cy="1787881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ysClr val="windowText" lastClr="0000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0.12445</cdr:x>
      <cdr:y>0.09786</cdr:y>
    </cdr:from>
    <cdr:to>
      <cdr:x>0.27251</cdr:x>
      <cdr:y>0.09794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47D0CA0C-11AD-BF4F-A210-9DB3CFE67AC1}"/>
            </a:ext>
          </a:extLst>
        </cdr:cNvPr>
        <cdr:cNvCxnSpPr/>
      </cdr:nvCxnSpPr>
      <cdr:spPr>
        <a:xfrm xmlns:a="http://schemas.openxmlformats.org/drawingml/2006/main" flipV="1">
          <a:off x="647158" y="268450"/>
          <a:ext cx="769960" cy="21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0.28033</cdr:x>
      <cdr:y>0.09786</cdr:y>
    </cdr:from>
    <cdr:to>
      <cdr:x>0.42839</cdr:x>
      <cdr:y>0.09794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3B349C4F-5052-EB4F-8FC3-3DA0E7C1A6D8}"/>
            </a:ext>
          </a:extLst>
        </cdr:cNvPr>
        <cdr:cNvCxnSpPr/>
      </cdr:nvCxnSpPr>
      <cdr:spPr>
        <a:xfrm xmlns:a="http://schemas.openxmlformats.org/drawingml/2006/main" flipV="1">
          <a:off x="1457796" y="268450"/>
          <a:ext cx="769960" cy="21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0.42843</cdr:x>
      <cdr:y>0.09786</cdr:y>
    </cdr:from>
    <cdr:to>
      <cdr:x>0.57648</cdr:x>
      <cdr:y>0.09794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FA974730-5437-6B46-888F-8E7524D0852E}"/>
            </a:ext>
          </a:extLst>
        </cdr:cNvPr>
        <cdr:cNvCxnSpPr/>
      </cdr:nvCxnSpPr>
      <cdr:spPr>
        <a:xfrm xmlns:a="http://schemas.openxmlformats.org/drawingml/2006/main" flipV="1">
          <a:off x="2227961" y="268450"/>
          <a:ext cx="769908" cy="21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0.5817</cdr:x>
      <cdr:y>0.09786</cdr:y>
    </cdr:from>
    <cdr:to>
      <cdr:x>0.72976</cdr:x>
      <cdr:y>0.09794</cdr:y>
    </cdr:to>
    <cdr:cxnSp macro="">
      <cdr:nvCxnSpPr>
        <cdr:cNvPr id="9" name="Straight Arrow Connector 8">
          <a:extLst xmlns:a="http://schemas.openxmlformats.org/drawingml/2006/main">
            <a:ext uri="{FF2B5EF4-FFF2-40B4-BE49-F238E27FC236}">
              <a16:creationId xmlns:a16="http://schemas.microsoft.com/office/drawing/2014/main" id="{BEF9F8F1-57CA-814B-8019-D980EE08B82E}"/>
            </a:ext>
          </a:extLst>
        </cdr:cNvPr>
        <cdr:cNvCxnSpPr/>
      </cdr:nvCxnSpPr>
      <cdr:spPr>
        <a:xfrm xmlns:a="http://schemas.openxmlformats.org/drawingml/2006/main" flipV="1">
          <a:off x="3025057" y="268450"/>
          <a:ext cx="769959" cy="21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0.123</cdr:x>
      <cdr:y>0</cdr:y>
    </cdr:from>
    <cdr:to>
      <cdr:x>0.27888</cdr:x>
      <cdr:y>0.09453</cdr:y>
    </cdr:to>
    <cdr:sp macro="" textlink="">
      <cdr:nvSpPr>
        <cdr:cNvPr id="10" name="Text Box 18"/>
        <cdr:cNvSpPr txBox="1"/>
      </cdr:nvSpPr>
      <cdr:spPr>
        <a:xfrm xmlns:a="http://schemas.openxmlformats.org/drawingml/2006/main">
          <a:off x="639618" y="0"/>
          <a:ext cx="810638" cy="2593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OLR: 1.18</a:t>
          </a:r>
        </a:p>
      </cdr:txBody>
    </cdr:sp>
  </cdr:relSizeAnchor>
  <cdr:relSizeAnchor xmlns:cdr="http://schemas.openxmlformats.org/drawingml/2006/chartDrawing">
    <cdr:from>
      <cdr:x>0.27628</cdr:x>
      <cdr:y>3.64538E-7</cdr:y>
    </cdr:from>
    <cdr:to>
      <cdr:x>0.42437</cdr:x>
      <cdr:y>0.09453</cdr:y>
    </cdr:to>
    <cdr:sp macro="" textlink="">
      <cdr:nvSpPr>
        <cdr:cNvPr id="11" name="Text Box 20"/>
        <cdr:cNvSpPr txBox="1"/>
      </cdr:nvSpPr>
      <cdr:spPr>
        <a:xfrm xmlns:a="http://schemas.openxmlformats.org/drawingml/2006/main">
          <a:off x="1436765" y="1"/>
          <a:ext cx="770113" cy="2593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OLR: 0.78</a:t>
          </a:r>
        </a:p>
      </cdr:txBody>
    </cdr:sp>
  </cdr:relSizeAnchor>
  <cdr:relSizeAnchor xmlns:cdr="http://schemas.openxmlformats.org/drawingml/2006/chartDrawing">
    <cdr:from>
      <cdr:x>0.43477</cdr:x>
      <cdr:y>0</cdr:y>
    </cdr:from>
    <cdr:to>
      <cdr:x>0.57766</cdr:x>
      <cdr:y>0.10945</cdr:y>
    </cdr:to>
    <cdr:sp macro="" textlink="">
      <cdr:nvSpPr>
        <cdr:cNvPr id="12" name="Text Box 22"/>
        <cdr:cNvSpPr txBox="1"/>
      </cdr:nvSpPr>
      <cdr:spPr>
        <a:xfrm xmlns:a="http://schemas.openxmlformats.org/drawingml/2006/main">
          <a:off x="2260945" y="0"/>
          <a:ext cx="743080" cy="3002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OLR: 1.96</a:t>
          </a:r>
        </a:p>
      </cdr:txBody>
    </cdr:sp>
  </cdr:relSizeAnchor>
  <cdr:relSizeAnchor xmlns:cdr="http://schemas.openxmlformats.org/drawingml/2006/chartDrawing">
    <cdr:from>
      <cdr:x>0.58806</cdr:x>
      <cdr:y>0</cdr:y>
    </cdr:from>
    <cdr:to>
      <cdr:x>0.73095</cdr:x>
      <cdr:y>0.09453</cdr:y>
    </cdr:to>
    <cdr:sp macro="" textlink="">
      <cdr:nvSpPr>
        <cdr:cNvPr id="13" name="Text Box 23"/>
        <cdr:cNvSpPr txBox="1"/>
      </cdr:nvSpPr>
      <cdr:spPr>
        <a:xfrm xmlns:a="http://schemas.openxmlformats.org/drawingml/2006/main">
          <a:off x="3058092" y="0"/>
          <a:ext cx="743080" cy="2593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OLR:</a:t>
          </a:r>
          <a:r>
            <a:rPr lang="en-GB" sz="1100" baseline="0"/>
            <a:t> 4.10</a:t>
          </a:r>
          <a:endParaRPr lang="en-GB" sz="1100"/>
        </a:p>
      </cdr:txBody>
    </cdr:sp>
  </cdr:relSizeAnchor>
  <cdr:relSizeAnchor xmlns:cdr="http://schemas.openxmlformats.org/drawingml/2006/chartDrawing">
    <cdr:from>
      <cdr:x>0.73095</cdr:x>
      <cdr:y>0</cdr:y>
    </cdr:from>
    <cdr:to>
      <cdr:x>0.87384</cdr:x>
      <cdr:y>0.10448</cdr:y>
    </cdr:to>
    <cdr:sp macro="" textlink="">
      <cdr:nvSpPr>
        <cdr:cNvPr id="14" name="Text Box 24"/>
        <cdr:cNvSpPr txBox="1"/>
      </cdr:nvSpPr>
      <cdr:spPr>
        <a:xfrm xmlns:a="http://schemas.openxmlformats.org/drawingml/2006/main">
          <a:off x="3801172" y="0"/>
          <a:ext cx="743080" cy="2866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OLR:5.74</a:t>
          </a:r>
        </a:p>
      </cdr:txBody>
    </cdr:sp>
  </cdr:relSizeAnchor>
  <cdr:relSizeAnchor xmlns:cdr="http://schemas.openxmlformats.org/drawingml/2006/chartDrawing">
    <cdr:from>
      <cdr:x>0.72909</cdr:x>
      <cdr:y>0.10059</cdr:y>
    </cdr:from>
    <cdr:to>
      <cdr:x>0.87715</cdr:x>
      <cdr:y>0.10067</cdr:y>
    </cdr:to>
    <cdr:cxnSp macro="">
      <cdr:nvCxnSpPr>
        <cdr:cNvPr id="15" name="Straight Arrow Connector 14">
          <a:extLst xmlns:a="http://schemas.openxmlformats.org/drawingml/2006/main">
            <a:ext uri="{FF2B5EF4-FFF2-40B4-BE49-F238E27FC236}">
              <a16:creationId xmlns:a16="http://schemas.microsoft.com/office/drawing/2014/main" id="{1C096D78-ECA6-9049-96D6-EF2D9DAF303E}"/>
            </a:ext>
          </a:extLst>
        </cdr:cNvPr>
        <cdr:cNvCxnSpPr/>
      </cdr:nvCxnSpPr>
      <cdr:spPr>
        <a:xfrm xmlns:a="http://schemas.openxmlformats.org/drawingml/2006/main" flipV="1">
          <a:off x="3791527" y="275937"/>
          <a:ext cx="769960" cy="22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0.27205</cdr:x>
      <cdr:y>0.1153</cdr:y>
    </cdr:from>
    <cdr:to>
      <cdr:x>0.27205</cdr:x>
      <cdr:y>0.76748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AAE5860D-5777-3B4A-883F-72FC848DF0C7}"/>
            </a:ext>
          </a:extLst>
        </cdr:cNvPr>
        <cdr:cNvCxnSpPr/>
      </cdr:nvCxnSpPr>
      <cdr:spPr>
        <a:xfrm xmlns:a="http://schemas.openxmlformats.org/drawingml/2006/main" flipV="1">
          <a:off x="1253109" y="316299"/>
          <a:ext cx="0" cy="1789043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ysClr val="windowText" lastClr="0000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0.41615</cdr:x>
      <cdr:y>0.11269</cdr:y>
    </cdr:from>
    <cdr:to>
      <cdr:x>0.41615</cdr:x>
      <cdr:y>0.76486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64BA17CE-9209-1840-AE07-3DF4AC5E2480}"/>
            </a:ext>
          </a:extLst>
        </cdr:cNvPr>
        <cdr:cNvCxnSpPr/>
      </cdr:nvCxnSpPr>
      <cdr:spPr>
        <a:xfrm xmlns:a="http://schemas.openxmlformats.org/drawingml/2006/main" flipV="1">
          <a:off x="1916822" y="309120"/>
          <a:ext cx="0" cy="1789043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ysClr val="windowText" lastClr="0000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0.57822</cdr:x>
      <cdr:y>0.11309</cdr:y>
    </cdr:from>
    <cdr:to>
      <cdr:x>0.57822</cdr:x>
      <cdr:y>0.76526</cdr:y>
    </cdr:to>
    <cdr:cxnSp macro="">
      <cdr:nvCxnSpPr>
        <cdr:cNvPr id="7" name="Straight Connector 6">
          <a:extLst xmlns:a="http://schemas.openxmlformats.org/drawingml/2006/main">
            <a:ext uri="{FF2B5EF4-FFF2-40B4-BE49-F238E27FC236}">
              <a16:creationId xmlns:a16="http://schemas.microsoft.com/office/drawing/2014/main" id="{1FEC1511-198A-A643-9849-E8891BDEB173}"/>
            </a:ext>
          </a:extLst>
        </cdr:cNvPr>
        <cdr:cNvCxnSpPr/>
      </cdr:nvCxnSpPr>
      <cdr:spPr>
        <a:xfrm xmlns:a="http://schemas.openxmlformats.org/drawingml/2006/main" flipV="1">
          <a:off x="2663361" y="310225"/>
          <a:ext cx="0" cy="1789043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ysClr val="windowText" lastClr="0000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0.71513</cdr:x>
      <cdr:y>0.11349</cdr:y>
    </cdr:from>
    <cdr:to>
      <cdr:x>0.71513</cdr:x>
      <cdr:y>0.76566</cdr:y>
    </cdr:to>
    <cdr:cxnSp macro="">
      <cdr:nvCxnSpPr>
        <cdr:cNvPr id="8" name="Straight Connector 7">
          <a:extLst xmlns:a="http://schemas.openxmlformats.org/drawingml/2006/main">
            <a:ext uri="{FF2B5EF4-FFF2-40B4-BE49-F238E27FC236}">
              <a16:creationId xmlns:a16="http://schemas.microsoft.com/office/drawing/2014/main" id="{BB9DDCF0-E94D-314E-B915-390413DF1A07}"/>
            </a:ext>
          </a:extLst>
        </cdr:cNvPr>
        <cdr:cNvCxnSpPr/>
      </cdr:nvCxnSpPr>
      <cdr:spPr>
        <a:xfrm xmlns:a="http://schemas.openxmlformats.org/drawingml/2006/main" flipV="1">
          <a:off x="3293943" y="311329"/>
          <a:ext cx="0" cy="1789043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ysClr val="windowText" lastClr="0000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0.12033</cdr:x>
      <cdr:y>0.09924</cdr:y>
    </cdr:from>
    <cdr:to>
      <cdr:x>0.26993</cdr:x>
      <cdr:y>0.09932</cdr:y>
    </cdr:to>
    <cdr:cxnSp macro="">
      <cdr:nvCxnSpPr>
        <cdr:cNvPr id="15" name="Straight Arrow Connector 14">
          <a:extLst xmlns:a="http://schemas.openxmlformats.org/drawingml/2006/main">
            <a:ext uri="{FF2B5EF4-FFF2-40B4-BE49-F238E27FC236}">
              <a16:creationId xmlns:a16="http://schemas.microsoft.com/office/drawing/2014/main" id="{26CC9246-E85C-BF40-9E83-47792B5622B3}"/>
            </a:ext>
          </a:extLst>
        </cdr:cNvPr>
        <cdr:cNvCxnSpPr/>
      </cdr:nvCxnSpPr>
      <cdr:spPr>
        <a:xfrm xmlns:a="http://schemas.openxmlformats.org/drawingml/2006/main" flipV="1">
          <a:off x="552500" y="272224"/>
          <a:ext cx="686906" cy="234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0.27154</cdr:x>
      <cdr:y>0.09856</cdr:y>
    </cdr:from>
    <cdr:to>
      <cdr:x>0.41681</cdr:x>
      <cdr:y>0.09868</cdr:y>
    </cdr:to>
    <cdr:cxnSp macro="">
      <cdr:nvCxnSpPr>
        <cdr:cNvPr id="16" name="Straight Arrow Connector 15">
          <a:extLst xmlns:a="http://schemas.openxmlformats.org/drawingml/2006/main">
            <a:ext uri="{FF2B5EF4-FFF2-40B4-BE49-F238E27FC236}">
              <a16:creationId xmlns:a16="http://schemas.microsoft.com/office/drawing/2014/main" id="{72721AD0-2606-B941-BC9D-B564E6881181}"/>
            </a:ext>
          </a:extLst>
        </cdr:cNvPr>
        <cdr:cNvCxnSpPr/>
      </cdr:nvCxnSpPr>
      <cdr:spPr>
        <a:xfrm xmlns:a="http://schemas.openxmlformats.org/drawingml/2006/main" flipV="1">
          <a:off x="1246810" y="270368"/>
          <a:ext cx="667033" cy="33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0.41491</cdr:x>
      <cdr:y>0.09698</cdr:y>
    </cdr:from>
    <cdr:to>
      <cdr:x>0.57821</cdr:x>
      <cdr:y>0.09703</cdr:y>
    </cdr:to>
    <cdr:cxnSp macro="">
      <cdr:nvCxnSpPr>
        <cdr:cNvPr id="19" name="Straight Arrow Connector 18">
          <a:extLst xmlns:a="http://schemas.openxmlformats.org/drawingml/2006/main">
            <a:ext uri="{FF2B5EF4-FFF2-40B4-BE49-F238E27FC236}">
              <a16:creationId xmlns:a16="http://schemas.microsoft.com/office/drawing/2014/main" id="{7F3F8D04-E90D-2D42-BE08-10FFDA255694}"/>
            </a:ext>
          </a:extLst>
        </cdr:cNvPr>
        <cdr:cNvCxnSpPr/>
      </cdr:nvCxnSpPr>
      <cdr:spPr>
        <a:xfrm xmlns:a="http://schemas.openxmlformats.org/drawingml/2006/main" flipV="1">
          <a:off x="1905125" y="266038"/>
          <a:ext cx="749769" cy="13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0.5779</cdr:x>
      <cdr:y>0.09676</cdr:y>
    </cdr:from>
    <cdr:to>
      <cdr:x>0.71264</cdr:x>
      <cdr:y>0.09676</cdr:y>
    </cdr:to>
    <cdr:cxnSp macro="">
      <cdr:nvCxnSpPr>
        <cdr:cNvPr id="24" name="Straight Arrow Connector 23">
          <a:extLst xmlns:a="http://schemas.openxmlformats.org/drawingml/2006/main">
            <a:ext uri="{FF2B5EF4-FFF2-40B4-BE49-F238E27FC236}">
              <a16:creationId xmlns:a16="http://schemas.microsoft.com/office/drawing/2014/main" id="{08A290C8-F615-344E-9372-6561B5825A94}"/>
            </a:ext>
          </a:extLst>
        </cdr:cNvPr>
        <cdr:cNvCxnSpPr/>
      </cdr:nvCxnSpPr>
      <cdr:spPr>
        <a:xfrm xmlns:a="http://schemas.openxmlformats.org/drawingml/2006/main">
          <a:off x="2653501" y="265420"/>
          <a:ext cx="618667" cy="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0.71486</cdr:x>
      <cdr:y>0.098</cdr:y>
    </cdr:from>
    <cdr:to>
      <cdr:x>0.87433</cdr:x>
      <cdr:y>0.09844</cdr:y>
    </cdr:to>
    <cdr:cxnSp macro="">
      <cdr:nvCxnSpPr>
        <cdr:cNvPr id="30" name="Straight Arrow Connector 29">
          <a:extLst xmlns:a="http://schemas.openxmlformats.org/drawingml/2006/main">
            <a:ext uri="{FF2B5EF4-FFF2-40B4-BE49-F238E27FC236}">
              <a16:creationId xmlns:a16="http://schemas.microsoft.com/office/drawing/2014/main" id="{2922E79A-8343-E042-A7DF-9FEFDA816E33}"/>
            </a:ext>
          </a:extLst>
        </cdr:cNvPr>
        <cdr:cNvCxnSpPr/>
      </cdr:nvCxnSpPr>
      <cdr:spPr>
        <a:xfrm xmlns:a="http://schemas.openxmlformats.org/drawingml/2006/main">
          <a:off x="3692770" y="268834"/>
          <a:ext cx="823755" cy="1216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0.11751</cdr:x>
      <cdr:y>0</cdr:y>
    </cdr:from>
    <cdr:to>
      <cdr:x>0.28139</cdr:x>
      <cdr:y>0.06944</cdr:y>
    </cdr:to>
    <cdr:sp macro="" textlink="">
      <cdr:nvSpPr>
        <cdr:cNvPr id="38" name="TextBox 37"/>
        <cdr:cNvSpPr txBox="1"/>
      </cdr:nvSpPr>
      <cdr:spPr>
        <a:xfrm xmlns:a="http://schemas.openxmlformats.org/drawingml/2006/main">
          <a:off x="539562" y="0"/>
          <a:ext cx="752475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100"/>
            <a:t>HRT:</a:t>
          </a:r>
          <a:r>
            <a:rPr lang="en-GB" sz="1100" baseline="0"/>
            <a:t> 55 h</a:t>
          </a:r>
          <a:endParaRPr lang="en-GB" sz="1100"/>
        </a:p>
      </cdr:txBody>
    </cdr:sp>
  </cdr:relSizeAnchor>
  <cdr:relSizeAnchor xmlns:cdr="http://schemas.openxmlformats.org/drawingml/2006/chartDrawing">
    <cdr:from>
      <cdr:x>0.26207</cdr:x>
      <cdr:y>0</cdr:y>
    </cdr:from>
    <cdr:to>
      <cdr:x>0.42595</cdr:x>
      <cdr:y>0.06944</cdr:y>
    </cdr:to>
    <cdr:sp macro="" textlink="">
      <cdr:nvSpPr>
        <cdr:cNvPr id="39" name="TextBox 1"/>
        <cdr:cNvSpPr txBox="1"/>
      </cdr:nvSpPr>
      <cdr:spPr>
        <a:xfrm xmlns:a="http://schemas.openxmlformats.org/drawingml/2006/main">
          <a:off x="1203325" y="0"/>
          <a:ext cx="752475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96 h</a:t>
          </a:r>
          <a:endParaRPr lang="en-GB" sz="1100"/>
        </a:p>
      </cdr:txBody>
    </cdr:sp>
  </cdr:relSizeAnchor>
  <cdr:relSizeAnchor xmlns:cdr="http://schemas.openxmlformats.org/drawingml/2006/chartDrawing">
    <cdr:from>
      <cdr:x>0.4135</cdr:x>
      <cdr:y>0</cdr:y>
    </cdr:from>
    <cdr:to>
      <cdr:x>0.57738</cdr:x>
      <cdr:y>0.06944</cdr:y>
    </cdr:to>
    <cdr:sp macro="" textlink="">
      <cdr:nvSpPr>
        <cdr:cNvPr id="40" name="TextBox 1"/>
        <cdr:cNvSpPr txBox="1"/>
      </cdr:nvSpPr>
      <cdr:spPr>
        <a:xfrm xmlns:a="http://schemas.openxmlformats.org/drawingml/2006/main">
          <a:off x="1898650" y="0"/>
          <a:ext cx="752475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48 h</a:t>
          </a:r>
          <a:endParaRPr lang="en-GB" sz="1100"/>
        </a:p>
      </cdr:txBody>
    </cdr:sp>
  </cdr:relSizeAnchor>
  <cdr:relSizeAnchor xmlns:cdr="http://schemas.openxmlformats.org/drawingml/2006/chartDrawing">
    <cdr:from>
      <cdr:x>0.57116</cdr:x>
      <cdr:y>0</cdr:y>
    </cdr:from>
    <cdr:to>
      <cdr:x>0.73504</cdr:x>
      <cdr:y>0.06944</cdr:y>
    </cdr:to>
    <cdr:sp macro="" textlink="">
      <cdr:nvSpPr>
        <cdr:cNvPr id="41" name="TextBox 1"/>
        <cdr:cNvSpPr txBox="1"/>
      </cdr:nvSpPr>
      <cdr:spPr>
        <a:xfrm xmlns:a="http://schemas.openxmlformats.org/drawingml/2006/main">
          <a:off x="2622550" y="0"/>
          <a:ext cx="752475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36 h</a:t>
          </a:r>
          <a:endParaRPr lang="en-GB" sz="1100"/>
        </a:p>
      </cdr:txBody>
    </cdr:sp>
  </cdr:relSizeAnchor>
  <cdr:relSizeAnchor xmlns:cdr="http://schemas.openxmlformats.org/drawingml/2006/chartDrawing">
    <cdr:from>
      <cdr:x>0.72416</cdr:x>
      <cdr:y>0</cdr:y>
    </cdr:from>
    <cdr:to>
      <cdr:x>0.88804</cdr:x>
      <cdr:y>0.06944</cdr:y>
    </cdr:to>
    <cdr:sp macro="" textlink="">
      <cdr:nvSpPr>
        <cdr:cNvPr id="42" name="TextBox 1"/>
        <cdr:cNvSpPr txBox="1"/>
      </cdr:nvSpPr>
      <cdr:spPr>
        <a:xfrm xmlns:a="http://schemas.openxmlformats.org/drawingml/2006/main">
          <a:off x="3740823" y="0"/>
          <a:ext cx="846559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24 h</a:t>
          </a:r>
          <a:endParaRPr lang="en-GB" sz="1100"/>
        </a:p>
      </cdr:txBody>
    </cdr:sp>
  </cdr:relSizeAnchor>
  <cdr:relSizeAnchor xmlns:cdr="http://schemas.openxmlformats.org/drawingml/2006/chartDrawing">
    <cdr:from>
      <cdr:x>0.27205</cdr:x>
      <cdr:y>0.1153</cdr:y>
    </cdr:from>
    <cdr:to>
      <cdr:x>0.27205</cdr:x>
      <cdr:y>0.76748</cdr:y>
    </cdr:to>
    <cdr:cxnSp macro="">
      <cdr:nvCxnSpPr>
        <cdr:cNvPr id="2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8AF3269A-FA5D-124F-A771-8C74FA21AA04}"/>
            </a:ext>
          </a:extLst>
        </cdr:cNvPr>
        <cdr:cNvCxnSpPr/>
      </cdr:nvCxnSpPr>
      <cdr:spPr>
        <a:xfrm xmlns:a="http://schemas.openxmlformats.org/drawingml/2006/main" flipV="1">
          <a:off x="1253109" y="316299"/>
          <a:ext cx="0" cy="1789043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ysClr val="windowText" lastClr="0000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0.41615</cdr:x>
      <cdr:y>0.11269</cdr:y>
    </cdr:from>
    <cdr:to>
      <cdr:x>0.41615</cdr:x>
      <cdr:y>0.76486</cdr:y>
    </cdr:to>
    <cdr:cxnSp macro="">
      <cdr:nvCxnSpPr>
        <cdr:cNvPr id="3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37FB2918-0D98-0247-812F-29E3E560A573}"/>
            </a:ext>
          </a:extLst>
        </cdr:cNvPr>
        <cdr:cNvCxnSpPr/>
      </cdr:nvCxnSpPr>
      <cdr:spPr>
        <a:xfrm xmlns:a="http://schemas.openxmlformats.org/drawingml/2006/main" flipV="1">
          <a:off x="1916822" y="309120"/>
          <a:ext cx="0" cy="1789043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ysClr val="windowText" lastClr="0000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0.57822</cdr:x>
      <cdr:y>0.11309</cdr:y>
    </cdr:from>
    <cdr:to>
      <cdr:x>0.57822</cdr:x>
      <cdr:y>0.76526</cdr:y>
    </cdr:to>
    <cdr:cxnSp macro="">
      <cdr:nvCxnSpPr>
        <cdr:cNvPr id="4" name="Straight Connector 6">
          <a:extLst xmlns:a="http://schemas.openxmlformats.org/drawingml/2006/main">
            <a:ext uri="{FF2B5EF4-FFF2-40B4-BE49-F238E27FC236}">
              <a16:creationId xmlns:a16="http://schemas.microsoft.com/office/drawing/2014/main" id="{AB277450-2264-3D4F-8707-CCD61BE0B09A}"/>
            </a:ext>
          </a:extLst>
        </cdr:cNvPr>
        <cdr:cNvCxnSpPr/>
      </cdr:nvCxnSpPr>
      <cdr:spPr>
        <a:xfrm xmlns:a="http://schemas.openxmlformats.org/drawingml/2006/main" flipV="1">
          <a:off x="2663361" y="310225"/>
          <a:ext cx="0" cy="1789043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ysClr val="windowText" lastClr="0000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0.71513</cdr:x>
      <cdr:y>0.11349</cdr:y>
    </cdr:from>
    <cdr:to>
      <cdr:x>0.71513</cdr:x>
      <cdr:y>0.76566</cdr:y>
    </cdr:to>
    <cdr:cxnSp macro="">
      <cdr:nvCxnSpPr>
        <cdr:cNvPr id="9" name="Straight Connector 7">
          <a:extLst xmlns:a="http://schemas.openxmlformats.org/drawingml/2006/main">
            <a:ext uri="{FF2B5EF4-FFF2-40B4-BE49-F238E27FC236}">
              <a16:creationId xmlns:a16="http://schemas.microsoft.com/office/drawing/2014/main" id="{9625B3B2-7FFB-0B47-ABC4-2C9B8C8D250F}"/>
            </a:ext>
          </a:extLst>
        </cdr:cNvPr>
        <cdr:cNvCxnSpPr/>
      </cdr:nvCxnSpPr>
      <cdr:spPr>
        <a:xfrm xmlns:a="http://schemas.openxmlformats.org/drawingml/2006/main" flipV="1">
          <a:off x="3293943" y="311329"/>
          <a:ext cx="0" cy="1789043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ysClr val="windowText" lastClr="0000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0.12033</cdr:x>
      <cdr:y>0.09924</cdr:y>
    </cdr:from>
    <cdr:to>
      <cdr:x>0.26993</cdr:x>
      <cdr:y>0.09932</cdr:y>
    </cdr:to>
    <cdr:cxnSp macro="">
      <cdr:nvCxnSpPr>
        <cdr:cNvPr id="10" name="Straight Arrow Connector 14">
          <a:extLst xmlns:a="http://schemas.openxmlformats.org/drawingml/2006/main">
            <a:ext uri="{FF2B5EF4-FFF2-40B4-BE49-F238E27FC236}">
              <a16:creationId xmlns:a16="http://schemas.microsoft.com/office/drawing/2014/main" id="{4D351C8B-3DA9-CD4B-B3DB-83FB42D70915}"/>
            </a:ext>
          </a:extLst>
        </cdr:cNvPr>
        <cdr:cNvCxnSpPr/>
      </cdr:nvCxnSpPr>
      <cdr:spPr>
        <a:xfrm xmlns:a="http://schemas.openxmlformats.org/drawingml/2006/main" flipV="1">
          <a:off x="552500" y="272224"/>
          <a:ext cx="686906" cy="234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0.27154</cdr:x>
      <cdr:y>0.09856</cdr:y>
    </cdr:from>
    <cdr:to>
      <cdr:x>0.41681</cdr:x>
      <cdr:y>0.09868</cdr:y>
    </cdr:to>
    <cdr:cxnSp macro="">
      <cdr:nvCxnSpPr>
        <cdr:cNvPr id="11" name="Straight Arrow Connector 15">
          <a:extLst xmlns:a="http://schemas.openxmlformats.org/drawingml/2006/main">
            <a:ext uri="{FF2B5EF4-FFF2-40B4-BE49-F238E27FC236}">
              <a16:creationId xmlns:a16="http://schemas.microsoft.com/office/drawing/2014/main" id="{05E62C9D-5725-BE46-8939-E103D89AD9B9}"/>
            </a:ext>
          </a:extLst>
        </cdr:cNvPr>
        <cdr:cNvCxnSpPr/>
      </cdr:nvCxnSpPr>
      <cdr:spPr>
        <a:xfrm xmlns:a="http://schemas.openxmlformats.org/drawingml/2006/main" flipV="1">
          <a:off x="1246810" y="270368"/>
          <a:ext cx="667033" cy="33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0.41802</cdr:x>
      <cdr:y>0.09698</cdr:y>
    </cdr:from>
    <cdr:to>
      <cdr:x>0.57821</cdr:x>
      <cdr:y>0.0974</cdr:y>
    </cdr:to>
    <cdr:cxnSp macro="">
      <cdr:nvCxnSpPr>
        <cdr:cNvPr id="12" name="Straight Arrow Connector 18">
          <a:extLst xmlns:a="http://schemas.openxmlformats.org/drawingml/2006/main">
            <a:ext uri="{FF2B5EF4-FFF2-40B4-BE49-F238E27FC236}">
              <a16:creationId xmlns:a16="http://schemas.microsoft.com/office/drawing/2014/main" id="{1CCCCE39-79B3-694B-8608-F06E9D14B41F}"/>
            </a:ext>
          </a:extLst>
        </cdr:cNvPr>
        <cdr:cNvCxnSpPr/>
      </cdr:nvCxnSpPr>
      <cdr:spPr>
        <a:xfrm xmlns:a="http://schemas.openxmlformats.org/drawingml/2006/main" flipV="1">
          <a:off x="2173184" y="266037"/>
          <a:ext cx="832782" cy="1158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0.5779</cdr:x>
      <cdr:y>0.09676</cdr:y>
    </cdr:from>
    <cdr:to>
      <cdr:x>0.71264</cdr:x>
      <cdr:y>0.09676</cdr:y>
    </cdr:to>
    <cdr:cxnSp macro="">
      <cdr:nvCxnSpPr>
        <cdr:cNvPr id="13" name="Straight Arrow Connector 23">
          <a:extLst xmlns:a="http://schemas.openxmlformats.org/drawingml/2006/main">
            <a:ext uri="{FF2B5EF4-FFF2-40B4-BE49-F238E27FC236}">
              <a16:creationId xmlns:a16="http://schemas.microsoft.com/office/drawing/2014/main" id="{3C3AA7D5-AF12-9640-A5A6-03D631703D15}"/>
            </a:ext>
          </a:extLst>
        </cdr:cNvPr>
        <cdr:cNvCxnSpPr/>
      </cdr:nvCxnSpPr>
      <cdr:spPr>
        <a:xfrm xmlns:a="http://schemas.openxmlformats.org/drawingml/2006/main">
          <a:off x="2653501" y="265420"/>
          <a:ext cx="618667" cy="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0.71486</cdr:x>
      <cdr:y>0.098</cdr:y>
    </cdr:from>
    <cdr:to>
      <cdr:x>0.87433</cdr:x>
      <cdr:y>0.09844</cdr:y>
    </cdr:to>
    <cdr:cxnSp macro="">
      <cdr:nvCxnSpPr>
        <cdr:cNvPr id="14" name="Straight Arrow Connector 29">
          <a:extLst xmlns:a="http://schemas.openxmlformats.org/drawingml/2006/main">
            <a:ext uri="{FF2B5EF4-FFF2-40B4-BE49-F238E27FC236}">
              <a16:creationId xmlns:a16="http://schemas.microsoft.com/office/drawing/2014/main" id="{A53C0076-D3CE-8747-AFB5-A4FE12028898}"/>
            </a:ext>
          </a:extLst>
        </cdr:cNvPr>
        <cdr:cNvCxnSpPr/>
      </cdr:nvCxnSpPr>
      <cdr:spPr>
        <a:xfrm xmlns:a="http://schemas.openxmlformats.org/drawingml/2006/main">
          <a:off x="3692770" y="268834"/>
          <a:ext cx="823755" cy="1216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0.11751</cdr:x>
      <cdr:y>0</cdr:y>
    </cdr:from>
    <cdr:to>
      <cdr:x>0.28139</cdr:x>
      <cdr:y>0.06944</cdr:y>
    </cdr:to>
    <cdr:sp macro="" textlink="">
      <cdr:nvSpPr>
        <cdr:cNvPr id="17" name="TextBox 37"/>
        <cdr:cNvSpPr txBox="1"/>
      </cdr:nvSpPr>
      <cdr:spPr>
        <a:xfrm xmlns:a="http://schemas.openxmlformats.org/drawingml/2006/main">
          <a:off x="539562" y="0"/>
          <a:ext cx="752475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100"/>
            <a:t>HRT:</a:t>
          </a:r>
          <a:r>
            <a:rPr lang="en-GB" sz="1100" baseline="0"/>
            <a:t> 55 h</a:t>
          </a:r>
          <a:endParaRPr lang="en-GB" sz="1100"/>
        </a:p>
      </cdr:txBody>
    </cdr:sp>
  </cdr:relSizeAnchor>
  <cdr:relSizeAnchor xmlns:cdr="http://schemas.openxmlformats.org/drawingml/2006/chartDrawing">
    <cdr:from>
      <cdr:x>0.26207</cdr:x>
      <cdr:y>0</cdr:y>
    </cdr:from>
    <cdr:to>
      <cdr:x>0.42595</cdr:x>
      <cdr:y>0.06944</cdr:y>
    </cdr:to>
    <cdr:sp macro="" textlink="">
      <cdr:nvSpPr>
        <cdr:cNvPr id="18" name="TextBox 1"/>
        <cdr:cNvSpPr txBox="1"/>
      </cdr:nvSpPr>
      <cdr:spPr>
        <a:xfrm xmlns:a="http://schemas.openxmlformats.org/drawingml/2006/main">
          <a:off x="1203325" y="0"/>
          <a:ext cx="752475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96 h</a:t>
          </a:r>
          <a:endParaRPr lang="en-GB" sz="1100"/>
        </a:p>
      </cdr:txBody>
    </cdr:sp>
  </cdr:relSizeAnchor>
  <cdr:relSizeAnchor xmlns:cdr="http://schemas.openxmlformats.org/drawingml/2006/chartDrawing">
    <cdr:from>
      <cdr:x>0.4135</cdr:x>
      <cdr:y>0</cdr:y>
    </cdr:from>
    <cdr:to>
      <cdr:x>0.57738</cdr:x>
      <cdr:y>0.06944</cdr:y>
    </cdr:to>
    <cdr:sp macro="" textlink="">
      <cdr:nvSpPr>
        <cdr:cNvPr id="20" name="TextBox 1"/>
        <cdr:cNvSpPr txBox="1"/>
      </cdr:nvSpPr>
      <cdr:spPr>
        <a:xfrm xmlns:a="http://schemas.openxmlformats.org/drawingml/2006/main">
          <a:off x="1898650" y="0"/>
          <a:ext cx="752475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48 h</a:t>
          </a:r>
          <a:endParaRPr lang="en-GB" sz="1100"/>
        </a:p>
      </cdr:txBody>
    </cdr:sp>
  </cdr:relSizeAnchor>
  <cdr:relSizeAnchor xmlns:cdr="http://schemas.openxmlformats.org/drawingml/2006/chartDrawing">
    <cdr:from>
      <cdr:x>0.57116</cdr:x>
      <cdr:y>0</cdr:y>
    </cdr:from>
    <cdr:to>
      <cdr:x>0.73504</cdr:x>
      <cdr:y>0.06944</cdr:y>
    </cdr:to>
    <cdr:sp macro="" textlink="">
      <cdr:nvSpPr>
        <cdr:cNvPr id="21" name="TextBox 1"/>
        <cdr:cNvSpPr txBox="1"/>
      </cdr:nvSpPr>
      <cdr:spPr>
        <a:xfrm xmlns:a="http://schemas.openxmlformats.org/drawingml/2006/main">
          <a:off x="2622550" y="0"/>
          <a:ext cx="752475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36 h</a:t>
          </a:r>
          <a:endParaRPr lang="en-GB" sz="1100"/>
        </a:p>
      </cdr:txBody>
    </cdr:sp>
  </cdr:relSizeAnchor>
  <cdr:relSizeAnchor xmlns:cdr="http://schemas.openxmlformats.org/drawingml/2006/chartDrawing">
    <cdr:from>
      <cdr:x>0.72416</cdr:x>
      <cdr:y>0</cdr:y>
    </cdr:from>
    <cdr:to>
      <cdr:x>0.88804</cdr:x>
      <cdr:y>0.06944</cdr:y>
    </cdr:to>
    <cdr:sp macro="" textlink="">
      <cdr:nvSpPr>
        <cdr:cNvPr id="22" name="TextBox 1"/>
        <cdr:cNvSpPr txBox="1"/>
      </cdr:nvSpPr>
      <cdr:spPr>
        <a:xfrm xmlns:a="http://schemas.openxmlformats.org/drawingml/2006/main">
          <a:off x="3740823" y="0"/>
          <a:ext cx="846559" cy="1904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/>
            <a:t>HRT:</a:t>
          </a:r>
          <a:r>
            <a:rPr lang="en-GB" sz="1100" baseline="0"/>
            <a:t> 24 h</a:t>
          </a:r>
          <a:endParaRPr lang="en-GB" sz="1100"/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1190624</xdr:colOff>
      <xdr:row>30</xdr:row>
      <xdr:rowOff>198665</xdr:rowOff>
    </xdr:from>
    <xdr:to>
      <xdr:col>36</xdr:col>
      <xdr:colOff>37192</xdr:colOff>
      <xdr:row>47</xdr:row>
      <xdr:rowOff>88901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E4CAC1-D64D-8F4B-B541-615F03CBB9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115658</xdr:colOff>
      <xdr:row>54</xdr:row>
      <xdr:rowOff>159204</xdr:rowOff>
    </xdr:from>
    <xdr:to>
      <xdr:col>31</xdr:col>
      <xdr:colOff>102051</xdr:colOff>
      <xdr:row>68</xdr:row>
      <xdr:rowOff>44904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43D92E-D1C0-45F1-A731-F6C0ED5F92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106136</xdr:colOff>
      <xdr:row>47</xdr:row>
      <xdr:rowOff>109764</xdr:rowOff>
    </xdr:from>
    <xdr:to>
      <xdr:col>33</xdr:col>
      <xdr:colOff>507546</xdr:colOff>
      <xdr:row>68</xdr:row>
      <xdr:rowOff>69850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B715BF1-6B43-4B10-8530-939F366444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90487</xdr:colOff>
      <xdr:row>22</xdr:row>
      <xdr:rowOff>142876</xdr:rowOff>
    </xdr:from>
    <xdr:to>
      <xdr:col>31</xdr:col>
      <xdr:colOff>990600</xdr:colOff>
      <xdr:row>39</xdr:row>
      <xdr:rowOff>157163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A521D92-3A05-4CAA-AC40-3041786398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39</xdr:col>
      <xdr:colOff>1122362</xdr:colOff>
      <xdr:row>2</xdr:row>
      <xdr:rowOff>106362</xdr:rowOff>
    </xdr:from>
    <xdr:to>
      <xdr:col>45</xdr:col>
      <xdr:colOff>101600</xdr:colOff>
      <xdr:row>16</xdr:row>
      <xdr:rowOff>46037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5050DD5-9D4C-4E43-BDDD-5DE519B4B6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39</xdr:col>
      <xdr:colOff>704850</xdr:colOff>
      <xdr:row>61</xdr:row>
      <xdr:rowOff>50800</xdr:rowOff>
    </xdr:from>
    <xdr:to>
      <xdr:col>44</xdr:col>
      <xdr:colOff>596900</xdr:colOff>
      <xdr:row>75</xdr:row>
      <xdr:rowOff>482600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7B8804F-BBCB-BF44-B7BE-E5CF347A04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704850</xdr:colOff>
      <xdr:row>84</xdr:row>
      <xdr:rowOff>184150</xdr:rowOff>
    </xdr:from>
    <xdr:to>
      <xdr:col>31</xdr:col>
      <xdr:colOff>1130300</xdr:colOff>
      <xdr:row>99</xdr:row>
      <xdr:rowOff>139700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38E87D4-4AF9-9E42-8261-5F452C7B1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133350</xdr:colOff>
      <xdr:row>75</xdr:row>
      <xdr:rowOff>628650</xdr:rowOff>
    </xdr:from>
    <xdr:to>
      <xdr:col>16</xdr:col>
      <xdr:colOff>584200</xdr:colOff>
      <xdr:row>90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EE28719-CC99-4D42-8A8A-E46D438E0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254000</xdr:colOff>
      <xdr:row>91</xdr:row>
      <xdr:rowOff>196850</xdr:rowOff>
    </xdr:from>
    <xdr:to>
      <xdr:col>17</xdr:col>
      <xdr:colOff>304800</xdr:colOff>
      <xdr:row>105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28C6118-83FD-AB4C-8CED-3BA1069D09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35</xdr:col>
      <xdr:colOff>69850</xdr:colOff>
      <xdr:row>1</xdr:row>
      <xdr:rowOff>177800</xdr:rowOff>
    </xdr:from>
    <xdr:to>
      <xdr:col>39</xdr:col>
      <xdr:colOff>393700</xdr:colOff>
      <xdr:row>15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429885-98B5-4743-9EA2-52AA8A0FA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35</xdr:col>
      <xdr:colOff>247650</xdr:colOff>
      <xdr:row>29</xdr:row>
      <xdr:rowOff>127000</xdr:rowOff>
    </xdr:from>
    <xdr:to>
      <xdr:col>38</xdr:col>
      <xdr:colOff>1250950</xdr:colOff>
      <xdr:row>43</xdr:row>
      <xdr:rowOff>25400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6D0B5B0-FBE5-E744-92FD-56781D08B8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34</xdr:col>
      <xdr:colOff>1047750</xdr:colOff>
      <xdr:row>61</xdr:row>
      <xdr:rowOff>127000</xdr:rowOff>
    </xdr:from>
    <xdr:to>
      <xdr:col>39</xdr:col>
      <xdr:colOff>127000</xdr:colOff>
      <xdr:row>75</xdr:row>
      <xdr:rowOff>177800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EA3FE74-FC1F-2842-9F48-51E6DC8C79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31</xdr:col>
      <xdr:colOff>831850</xdr:colOff>
      <xdr:row>15</xdr:row>
      <xdr:rowOff>165100</xdr:rowOff>
    </xdr:from>
    <xdr:to>
      <xdr:col>35</xdr:col>
      <xdr:colOff>1085850</xdr:colOff>
      <xdr:row>29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ACE10C1-8EE5-7446-8F88-2B6E7E4CC3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24</xdr:col>
      <xdr:colOff>755650</xdr:colOff>
      <xdr:row>35</xdr:row>
      <xdr:rowOff>165100</xdr:rowOff>
    </xdr:from>
    <xdr:to>
      <xdr:col>29</xdr:col>
      <xdr:colOff>755650</xdr:colOff>
      <xdr:row>49</xdr:row>
      <xdr:rowOff>63500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3135EFA-D694-9443-81B6-7A13CAC5AA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552450</xdr:colOff>
      <xdr:row>74</xdr:row>
      <xdr:rowOff>50800</xdr:rowOff>
    </xdr:from>
    <xdr:to>
      <xdr:col>29</xdr:col>
      <xdr:colOff>552450</xdr:colOff>
      <xdr:row>84</xdr:row>
      <xdr:rowOff>101600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EF39887-FD7E-BC43-9925-D427F4D8CA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25</xdr:col>
      <xdr:colOff>438150</xdr:colOff>
      <xdr:row>30</xdr:row>
      <xdr:rowOff>127000</xdr:rowOff>
    </xdr:from>
    <xdr:to>
      <xdr:col>30</xdr:col>
      <xdr:colOff>819150</xdr:colOff>
      <xdr:row>44</xdr:row>
      <xdr:rowOff>25400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4BF6102-4982-0A48-A15A-BED5632761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25</xdr:col>
      <xdr:colOff>457200</xdr:colOff>
      <xdr:row>41</xdr:row>
      <xdr:rowOff>76200</xdr:rowOff>
    </xdr:from>
    <xdr:to>
      <xdr:col>30</xdr:col>
      <xdr:colOff>838200</xdr:colOff>
      <xdr:row>55</xdr:row>
      <xdr:rowOff>88900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D74E5B9E-2449-8748-8345-D046AAFA82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25</xdr:col>
      <xdr:colOff>793750</xdr:colOff>
      <xdr:row>26</xdr:row>
      <xdr:rowOff>50800</xdr:rowOff>
    </xdr:from>
    <xdr:to>
      <xdr:col>30</xdr:col>
      <xdr:colOff>1174750</xdr:colOff>
      <xdr:row>39</xdr:row>
      <xdr:rowOff>152400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1BDFB10A-4D4A-3045-9F71-AB9EBAADEA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27</xdr:col>
      <xdr:colOff>514350</xdr:colOff>
      <xdr:row>2</xdr:row>
      <xdr:rowOff>101600</xdr:rowOff>
    </xdr:from>
    <xdr:to>
      <xdr:col>32</xdr:col>
      <xdr:colOff>209550</xdr:colOff>
      <xdr:row>16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9F183B85-4281-714C-A0C9-A01F02C8E1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26</xdr:col>
      <xdr:colOff>908050</xdr:colOff>
      <xdr:row>14</xdr:row>
      <xdr:rowOff>177800</xdr:rowOff>
    </xdr:from>
    <xdr:to>
      <xdr:col>31</xdr:col>
      <xdr:colOff>781050</xdr:colOff>
      <xdr:row>28</xdr:row>
      <xdr:rowOff>76200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6EB2A99C-428F-0945-87C0-934B8679AB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36</xdr:col>
      <xdr:colOff>241300</xdr:colOff>
      <xdr:row>15</xdr:row>
      <xdr:rowOff>38100</xdr:rowOff>
    </xdr:from>
    <xdr:to>
      <xdr:col>40</xdr:col>
      <xdr:colOff>12700</xdr:colOff>
      <xdr:row>28</xdr:row>
      <xdr:rowOff>139700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825722E9-4711-C448-9F26-334BD451E5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</xdr:col>
      <xdr:colOff>552450</xdr:colOff>
      <xdr:row>75</xdr:row>
      <xdr:rowOff>0</xdr:rowOff>
    </xdr:from>
    <xdr:to>
      <xdr:col>8</xdr:col>
      <xdr:colOff>514350</xdr:colOff>
      <xdr:row>85</xdr:row>
      <xdr:rowOff>50800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AC3E6EAE-44FF-D443-90BB-6B640EDB0D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8</xdr:col>
      <xdr:colOff>857250</xdr:colOff>
      <xdr:row>72</xdr:row>
      <xdr:rowOff>190500</xdr:rowOff>
    </xdr:from>
    <xdr:to>
      <xdr:col>14</xdr:col>
      <xdr:colOff>666750</xdr:colOff>
      <xdr:row>83</xdr:row>
      <xdr:rowOff>38100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FAC065FE-9650-4F4D-8D3E-CC065BC6EE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11</xdr:col>
      <xdr:colOff>215900</xdr:colOff>
      <xdr:row>75</xdr:row>
      <xdr:rowOff>622300</xdr:rowOff>
    </xdr:from>
    <xdr:to>
      <xdr:col>17</xdr:col>
      <xdr:colOff>355600</xdr:colOff>
      <xdr:row>88</xdr:row>
      <xdr:rowOff>63500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2206EF0B-B2BB-8844-94D3-0BE6B59E11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10</xdr:col>
      <xdr:colOff>146050</xdr:colOff>
      <xdr:row>72</xdr:row>
      <xdr:rowOff>101600</xdr:rowOff>
    </xdr:from>
    <xdr:to>
      <xdr:col>16</xdr:col>
      <xdr:colOff>285750</xdr:colOff>
      <xdr:row>82</xdr:row>
      <xdr:rowOff>152400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BC1DF043-5B0A-5F4E-B93D-E4F9159F96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33</xdr:col>
      <xdr:colOff>107950</xdr:colOff>
      <xdr:row>46</xdr:row>
      <xdr:rowOff>190500</xdr:rowOff>
    </xdr:from>
    <xdr:to>
      <xdr:col>36</xdr:col>
      <xdr:colOff>1200150</xdr:colOff>
      <xdr:row>60</xdr:row>
      <xdr:rowOff>88900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A1B2CD96-3048-8046-937A-7FAE2D90D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32</xdr:col>
      <xdr:colOff>31750</xdr:colOff>
      <xdr:row>1</xdr:row>
      <xdr:rowOff>114300</xdr:rowOff>
    </xdr:from>
    <xdr:to>
      <xdr:col>36</xdr:col>
      <xdr:colOff>285750</xdr:colOff>
      <xdr:row>15</xdr:row>
      <xdr:rowOff>12700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FD6FC83D-9EFD-8543-BB14-CD5538D1B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0.32992</cdr:x>
      <cdr:y>0.1851</cdr:y>
    </cdr:from>
    <cdr:to>
      <cdr:x>0.33148</cdr:x>
      <cdr:y>0.81779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3E4E976E-2BAC-4FD6-8626-B7EB25A15103}"/>
            </a:ext>
          </a:extLst>
        </cdr:cNvPr>
        <cdr:cNvCxnSpPr/>
      </cdr:nvCxnSpPr>
      <cdr:spPr>
        <a:xfrm xmlns:a="http://schemas.openxmlformats.org/drawingml/2006/main" flipV="1">
          <a:off x="2017939" y="696686"/>
          <a:ext cx="9525" cy="238125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tx1">
              <a:lumMod val="95000"/>
              <a:lumOff val="5000"/>
            </a:schemeClr>
          </a:solidFill>
          <a:prstDash val="dash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0.4436</cdr:x>
      <cdr:y>0.1851</cdr:y>
    </cdr:from>
    <cdr:to>
      <cdr:x>0.44516</cdr:x>
      <cdr:y>0.80766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D34D404C-A093-4570-86BC-B5D774E04E43}"/>
            </a:ext>
          </a:extLst>
        </cdr:cNvPr>
        <cdr:cNvCxnSpPr/>
      </cdr:nvCxnSpPr>
      <cdr:spPr>
        <a:xfrm xmlns:a="http://schemas.openxmlformats.org/drawingml/2006/main" flipV="1">
          <a:off x="2713264" y="696686"/>
          <a:ext cx="9525" cy="234315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95000"/>
              <a:lumOff val="5000"/>
            </a:schemeClr>
          </a:solidFill>
          <a:prstDash val="dash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0.49655</cdr:x>
      <cdr:y>0.19523</cdr:y>
    </cdr:from>
    <cdr:to>
      <cdr:x>0.49967</cdr:x>
      <cdr:y>0.80513</cdr:y>
    </cdr:to>
    <cdr:cxnSp macro="">
      <cdr:nvCxnSpPr>
        <cdr:cNvPr id="7" name="Straight Connector 6">
          <a:extLst xmlns:a="http://schemas.openxmlformats.org/drawingml/2006/main">
            <a:ext uri="{FF2B5EF4-FFF2-40B4-BE49-F238E27FC236}">
              <a16:creationId xmlns:a16="http://schemas.microsoft.com/office/drawing/2014/main" id="{79285C95-F4BB-46FC-8D31-676E960B07B2}"/>
            </a:ext>
          </a:extLst>
        </cdr:cNvPr>
        <cdr:cNvCxnSpPr/>
      </cdr:nvCxnSpPr>
      <cdr:spPr>
        <a:xfrm xmlns:a="http://schemas.openxmlformats.org/drawingml/2006/main" flipV="1">
          <a:off x="3037114" y="734786"/>
          <a:ext cx="19050" cy="2295525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95000"/>
              <a:lumOff val="5000"/>
            </a:schemeClr>
          </a:solidFill>
          <a:prstDash val="dash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0.66007</cdr:x>
      <cdr:y>0.19017</cdr:y>
    </cdr:from>
    <cdr:to>
      <cdr:x>0.66007</cdr:x>
      <cdr:y>0.80513</cdr:y>
    </cdr:to>
    <cdr:cxnSp macro="">
      <cdr:nvCxnSpPr>
        <cdr:cNvPr id="9" name="Straight Connector 8">
          <a:extLst xmlns:a="http://schemas.openxmlformats.org/drawingml/2006/main">
            <a:ext uri="{FF2B5EF4-FFF2-40B4-BE49-F238E27FC236}">
              <a16:creationId xmlns:a16="http://schemas.microsoft.com/office/drawing/2014/main" id="{9A47DB80-E59F-444C-995E-F95CE9145CC8}"/>
            </a:ext>
          </a:extLst>
        </cdr:cNvPr>
        <cdr:cNvCxnSpPr/>
      </cdr:nvCxnSpPr>
      <cdr:spPr>
        <a:xfrm xmlns:a="http://schemas.openxmlformats.org/drawingml/2006/main" flipV="1">
          <a:off x="4037239" y="715736"/>
          <a:ext cx="0" cy="2314575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95000"/>
              <a:lumOff val="5000"/>
            </a:schemeClr>
          </a:solidFill>
          <a:prstDash val="dash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0.7644</cdr:x>
      <cdr:y>0.18764</cdr:y>
    </cdr:from>
    <cdr:to>
      <cdr:x>0.77063</cdr:x>
      <cdr:y>0.8026</cdr:y>
    </cdr:to>
    <cdr:cxnSp macro="">
      <cdr:nvCxnSpPr>
        <cdr:cNvPr id="11" name="Straight Connector 10">
          <a:extLst xmlns:a="http://schemas.openxmlformats.org/drawingml/2006/main">
            <a:ext uri="{FF2B5EF4-FFF2-40B4-BE49-F238E27FC236}">
              <a16:creationId xmlns:a16="http://schemas.microsoft.com/office/drawing/2014/main" id="{8BFA0094-CE13-4DB6-B3F8-BF1DC2EDED84}"/>
            </a:ext>
          </a:extLst>
        </cdr:cNvPr>
        <cdr:cNvCxnSpPr/>
      </cdr:nvCxnSpPr>
      <cdr:spPr>
        <a:xfrm xmlns:a="http://schemas.openxmlformats.org/drawingml/2006/main" flipV="1">
          <a:off x="4675414" y="706211"/>
          <a:ext cx="38100" cy="2314575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95000"/>
              <a:lumOff val="5000"/>
            </a:schemeClr>
          </a:solidFill>
          <a:prstDash val="dash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0.11346</cdr:x>
      <cdr:y>0.1269</cdr:y>
    </cdr:from>
    <cdr:to>
      <cdr:x>0.33304</cdr:x>
      <cdr:y>0.20029</cdr:y>
    </cdr:to>
    <cdr:sp macro="" textlink="">
      <cdr:nvSpPr>
        <cdr:cNvPr id="12" name="Left Brace 11">
          <a:extLst xmlns:a="http://schemas.openxmlformats.org/drawingml/2006/main">
            <a:ext uri="{FF2B5EF4-FFF2-40B4-BE49-F238E27FC236}">
              <a16:creationId xmlns:a16="http://schemas.microsoft.com/office/drawing/2014/main" id="{0BA783C9-D3A6-4D8C-9C20-B54190FC16FF}"/>
            </a:ext>
          </a:extLst>
        </cdr:cNvPr>
        <cdr:cNvSpPr/>
      </cdr:nvSpPr>
      <cdr:spPr>
        <a:xfrm xmlns:a="http://schemas.openxmlformats.org/drawingml/2006/main" rot="5400000">
          <a:off x="1227363" y="-55789"/>
          <a:ext cx="276226" cy="1343026"/>
        </a:xfrm>
        <a:prstGeom xmlns:a="http://schemas.openxmlformats.org/drawingml/2006/main" prst="leftBrac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0.33222</cdr:x>
      <cdr:y>0.12184</cdr:y>
    </cdr:from>
    <cdr:to>
      <cdr:x>0.44516</cdr:x>
      <cdr:y>0.20077</cdr:y>
    </cdr:to>
    <cdr:sp macro="" textlink="">
      <cdr:nvSpPr>
        <cdr:cNvPr id="13" name="Left Brace 12">
          <a:extLst xmlns:a="http://schemas.openxmlformats.org/drawingml/2006/main">
            <a:ext uri="{FF2B5EF4-FFF2-40B4-BE49-F238E27FC236}">
              <a16:creationId xmlns:a16="http://schemas.microsoft.com/office/drawing/2014/main" id="{AC7CAE10-26E4-42FA-B264-E19B32927842}"/>
            </a:ext>
          </a:extLst>
        </cdr:cNvPr>
        <cdr:cNvSpPr/>
      </cdr:nvSpPr>
      <cdr:spPr>
        <a:xfrm xmlns:a="http://schemas.openxmlformats.org/drawingml/2006/main" rot="5400000">
          <a:off x="2228850" y="261711"/>
          <a:ext cx="297090" cy="690789"/>
        </a:xfrm>
        <a:prstGeom xmlns:a="http://schemas.openxmlformats.org/drawingml/2006/main" prst="leftBrac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0.50041</cdr:x>
      <cdr:y>0.12437</cdr:y>
    </cdr:from>
    <cdr:to>
      <cdr:x>0.66007</cdr:x>
      <cdr:y>0.20077</cdr:y>
    </cdr:to>
    <cdr:sp macro="" textlink="">
      <cdr:nvSpPr>
        <cdr:cNvPr id="14" name="Left Brace 13">
          <a:extLst xmlns:a="http://schemas.openxmlformats.org/drawingml/2006/main">
            <a:ext uri="{FF2B5EF4-FFF2-40B4-BE49-F238E27FC236}">
              <a16:creationId xmlns:a16="http://schemas.microsoft.com/office/drawing/2014/main" id="{AC7CAE10-26E4-42FA-B264-E19B32927842}"/>
            </a:ext>
          </a:extLst>
        </cdr:cNvPr>
        <cdr:cNvSpPr/>
      </cdr:nvSpPr>
      <cdr:spPr>
        <a:xfrm xmlns:a="http://schemas.openxmlformats.org/drawingml/2006/main" rot="5400000">
          <a:off x="3405186" y="123600"/>
          <a:ext cx="287566" cy="976539"/>
        </a:xfrm>
        <a:prstGeom xmlns:a="http://schemas.openxmlformats.org/drawingml/2006/main" prst="leftBrac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0.65925</cdr:x>
      <cdr:y>0.13196</cdr:y>
    </cdr:from>
    <cdr:to>
      <cdr:x>0.77063</cdr:x>
      <cdr:y>0.19318</cdr:y>
    </cdr:to>
    <cdr:sp macro="" textlink="">
      <cdr:nvSpPr>
        <cdr:cNvPr id="16" name="Left Brace 15">
          <a:extLst xmlns:a="http://schemas.openxmlformats.org/drawingml/2006/main">
            <a:ext uri="{FF2B5EF4-FFF2-40B4-BE49-F238E27FC236}">
              <a16:creationId xmlns:a16="http://schemas.microsoft.com/office/drawing/2014/main" id="{AC7CAE10-26E4-42FA-B264-E19B32927842}"/>
            </a:ext>
          </a:extLst>
        </cdr:cNvPr>
        <cdr:cNvSpPr/>
      </cdr:nvSpPr>
      <cdr:spPr>
        <a:xfrm xmlns:a="http://schemas.openxmlformats.org/drawingml/2006/main" rot="5400000">
          <a:off x="4257675" y="271236"/>
          <a:ext cx="230414" cy="681264"/>
        </a:xfrm>
        <a:prstGeom xmlns:a="http://schemas.openxmlformats.org/drawingml/2006/main" prst="leftBrac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0.77138</cdr:x>
      <cdr:y>0.12943</cdr:y>
    </cdr:from>
    <cdr:to>
      <cdr:x>0.87964</cdr:x>
      <cdr:y>0.19113</cdr:y>
    </cdr:to>
    <cdr:sp macro="" textlink="">
      <cdr:nvSpPr>
        <cdr:cNvPr id="17" name="Left Brace 16">
          <a:extLst xmlns:a="http://schemas.openxmlformats.org/drawingml/2006/main">
            <a:ext uri="{FF2B5EF4-FFF2-40B4-BE49-F238E27FC236}">
              <a16:creationId xmlns:a16="http://schemas.microsoft.com/office/drawing/2014/main" id="{4F77BFBA-DE80-4B00-9FCC-CF832E8E92A4}"/>
            </a:ext>
          </a:extLst>
        </cdr:cNvPr>
        <cdr:cNvSpPr/>
      </cdr:nvSpPr>
      <cdr:spPr>
        <a:xfrm xmlns:a="http://schemas.openxmlformats.org/drawingml/2006/main" rot="5400000">
          <a:off x="4933044" y="272145"/>
          <a:ext cx="232225" cy="662214"/>
        </a:xfrm>
        <a:prstGeom xmlns:a="http://schemas.openxmlformats.org/drawingml/2006/main" prst="leftBrac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0.4459</cdr:x>
      <cdr:y>0.1269</cdr:y>
    </cdr:from>
    <cdr:to>
      <cdr:x>0.49967</cdr:x>
      <cdr:y>0.19366</cdr:y>
    </cdr:to>
    <cdr:sp macro="" textlink="">
      <cdr:nvSpPr>
        <cdr:cNvPr id="19" name="Left Brace 18">
          <a:extLst xmlns:a="http://schemas.openxmlformats.org/drawingml/2006/main">
            <a:ext uri="{FF2B5EF4-FFF2-40B4-BE49-F238E27FC236}">
              <a16:creationId xmlns:a16="http://schemas.microsoft.com/office/drawing/2014/main" id="{4F77BFBA-DE80-4B00-9FCC-CF832E8E92A4}"/>
            </a:ext>
          </a:extLst>
        </cdr:cNvPr>
        <cdr:cNvSpPr/>
      </cdr:nvSpPr>
      <cdr:spPr>
        <a:xfrm xmlns:a="http://schemas.openxmlformats.org/drawingml/2006/main" rot="5400000">
          <a:off x="2766106" y="438830"/>
          <a:ext cx="251278" cy="328839"/>
        </a:xfrm>
        <a:prstGeom xmlns:a="http://schemas.openxmlformats.org/drawingml/2006/main" prst="leftBrac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0.16485</cdr:x>
      <cdr:y>0.05351</cdr:y>
    </cdr:from>
    <cdr:to>
      <cdr:x>0.37041</cdr:x>
      <cdr:y>0.10412</cdr:y>
    </cdr:to>
    <cdr:sp macro="" textlink="">
      <cdr:nvSpPr>
        <cdr:cNvPr id="20" name="TextBox 19">
          <a:extLst xmlns:a="http://schemas.openxmlformats.org/drawingml/2006/main">
            <a:ext uri="{FF2B5EF4-FFF2-40B4-BE49-F238E27FC236}">
              <a16:creationId xmlns:a16="http://schemas.microsoft.com/office/drawing/2014/main" id="{11EFAC7C-43C4-4C52-ABDB-D8927DC41C1C}"/>
            </a:ext>
          </a:extLst>
        </cdr:cNvPr>
        <cdr:cNvSpPr txBox="1"/>
      </cdr:nvSpPr>
      <cdr:spPr>
        <a:xfrm xmlns:a="http://schemas.openxmlformats.org/drawingml/2006/main">
          <a:off x="1008289" y="201386"/>
          <a:ext cx="1257300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ZA" sz="1000"/>
            <a:t>HRT:</a:t>
          </a:r>
          <a:r>
            <a:rPr lang="en-ZA" sz="1000" baseline="0"/>
            <a:t> 35 hrs</a:t>
          </a:r>
          <a:endParaRPr lang="en-ZA" sz="1000"/>
        </a:p>
      </cdr:txBody>
    </cdr:sp>
  </cdr:relSizeAnchor>
  <cdr:relSizeAnchor xmlns:cdr="http://schemas.openxmlformats.org/drawingml/2006/chartDrawing">
    <cdr:from>
      <cdr:x>0.32214</cdr:x>
      <cdr:y>0.05351</cdr:y>
    </cdr:from>
    <cdr:to>
      <cdr:x>0.46073</cdr:x>
      <cdr:y>0.10918</cdr:y>
    </cdr:to>
    <cdr:sp macro="" textlink="">
      <cdr:nvSpPr>
        <cdr:cNvPr id="21" name="TextBox 20">
          <a:extLst xmlns:a="http://schemas.openxmlformats.org/drawingml/2006/main">
            <a:ext uri="{FF2B5EF4-FFF2-40B4-BE49-F238E27FC236}">
              <a16:creationId xmlns:a16="http://schemas.microsoft.com/office/drawing/2014/main" id="{A0D1F845-F064-43E7-82C9-D54F5C7B9BAE}"/>
            </a:ext>
          </a:extLst>
        </cdr:cNvPr>
        <cdr:cNvSpPr txBox="1"/>
      </cdr:nvSpPr>
      <cdr:spPr>
        <a:xfrm xmlns:a="http://schemas.openxmlformats.org/drawingml/2006/main">
          <a:off x="1970314" y="201386"/>
          <a:ext cx="847725" cy="209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ZA" sz="1000"/>
            <a:t>HRT: 40 hrs</a:t>
          </a:r>
        </a:p>
      </cdr:txBody>
    </cdr:sp>
  </cdr:relSizeAnchor>
  <cdr:relSizeAnchor xmlns:cdr="http://schemas.openxmlformats.org/drawingml/2006/chartDrawing">
    <cdr:from>
      <cdr:x>0.42336</cdr:x>
      <cdr:y>0.01301</cdr:y>
    </cdr:from>
    <cdr:to>
      <cdr:x>0.56196</cdr:x>
      <cdr:y>0.08134</cdr:y>
    </cdr:to>
    <cdr:sp macro="" textlink="">
      <cdr:nvSpPr>
        <cdr:cNvPr id="22" name="TextBox 21">
          <a:extLst xmlns:a="http://schemas.openxmlformats.org/drawingml/2006/main">
            <a:ext uri="{FF2B5EF4-FFF2-40B4-BE49-F238E27FC236}">
              <a16:creationId xmlns:a16="http://schemas.microsoft.com/office/drawing/2014/main" id="{DBFC3ECE-CD45-4C02-B9A3-AC37326BF839}"/>
            </a:ext>
          </a:extLst>
        </cdr:cNvPr>
        <cdr:cNvSpPr txBox="1"/>
      </cdr:nvSpPr>
      <cdr:spPr>
        <a:xfrm xmlns:a="http://schemas.openxmlformats.org/drawingml/2006/main">
          <a:off x="2589439" y="48985"/>
          <a:ext cx="847725" cy="2571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ZA" sz="1000"/>
            <a:t>HRT: 30 hrs</a:t>
          </a:r>
        </a:p>
      </cdr:txBody>
    </cdr:sp>
  </cdr:relSizeAnchor>
  <cdr:relSizeAnchor xmlns:cdr="http://schemas.openxmlformats.org/drawingml/2006/chartDrawing">
    <cdr:from>
      <cdr:x>0.51368</cdr:x>
      <cdr:y>0.06363</cdr:y>
    </cdr:from>
    <cdr:to>
      <cdr:x>0.67253</cdr:x>
      <cdr:y>0.11424</cdr:y>
    </cdr:to>
    <cdr:sp macro="" textlink="">
      <cdr:nvSpPr>
        <cdr:cNvPr id="23" name="TextBox 22">
          <a:extLst xmlns:a="http://schemas.openxmlformats.org/drawingml/2006/main">
            <a:ext uri="{FF2B5EF4-FFF2-40B4-BE49-F238E27FC236}">
              <a16:creationId xmlns:a16="http://schemas.microsoft.com/office/drawing/2014/main" id="{409D8409-A6CE-4506-BC56-F45BF50DB0AA}"/>
            </a:ext>
          </a:extLst>
        </cdr:cNvPr>
        <cdr:cNvSpPr txBox="1"/>
      </cdr:nvSpPr>
      <cdr:spPr>
        <a:xfrm xmlns:a="http://schemas.openxmlformats.org/drawingml/2006/main">
          <a:off x="3141889" y="239486"/>
          <a:ext cx="971550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ZA" sz="1000"/>
            <a:t>HRT: 24 hrs</a:t>
          </a:r>
        </a:p>
      </cdr:txBody>
    </cdr:sp>
  </cdr:relSizeAnchor>
  <cdr:relSizeAnchor xmlns:cdr="http://schemas.openxmlformats.org/drawingml/2006/chartDrawing">
    <cdr:from>
      <cdr:x>0.64294</cdr:x>
      <cdr:y>0.0611</cdr:y>
    </cdr:from>
    <cdr:to>
      <cdr:x>0.77375</cdr:x>
      <cdr:y>0.12943</cdr:y>
    </cdr:to>
    <cdr:sp macro="" textlink="">
      <cdr:nvSpPr>
        <cdr:cNvPr id="24" name="TextBox 23">
          <a:extLst xmlns:a="http://schemas.openxmlformats.org/drawingml/2006/main">
            <a:ext uri="{FF2B5EF4-FFF2-40B4-BE49-F238E27FC236}">
              <a16:creationId xmlns:a16="http://schemas.microsoft.com/office/drawing/2014/main" id="{13827F41-DB8C-4B56-8532-AFA6BA201A3C}"/>
            </a:ext>
          </a:extLst>
        </cdr:cNvPr>
        <cdr:cNvSpPr txBox="1"/>
      </cdr:nvSpPr>
      <cdr:spPr>
        <a:xfrm xmlns:a="http://schemas.openxmlformats.org/drawingml/2006/main">
          <a:off x="3932465" y="229962"/>
          <a:ext cx="800100" cy="2571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ZA" sz="1000"/>
            <a:t>HRT: 20 hrs</a:t>
          </a:r>
        </a:p>
      </cdr:txBody>
    </cdr:sp>
  </cdr:relSizeAnchor>
  <cdr:relSizeAnchor xmlns:cdr="http://schemas.openxmlformats.org/drawingml/2006/chartDrawing">
    <cdr:from>
      <cdr:x>0.77375</cdr:x>
      <cdr:y>0.0611</cdr:y>
    </cdr:from>
    <cdr:to>
      <cdr:x>0.90923</cdr:x>
      <cdr:y>0.11931</cdr:y>
    </cdr:to>
    <cdr:sp macro="" textlink="">
      <cdr:nvSpPr>
        <cdr:cNvPr id="25" name="TextBox 24">
          <a:extLst xmlns:a="http://schemas.openxmlformats.org/drawingml/2006/main">
            <a:ext uri="{FF2B5EF4-FFF2-40B4-BE49-F238E27FC236}">
              <a16:creationId xmlns:a16="http://schemas.microsoft.com/office/drawing/2014/main" id="{B9BC7F97-49FE-47A2-BFA1-790F8304BE90}"/>
            </a:ext>
          </a:extLst>
        </cdr:cNvPr>
        <cdr:cNvSpPr txBox="1"/>
      </cdr:nvSpPr>
      <cdr:spPr>
        <a:xfrm xmlns:a="http://schemas.openxmlformats.org/drawingml/2006/main">
          <a:off x="4732563" y="229960"/>
          <a:ext cx="828675" cy="219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ZA" sz="1000"/>
            <a:t>HRT: 15 hrs</a:t>
          </a:r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0.29555</cdr:x>
      <cdr:y>0.12552</cdr:y>
    </cdr:from>
    <cdr:to>
      <cdr:x>0.29555</cdr:x>
      <cdr:y>0.76151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2D8611CD-F9CA-49C1-81C8-1CBFAAE9F7EC}"/>
            </a:ext>
          </a:extLst>
        </cdr:cNvPr>
        <cdr:cNvCxnSpPr/>
      </cdr:nvCxnSpPr>
      <cdr:spPr>
        <a:xfrm xmlns:a="http://schemas.openxmlformats.org/drawingml/2006/main" flipV="1">
          <a:off x="1614488" y="428624"/>
          <a:ext cx="0" cy="217170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95000"/>
              <a:lumOff val="5000"/>
            </a:schemeClr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0.4612</cdr:x>
      <cdr:y>0.12273</cdr:y>
    </cdr:from>
    <cdr:to>
      <cdr:x>0.46469</cdr:x>
      <cdr:y>0.75872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7C834798-DE2F-495A-BF81-93752731B85D}"/>
            </a:ext>
          </a:extLst>
        </cdr:cNvPr>
        <cdr:cNvCxnSpPr/>
      </cdr:nvCxnSpPr>
      <cdr:spPr>
        <a:xfrm xmlns:a="http://schemas.openxmlformats.org/drawingml/2006/main" flipV="1">
          <a:off x="2519363" y="419099"/>
          <a:ext cx="19050" cy="217170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95000"/>
              <a:lumOff val="5000"/>
            </a:schemeClr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0.7245</cdr:x>
      <cdr:y>0.12273</cdr:y>
    </cdr:from>
    <cdr:to>
      <cdr:x>0.72624</cdr:x>
      <cdr:y>0.76151</cdr:y>
    </cdr:to>
    <cdr:cxnSp macro="">
      <cdr:nvCxnSpPr>
        <cdr:cNvPr id="8" name="Straight Connector 7">
          <a:extLst xmlns:a="http://schemas.openxmlformats.org/drawingml/2006/main">
            <a:ext uri="{FF2B5EF4-FFF2-40B4-BE49-F238E27FC236}">
              <a16:creationId xmlns:a16="http://schemas.microsoft.com/office/drawing/2014/main" id="{60C26E4A-650E-46AD-AA56-1D949C60FE6C}"/>
            </a:ext>
          </a:extLst>
        </cdr:cNvPr>
        <cdr:cNvCxnSpPr/>
      </cdr:nvCxnSpPr>
      <cdr:spPr>
        <a:xfrm xmlns:a="http://schemas.openxmlformats.org/drawingml/2006/main" flipV="1">
          <a:off x="3957638" y="419099"/>
          <a:ext cx="9525" cy="2181225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95000"/>
              <a:lumOff val="5000"/>
            </a:schemeClr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0.12903</cdr:x>
      <cdr:y>0.05858</cdr:y>
    </cdr:from>
    <cdr:to>
      <cdr:x>0.29381</cdr:x>
      <cdr:y>0.12971</cdr:y>
    </cdr:to>
    <cdr:sp macro="" textlink="">
      <cdr:nvSpPr>
        <cdr:cNvPr id="9" name="Left Brace 8">
          <a:extLst xmlns:a="http://schemas.openxmlformats.org/drawingml/2006/main">
            <a:ext uri="{FF2B5EF4-FFF2-40B4-BE49-F238E27FC236}">
              <a16:creationId xmlns:a16="http://schemas.microsoft.com/office/drawing/2014/main" id="{6863DF89-62FD-4B5E-88E5-9F8CF73408EA}"/>
            </a:ext>
          </a:extLst>
        </cdr:cNvPr>
        <cdr:cNvSpPr/>
      </cdr:nvSpPr>
      <cdr:spPr>
        <a:xfrm xmlns:a="http://schemas.openxmlformats.org/drawingml/2006/main" rot="5400000">
          <a:off x="1033459" y="-128588"/>
          <a:ext cx="242889" cy="900113"/>
        </a:xfrm>
        <a:prstGeom xmlns:a="http://schemas.openxmlformats.org/drawingml/2006/main" prst="leftBrac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0.29526</cdr:x>
      <cdr:y>0.06416</cdr:y>
    </cdr:from>
    <cdr:to>
      <cdr:x>0.46469</cdr:x>
      <cdr:y>0.13064</cdr:y>
    </cdr:to>
    <cdr:sp macro="" textlink="">
      <cdr:nvSpPr>
        <cdr:cNvPr id="10" name="Left Brace 9">
          <a:extLst xmlns:a="http://schemas.openxmlformats.org/drawingml/2006/main">
            <a:ext uri="{FF2B5EF4-FFF2-40B4-BE49-F238E27FC236}">
              <a16:creationId xmlns:a16="http://schemas.microsoft.com/office/drawing/2014/main" id="{6E0530AE-EB58-4533-8C80-F29224E114A9}"/>
            </a:ext>
          </a:extLst>
        </cdr:cNvPr>
        <cdr:cNvSpPr/>
      </cdr:nvSpPr>
      <cdr:spPr>
        <a:xfrm xmlns:a="http://schemas.openxmlformats.org/drawingml/2006/main" rot="5400000">
          <a:off x="1962150" y="-130174"/>
          <a:ext cx="227012" cy="925513"/>
        </a:xfrm>
        <a:prstGeom xmlns:a="http://schemas.openxmlformats.org/drawingml/2006/main" prst="leftBrac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0.4644</cdr:x>
      <cdr:y>0.06973</cdr:y>
    </cdr:from>
    <cdr:to>
      <cdr:x>0.72624</cdr:x>
      <cdr:y>0.12506</cdr:y>
    </cdr:to>
    <cdr:sp macro="" textlink="">
      <cdr:nvSpPr>
        <cdr:cNvPr id="11" name="Left Brace 10">
          <a:extLst xmlns:a="http://schemas.openxmlformats.org/drawingml/2006/main">
            <a:ext uri="{FF2B5EF4-FFF2-40B4-BE49-F238E27FC236}">
              <a16:creationId xmlns:a16="http://schemas.microsoft.com/office/drawing/2014/main" id="{6E0530AE-EB58-4533-8C80-F29224E114A9}"/>
            </a:ext>
          </a:extLst>
        </cdr:cNvPr>
        <cdr:cNvSpPr/>
      </cdr:nvSpPr>
      <cdr:spPr>
        <a:xfrm xmlns:a="http://schemas.openxmlformats.org/drawingml/2006/main" rot="5400000">
          <a:off x="3157535" y="-382587"/>
          <a:ext cx="188915" cy="1430338"/>
        </a:xfrm>
        <a:prstGeom xmlns:a="http://schemas.openxmlformats.org/drawingml/2006/main" prst="leftBrac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0.7277</cdr:x>
      <cdr:y>0.06137</cdr:y>
    </cdr:from>
    <cdr:to>
      <cdr:x>0.88666</cdr:x>
      <cdr:y>0.12506</cdr:y>
    </cdr:to>
    <cdr:sp macro="" textlink="">
      <cdr:nvSpPr>
        <cdr:cNvPr id="14" name="Left Brace 13">
          <a:extLst xmlns:a="http://schemas.openxmlformats.org/drawingml/2006/main">
            <a:ext uri="{FF2B5EF4-FFF2-40B4-BE49-F238E27FC236}">
              <a16:creationId xmlns:a16="http://schemas.microsoft.com/office/drawing/2014/main" id="{6E0530AE-EB58-4533-8C80-F29224E114A9}"/>
            </a:ext>
          </a:extLst>
        </cdr:cNvPr>
        <cdr:cNvSpPr/>
      </cdr:nvSpPr>
      <cdr:spPr>
        <a:xfrm xmlns:a="http://schemas.openxmlformats.org/drawingml/2006/main" rot="5400000">
          <a:off x="4300535" y="-115887"/>
          <a:ext cx="217490" cy="868363"/>
        </a:xfrm>
        <a:prstGeom xmlns:a="http://schemas.openxmlformats.org/drawingml/2006/main" prst="leftBrac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0.11072</cdr:x>
      <cdr:y>0.00837</cdr:y>
    </cdr:from>
    <cdr:to>
      <cdr:x>0.29904</cdr:x>
      <cdr:y>0.08089</cdr:y>
    </cdr:to>
    <cdr:sp macro="" textlink="">
      <cdr:nvSpPr>
        <cdr:cNvPr id="15" name="TextBox 14">
          <a:extLst xmlns:a="http://schemas.openxmlformats.org/drawingml/2006/main">
            <a:ext uri="{FF2B5EF4-FFF2-40B4-BE49-F238E27FC236}">
              <a16:creationId xmlns:a16="http://schemas.microsoft.com/office/drawing/2014/main" id="{86CD58C4-98D0-48A1-8CA6-3D6F7B75D194}"/>
            </a:ext>
          </a:extLst>
        </cdr:cNvPr>
        <cdr:cNvSpPr txBox="1"/>
      </cdr:nvSpPr>
      <cdr:spPr>
        <a:xfrm xmlns:a="http://schemas.openxmlformats.org/drawingml/2006/main">
          <a:off x="604838" y="28575"/>
          <a:ext cx="102870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ZA" sz="1000"/>
            <a:t>HRT: 62,5 hrs</a:t>
          </a:r>
        </a:p>
      </cdr:txBody>
    </cdr:sp>
  </cdr:relSizeAnchor>
  <cdr:relSizeAnchor xmlns:cdr="http://schemas.openxmlformats.org/drawingml/2006/chartDrawing">
    <cdr:from>
      <cdr:x>0.29555</cdr:x>
      <cdr:y>0.01116</cdr:y>
    </cdr:from>
    <cdr:to>
      <cdr:x>0.46469</cdr:x>
      <cdr:y>0.07531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FFC792DF-3AF6-44A0-B91A-1B15311A08A5}"/>
            </a:ext>
          </a:extLst>
        </cdr:cNvPr>
        <cdr:cNvSpPr txBox="1"/>
      </cdr:nvSpPr>
      <cdr:spPr>
        <a:xfrm xmlns:a="http://schemas.openxmlformats.org/drawingml/2006/main">
          <a:off x="1614488" y="38099"/>
          <a:ext cx="923925" cy="219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ZA" sz="1000"/>
            <a:t>HRT: 57,5 hrs</a:t>
          </a:r>
        </a:p>
      </cdr:txBody>
    </cdr:sp>
  </cdr:relSizeAnchor>
  <cdr:relSizeAnchor xmlns:cdr="http://schemas.openxmlformats.org/drawingml/2006/chartDrawing">
    <cdr:from>
      <cdr:x>0.51177</cdr:x>
      <cdr:y>0.01116</cdr:y>
    </cdr:from>
    <cdr:to>
      <cdr:x>0.70532</cdr:x>
      <cdr:y>0.08089</cdr:y>
    </cdr:to>
    <cdr:sp macro="" textlink="">
      <cdr:nvSpPr>
        <cdr:cNvPr id="17" name="TextBox 16">
          <a:extLst xmlns:a="http://schemas.openxmlformats.org/drawingml/2006/main">
            <a:ext uri="{FF2B5EF4-FFF2-40B4-BE49-F238E27FC236}">
              <a16:creationId xmlns:a16="http://schemas.microsoft.com/office/drawing/2014/main" id="{6F8A2A36-CC86-4F79-A555-C243B6015152}"/>
            </a:ext>
          </a:extLst>
        </cdr:cNvPr>
        <cdr:cNvSpPr txBox="1"/>
      </cdr:nvSpPr>
      <cdr:spPr>
        <a:xfrm xmlns:a="http://schemas.openxmlformats.org/drawingml/2006/main">
          <a:off x="2795588" y="38099"/>
          <a:ext cx="1057275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ZA" sz="1000"/>
            <a:t>HRT: 49,8 hrs</a:t>
          </a:r>
        </a:p>
      </cdr:txBody>
    </cdr:sp>
  </cdr:relSizeAnchor>
  <cdr:relSizeAnchor xmlns:cdr="http://schemas.openxmlformats.org/drawingml/2006/chartDrawing">
    <cdr:from>
      <cdr:x>0.7367</cdr:x>
      <cdr:y>0.00837</cdr:y>
    </cdr:from>
    <cdr:to>
      <cdr:x>0.88666</cdr:x>
      <cdr:y>0.06973</cdr:y>
    </cdr:to>
    <cdr:sp macro="" textlink="">
      <cdr:nvSpPr>
        <cdr:cNvPr id="18" name="TextBox 17">
          <a:extLst xmlns:a="http://schemas.openxmlformats.org/drawingml/2006/main">
            <a:ext uri="{FF2B5EF4-FFF2-40B4-BE49-F238E27FC236}">
              <a16:creationId xmlns:a16="http://schemas.microsoft.com/office/drawing/2014/main" id="{E1FB3DF5-EFEE-4DF6-A1AF-7D64A8CC5C7C}"/>
            </a:ext>
          </a:extLst>
        </cdr:cNvPr>
        <cdr:cNvSpPr txBox="1"/>
      </cdr:nvSpPr>
      <cdr:spPr>
        <a:xfrm xmlns:a="http://schemas.openxmlformats.org/drawingml/2006/main">
          <a:off x="4024313" y="28574"/>
          <a:ext cx="819150" cy="209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ZA" sz="1000"/>
            <a:t>HRT: 36 hrs</a:t>
          </a:r>
        </a:p>
      </cdr:txBody>
    </cdr: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0.25104</cdr:x>
      <cdr:y>0.15104</cdr:y>
    </cdr:from>
    <cdr:to>
      <cdr:x>0.25313</cdr:x>
      <cdr:y>0.76563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26A79CA2-EFA3-478E-9741-EC1433078272}"/>
            </a:ext>
          </a:extLst>
        </cdr:cNvPr>
        <cdr:cNvCxnSpPr/>
      </cdr:nvCxnSpPr>
      <cdr:spPr>
        <a:xfrm xmlns:a="http://schemas.openxmlformats.org/drawingml/2006/main" flipV="1">
          <a:off x="1147763" y="414338"/>
          <a:ext cx="9525" cy="1685925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95000"/>
              <a:lumOff val="5000"/>
            </a:schemeClr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0.40313</cdr:x>
      <cdr:y>0.14757</cdr:y>
    </cdr:from>
    <cdr:to>
      <cdr:x>0.40521</cdr:x>
      <cdr:y>0.76215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82C9112B-B66C-4E6F-B37F-14194D75355C}"/>
            </a:ext>
          </a:extLst>
        </cdr:cNvPr>
        <cdr:cNvCxnSpPr/>
      </cdr:nvCxnSpPr>
      <cdr:spPr>
        <a:xfrm xmlns:a="http://schemas.openxmlformats.org/drawingml/2006/main" flipV="1">
          <a:off x="1843088" y="404813"/>
          <a:ext cx="9525" cy="1685925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95000"/>
              <a:lumOff val="5000"/>
            </a:schemeClr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0.55313</cdr:x>
      <cdr:y>0.15451</cdr:y>
    </cdr:from>
    <cdr:to>
      <cdr:x>0.55729</cdr:x>
      <cdr:y>0.76215</cdr:y>
    </cdr:to>
    <cdr:cxnSp macro="">
      <cdr:nvCxnSpPr>
        <cdr:cNvPr id="7" name="Straight Connector 6">
          <a:extLst xmlns:a="http://schemas.openxmlformats.org/drawingml/2006/main">
            <a:ext uri="{FF2B5EF4-FFF2-40B4-BE49-F238E27FC236}">
              <a16:creationId xmlns:a16="http://schemas.microsoft.com/office/drawing/2014/main" id="{D873ACE7-85A7-4769-8818-5F58B19919DA}"/>
            </a:ext>
          </a:extLst>
        </cdr:cNvPr>
        <cdr:cNvCxnSpPr/>
      </cdr:nvCxnSpPr>
      <cdr:spPr>
        <a:xfrm xmlns:a="http://schemas.openxmlformats.org/drawingml/2006/main" flipV="1">
          <a:off x="2528888" y="423863"/>
          <a:ext cx="19050" cy="1666875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95000"/>
              <a:lumOff val="5000"/>
            </a:schemeClr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0.70313</cdr:x>
      <cdr:y>0.16493</cdr:y>
    </cdr:from>
    <cdr:to>
      <cdr:x>0.70729</cdr:x>
      <cdr:y>0.75868</cdr:y>
    </cdr:to>
    <cdr:cxnSp macro="">
      <cdr:nvCxnSpPr>
        <cdr:cNvPr id="9" name="Straight Connector 8">
          <a:extLst xmlns:a="http://schemas.openxmlformats.org/drawingml/2006/main">
            <a:ext uri="{FF2B5EF4-FFF2-40B4-BE49-F238E27FC236}">
              <a16:creationId xmlns:a16="http://schemas.microsoft.com/office/drawing/2014/main" id="{A9741BF2-3C54-4373-928F-8B8281A3558F}"/>
            </a:ext>
          </a:extLst>
        </cdr:cNvPr>
        <cdr:cNvCxnSpPr/>
      </cdr:nvCxnSpPr>
      <cdr:spPr>
        <a:xfrm xmlns:a="http://schemas.openxmlformats.org/drawingml/2006/main" flipV="1">
          <a:off x="3214688" y="452438"/>
          <a:ext cx="19050" cy="1628775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95000"/>
              <a:lumOff val="5000"/>
            </a:schemeClr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0.13646</cdr:x>
      <cdr:y>0.09896</cdr:y>
    </cdr:from>
    <cdr:to>
      <cdr:x>0.25521</cdr:x>
      <cdr:y>0.15104</cdr:y>
    </cdr:to>
    <cdr:sp macro="" textlink="">
      <cdr:nvSpPr>
        <cdr:cNvPr id="10" name="Left Brace 9">
          <a:extLst xmlns:a="http://schemas.openxmlformats.org/drawingml/2006/main">
            <a:ext uri="{FF2B5EF4-FFF2-40B4-BE49-F238E27FC236}">
              <a16:creationId xmlns:a16="http://schemas.microsoft.com/office/drawing/2014/main" id="{FC7A33DB-88B8-4729-A8CD-DBF01B630824}"/>
            </a:ext>
          </a:extLst>
        </cdr:cNvPr>
        <cdr:cNvSpPr/>
      </cdr:nvSpPr>
      <cdr:spPr>
        <a:xfrm xmlns:a="http://schemas.openxmlformats.org/drawingml/2006/main" rot="5400000">
          <a:off x="823912" y="71438"/>
          <a:ext cx="142875" cy="542925"/>
        </a:xfrm>
        <a:prstGeom xmlns:a="http://schemas.openxmlformats.org/drawingml/2006/main" prst="leftBrac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0.25486</cdr:x>
      <cdr:y>0.09896</cdr:y>
    </cdr:from>
    <cdr:to>
      <cdr:x>0.40521</cdr:x>
      <cdr:y>0.15394</cdr:y>
    </cdr:to>
    <cdr:sp macro="" textlink="">
      <cdr:nvSpPr>
        <cdr:cNvPr id="11" name="Left Brace 10">
          <a:extLst xmlns:a="http://schemas.openxmlformats.org/drawingml/2006/main">
            <a:ext uri="{FF2B5EF4-FFF2-40B4-BE49-F238E27FC236}">
              <a16:creationId xmlns:a16="http://schemas.microsoft.com/office/drawing/2014/main" id="{652AC27D-9525-417A-B8D4-CA4013EFE300}"/>
            </a:ext>
          </a:extLst>
        </cdr:cNvPr>
        <cdr:cNvSpPr/>
      </cdr:nvSpPr>
      <cdr:spPr>
        <a:xfrm xmlns:a="http://schemas.openxmlformats.org/drawingml/2006/main" rot="5400000">
          <a:off x="1433512" y="3176"/>
          <a:ext cx="150812" cy="687388"/>
        </a:xfrm>
        <a:prstGeom xmlns:a="http://schemas.openxmlformats.org/drawingml/2006/main" prst="leftBrac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0.40486</cdr:x>
      <cdr:y>0.09896</cdr:y>
    </cdr:from>
    <cdr:to>
      <cdr:x>0.55729</cdr:x>
      <cdr:y>0.15394</cdr:y>
    </cdr:to>
    <cdr:sp macro="" textlink="">
      <cdr:nvSpPr>
        <cdr:cNvPr id="13" name="Left Brace 12">
          <a:extLst xmlns:a="http://schemas.openxmlformats.org/drawingml/2006/main">
            <a:ext uri="{FF2B5EF4-FFF2-40B4-BE49-F238E27FC236}">
              <a16:creationId xmlns:a16="http://schemas.microsoft.com/office/drawing/2014/main" id="{652AC27D-9525-417A-B8D4-CA4013EFE300}"/>
            </a:ext>
          </a:extLst>
        </cdr:cNvPr>
        <cdr:cNvSpPr/>
      </cdr:nvSpPr>
      <cdr:spPr>
        <a:xfrm xmlns:a="http://schemas.openxmlformats.org/drawingml/2006/main" rot="5400000">
          <a:off x="2124075" y="-1586"/>
          <a:ext cx="150812" cy="696913"/>
        </a:xfrm>
        <a:prstGeom xmlns:a="http://schemas.openxmlformats.org/drawingml/2006/main" prst="leftBrac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0.55903</cdr:x>
      <cdr:y>0.09896</cdr:y>
    </cdr:from>
    <cdr:to>
      <cdr:x>0.70729</cdr:x>
      <cdr:y>0.14988</cdr:y>
    </cdr:to>
    <cdr:sp macro="" textlink="">
      <cdr:nvSpPr>
        <cdr:cNvPr id="16" name="Left Brace 15">
          <a:extLst xmlns:a="http://schemas.openxmlformats.org/drawingml/2006/main">
            <a:ext uri="{FF2B5EF4-FFF2-40B4-BE49-F238E27FC236}">
              <a16:creationId xmlns:a16="http://schemas.microsoft.com/office/drawing/2014/main" id="{64821981-5D53-4791-ABF4-E4070A2B7C11}"/>
            </a:ext>
          </a:extLst>
        </cdr:cNvPr>
        <cdr:cNvSpPr/>
      </cdr:nvSpPr>
      <cdr:spPr>
        <a:xfrm xmlns:a="http://schemas.openxmlformats.org/drawingml/2006/main" rot="5400000">
          <a:off x="2824960" y="2384"/>
          <a:ext cx="139696" cy="677860"/>
        </a:xfrm>
        <a:prstGeom xmlns:a="http://schemas.openxmlformats.org/drawingml/2006/main" prst="leftBrac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0.70903</cdr:x>
      <cdr:y>0.09202</cdr:y>
    </cdr:from>
    <cdr:to>
      <cdr:x>0.86146</cdr:x>
      <cdr:y>0.14988</cdr:y>
    </cdr:to>
    <cdr:sp macro="" textlink="">
      <cdr:nvSpPr>
        <cdr:cNvPr id="17" name="Left Brace 16">
          <a:extLst xmlns:a="http://schemas.openxmlformats.org/drawingml/2006/main">
            <a:ext uri="{FF2B5EF4-FFF2-40B4-BE49-F238E27FC236}">
              <a16:creationId xmlns:a16="http://schemas.microsoft.com/office/drawing/2014/main" id="{64821981-5D53-4791-ABF4-E4070A2B7C11}"/>
            </a:ext>
          </a:extLst>
        </cdr:cNvPr>
        <cdr:cNvSpPr/>
      </cdr:nvSpPr>
      <cdr:spPr>
        <a:xfrm xmlns:a="http://schemas.openxmlformats.org/drawingml/2006/main" rot="5400000">
          <a:off x="3510760" y="-16666"/>
          <a:ext cx="158746" cy="696910"/>
        </a:xfrm>
        <a:prstGeom xmlns:a="http://schemas.openxmlformats.org/drawingml/2006/main" prst="leftBrac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0.11354</cdr:x>
      <cdr:y>0.00174</cdr:y>
    </cdr:from>
    <cdr:to>
      <cdr:x>0.29896</cdr:x>
      <cdr:y>0.09201</cdr:y>
    </cdr:to>
    <cdr:sp macro="" textlink="">
      <cdr:nvSpPr>
        <cdr:cNvPr id="18" name="TextBox 17">
          <a:extLst xmlns:a="http://schemas.openxmlformats.org/drawingml/2006/main">
            <a:ext uri="{FF2B5EF4-FFF2-40B4-BE49-F238E27FC236}">
              <a16:creationId xmlns:a16="http://schemas.microsoft.com/office/drawing/2014/main" id="{85D1A8C4-7EE5-44BA-8CE8-AB452C192B08}"/>
            </a:ext>
          </a:extLst>
        </cdr:cNvPr>
        <cdr:cNvSpPr txBox="1"/>
      </cdr:nvSpPr>
      <cdr:spPr>
        <a:xfrm xmlns:a="http://schemas.openxmlformats.org/drawingml/2006/main">
          <a:off x="519113" y="4763"/>
          <a:ext cx="847725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ZA" sz="1000"/>
            <a:t>HRT:</a:t>
          </a:r>
          <a:r>
            <a:rPr lang="en-ZA" sz="1000" baseline="0"/>
            <a:t> 55 hrs</a:t>
          </a:r>
          <a:endParaRPr lang="en-ZA" sz="1000"/>
        </a:p>
      </cdr:txBody>
    </cdr:sp>
  </cdr:relSizeAnchor>
  <cdr:relSizeAnchor xmlns:cdr="http://schemas.openxmlformats.org/drawingml/2006/chartDrawing">
    <cdr:from>
      <cdr:x>0.26563</cdr:x>
      <cdr:y>0.00174</cdr:y>
    </cdr:from>
    <cdr:to>
      <cdr:x>0.43854</cdr:x>
      <cdr:y>0.09896</cdr:y>
    </cdr:to>
    <cdr:sp macro="" textlink="">
      <cdr:nvSpPr>
        <cdr:cNvPr id="19" name="TextBox 18">
          <a:extLst xmlns:a="http://schemas.openxmlformats.org/drawingml/2006/main">
            <a:ext uri="{FF2B5EF4-FFF2-40B4-BE49-F238E27FC236}">
              <a16:creationId xmlns:a16="http://schemas.microsoft.com/office/drawing/2014/main" id="{EF00295C-76A0-49FD-8DB9-3D02B8DE8E39}"/>
            </a:ext>
          </a:extLst>
        </cdr:cNvPr>
        <cdr:cNvSpPr txBox="1"/>
      </cdr:nvSpPr>
      <cdr:spPr>
        <a:xfrm xmlns:a="http://schemas.openxmlformats.org/drawingml/2006/main">
          <a:off x="1214438" y="4763"/>
          <a:ext cx="790575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ZA" sz="1000"/>
            <a:t>HRT: 96 hrs</a:t>
          </a:r>
        </a:p>
      </cdr:txBody>
    </cdr:sp>
  </cdr:relSizeAnchor>
  <cdr:relSizeAnchor xmlns:cdr="http://schemas.openxmlformats.org/drawingml/2006/chartDrawing">
    <cdr:from>
      <cdr:x>0.41562</cdr:x>
      <cdr:y>0.02951</cdr:y>
    </cdr:from>
    <cdr:to>
      <cdr:x>0.59271</cdr:x>
      <cdr:y>0.09896</cdr:y>
    </cdr:to>
    <cdr:sp macro="" textlink="">
      <cdr:nvSpPr>
        <cdr:cNvPr id="20" name="TextBox 19">
          <a:extLst xmlns:a="http://schemas.openxmlformats.org/drawingml/2006/main">
            <a:ext uri="{FF2B5EF4-FFF2-40B4-BE49-F238E27FC236}">
              <a16:creationId xmlns:a16="http://schemas.microsoft.com/office/drawing/2014/main" id="{8EE79176-A6C6-4B20-849B-E274D86FE922}"/>
            </a:ext>
          </a:extLst>
        </cdr:cNvPr>
        <cdr:cNvSpPr txBox="1"/>
      </cdr:nvSpPr>
      <cdr:spPr>
        <a:xfrm xmlns:a="http://schemas.openxmlformats.org/drawingml/2006/main">
          <a:off x="1900237" y="80963"/>
          <a:ext cx="809625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ZA" sz="1000"/>
            <a:t>HRT: 48</a:t>
          </a:r>
          <a:r>
            <a:rPr lang="en-ZA" sz="1000" baseline="0"/>
            <a:t> hrs</a:t>
          </a:r>
          <a:endParaRPr lang="en-ZA" sz="1000"/>
        </a:p>
      </cdr:txBody>
    </cdr:sp>
  </cdr:relSizeAnchor>
  <cdr:relSizeAnchor xmlns:cdr="http://schemas.openxmlformats.org/drawingml/2006/chartDrawing">
    <cdr:from>
      <cdr:x>0.56354</cdr:x>
      <cdr:y>0.00521</cdr:y>
    </cdr:from>
    <cdr:to>
      <cdr:x>0.73854</cdr:x>
      <cdr:y>0.09201</cdr:y>
    </cdr:to>
    <cdr:sp macro="" textlink="">
      <cdr:nvSpPr>
        <cdr:cNvPr id="21" name="TextBox 20">
          <a:extLst xmlns:a="http://schemas.openxmlformats.org/drawingml/2006/main">
            <a:ext uri="{FF2B5EF4-FFF2-40B4-BE49-F238E27FC236}">
              <a16:creationId xmlns:a16="http://schemas.microsoft.com/office/drawing/2014/main" id="{716F3C21-161C-466B-9982-AA5EF2FA6A43}"/>
            </a:ext>
          </a:extLst>
        </cdr:cNvPr>
        <cdr:cNvSpPr txBox="1"/>
      </cdr:nvSpPr>
      <cdr:spPr>
        <a:xfrm xmlns:a="http://schemas.openxmlformats.org/drawingml/2006/main">
          <a:off x="2576513" y="14288"/>
          <a:ext cx="800100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ZA" sz="1000"/>
            <a:t>HRT: 36 hrs</a:t>
          </a:r>
        </a:p>
      </cdr:txBody>
    </cdr:sp>
  </cdr:relSizeAnchor>
  <cdr:relSizeAnchor xmlns:cdr="http://schemas.openxmlformats.org/drawingml/2006/chartDrawing">
    <cdr:from>
      <cdr:x>0.71563</cdr:x>
      <cdr:y>0</cdr:y>
    </cdr:from>
    <cdr:to>
      <cdr:x>0.89063</cdr:x>
      <cdr:y>0.10764</cdr:y>
    </cdr:to>
    <cdr:sp macro="" textlink="">
      <cdr:nvSpPr>
        <cdr:cNvPr id="22" name="TextBox 21">
          <a:extLst xmlns:a="http://schemas.openxmlformats.org/drawingml/2006/main">
            <a:ext uri="{FF2B5EF4-FFF2-40B4-BE49-F238E27FC236}">
              <a16:creationId xmlns:a16="http://schemas.microsoft.com/office/drawing/2014/main" id="{E953AD83-9052-40B3-A97A-E5DC2674F538}"/>
            </a:ext>
          </a:extLst>
        </cdr:cNvPr>
        <cdr:cNvSpPr txBox="1"/>
      </cdr:nvSpPr>
      <cdr:spPr>
        <a:xfrm xmlns:a="http://schemas.openxmlformats.org/drawingml/2006/main">
          <a:off x="3271838" y="0"/>
          <a:ext cx="800100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ZA" sz="1000"/>
            <a:t>HRT: 24 hrs</a:t>
          </a: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133350</xdr:colOff>
      <xdr:row>75</xdr:row>
      <xdr:rowOff>628650</xdr:rowOff>
    </xdr:from>
    <xdr:to>
      <xdr:col>16</xdr:col>
      <xdr:colOff>584200</xdr:colOff>
      <xdr:row>90</xdr:row>
      <xdr:rowOff>101600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40FBAA6-30DF-C04E-B37E-D57B8789A8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254000</xdr:colOff>
      <xdr:row>91</xdr:row>
      <xdr:rowOff>196850</xdr:rowOff>
    </xdr:from>
    <xdr:to>
      <xdr:col>17</xdr:col>
      <xdr:colOff>304800</xdr:colOff>
      <xdr:row>105</xdr:row>
      <xdr:rowOff>95250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E7D2826-3460-4F4F-A461-C337A64425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247650</xdr:colOff>
      <xdr:row>11</xdr:row>
      <xdr:rowOff>127000</xdr:rowOff>
    </xdr:from>
    <xdr:to>
      <xdr:col>45</xdr:col>
      <xdr:colOff>317500</xdr:colOff>
      <xdr:row>25</xdr:row>
      <xdr:rowOff>139700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3C72507-E54C-C744-B78A-12CB1379F1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247650</xdr:colOff>
      <xdr:row>29</xdr:row>
      <xdr:rowOff>127000</xdr:rowOff>
    </xdr:from>
    <xdr:to>
      <xdr:col>38</xdr:col>
      <xdr:colOff>1250950</xdr:colOff>
      <xdr:row>43</xdr:row>
      <xdr:rowOff>25400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EE96FCB-E264-D84A-B461-963E2E102D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1047750</xdr:colOff>
      <xdr:row>61</xdr:row>
      <xdr:rowOff>127000</xdr:rowOff>
    </xdr:from>
    <xdr:to>
      <xdr:col>39</xdr:col>
      <xdr:colOff>127000</xdr:colOff>
      <xdr:row>75</xdr:row>
      <xdr:rowOff>177800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EA3258D-CBE3-164B-9212-C2EB419388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831850</xdr:colOff>
      <xdr:row>15</xdr:row>
      <xdr:rowOff>165100</xdr:rowOff>
    </xdr:from>
    <xdr:to>
      <xdr:col>35</xdr:col>
      <xdr:colOff>1085850</xdr:colOff>
      <xdr:row>29</xdr:row>
      <xdr:rowOff>63500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291BBEF-A418-3E49-9CAA-2D87B3560E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717550</xdr:colOff>
      <xdr:row>28</xdr:row>
      <xdr:rowOff>139700</xdr:rowOff>
    </xdr:from>
    <xdr:to>
      <xdr:col>29</xdr:col>
      <xdr:colOff>717550</xdr:colOff>
      <xdr:row>42</xdr:row>
      <xdr:rowOff>38100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AFADD22-3FF4-404A-90E7-7F63D307CA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488950</xdr:colOff>
      <xdr:row>72</xdr:row>
      <xdr:rowOff>114300</xdr:rowOff>
    </xdr:from>
    <xdr:to>
      <xdr:col>31</xdr:col>
      <xdr:colOff>501650</xdr:colOff>
      <xdr:row>82</xdr:row>
      <xdr:rowOff>165100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5419627-FCF4-1441-89C0-8E08A35E25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1022350</xdr:colOff>
      <xdr:row>43</xdr:row>
      <xdr:rowOff>50800</xdr:rowOff>
    </xdr:from>
    <xdr:to>
      <xdr:col>30</xdr:col>
      <xdr:colOff>184150</xdr:colOff>
      <xdr:row>56</xdr:row>
      <xdr:rowOff>152400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707340A-DF83-8945-8356-DA199A134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30</xdr:col>
      <xdr:colOff>292100</xdr:colOff>
      <xdr:row>42</xdr:row>
      <xdr:rowOff>177800</xdr:rowOff>
    </xdr:from>
    <xdr:to>
      <xdr:col>34</xdr:col>
      <xdr:colOff>660400</xdr:colOff>
      <xdr:row>56</xdr:row>
      <xdr:rowOff>190500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4A5E2F9-FB07-6B4D-9AB8-8FCCC6E109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29</xdr:col>
      <xdr:colOff>831850</xdr:colOff>
      <xdr:row>29</xdr:row>
      <xdr:rowOff>139700</xdr:rowOff>
    </xdr:from>
    <xdr:to>
      <xdr:col>34</xdr:col>
      <xdr:colOff>361950</xdr:colOff>
      <xdr:row>43</xdr:row>
      <xdr:rowOff>38100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48B48B5-CF22-1D44-9790-CE8538FB95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27</xdr:col>
      <xdr:colOff>476250</xdr:colOff>
      <xdr:row>0</xdr:row>
      <xdr:rowOff>0</xdr:rowOff>
    </xdr:from>
    <xdr:to>
      <xdr:col>32</xdr:col>
      <xdr:colOff>171450</xdr:colOff>
      <xdr:row>13</xdr:row>
      <xdr:rowOff>101600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80ED2ED0-BB2C-4941-9F51-15842D382E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26</xdr:col>
      <xdr:colOff>908050</xdr:colOff>
      <xdr:row>14</xdr:row>
      <xdr:rowOff>177800</xdr:rowOff>
    </xdr:from>
    <xdr:to>
      <xdr:col>31</xdr:col>
      <xdr:colOff>781050</xdr:colOff>
      <xdr:row>28</xdr:row>
      <xdr:rowOff>76200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B53F6661-6156-F347-8E56-C044198E75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36</xdr:col>
      <xdr:colOff>241300</xdr:colOff>
      <xdr:row>15</xdr:row>
      <xdr:rowOff>38100</xdr:rowOff>
    </xdr:from>
    <xdr:to>
      <xdr:col>40</xdr:col>
      <xdr:colOff>12700</xdr:colOff>
      <xdr:row>28</xdr:row>
      <xdr:rowOff>139700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3F80D426-39BD-744F-A727-8F0DD8BB83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</xdr:col>
      <xdr:colOff>552450</xdr:colOff>
      <xdr:row>75</xdr:row>
      <xdr:rowOff>0</xdr:rowOff>
    </xdr:from>
    <xdr:to>
      <xdr:col>8</xdr:col>
      <xdr:colOff>514350</xdr:colOff>
      <xdr:row>85</xdr:row>
      <xdr:rowOff>50800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490BE2B7-6B15-0F49-BB06-12114ACDED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857250</xdr:colOff>
      <xdr:row>72</xdr:row>
      <xdr:rowOff>190500</xdr:rowOff>
    </xdr:from>
    <xdr:to>
      <xdr:col>14</xdr:col>
      <xdr:colOff>666750</xdr:colOff>
      <xdr:row>83</xdr:row>
      <xdr:rowOff>38100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EC77FF20-09F0-FD4C-A3F8-A0DA15E8F8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215900</xdr:colOff>
      <xdr:row>75</xdr:row>
      <xdr:rowOff>622300</xdr:rowOff>
    </xdr:from>
    <xdr:to>
      <xdr:col>17</xdr:col>
      <xdr:colOff>355600</xdr:colOff>
      <xdr:row>88</xdr:row>
      <xdr:rowOff>63500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32C9D037-FCCE-2345-B029-E72660064F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</xdr:col>
      <xdr:colOff>222250</xdr:colOff>
      <xdr:row>75</xdr:row>
      <xdr:rowOff>698500</xdr:rowOff>
    </xdr:from>
    <xdr:to>
      <xdr:col>8</xdr:col>
      <xdr:colOff>184150</xdr:colOff>
      <xdr:row>88</xdr:row>
      <xdr:rowOff>139700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BEB68F5F-7D93-414C-8A1A-7C5334075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36</xdr:col>
      <xdr:colOff>1130300</xdr:colOff>
      <xdr:row>0</xdr:row>
      <xdr:rowOff>0</xdr:rowOff>
    </xdr:from>
    <xdr:to>
      <xdr:col>40</xdr:col>
      <xdr:colOff>901700</xdr:colOff>
      <xdr:row>13</xdr:row>
      <xdr:rowOff>101600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8665D344-AD72-6F45-B39F-B3F6BB0930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34</xdr:col>
      <xdr:colOff>990600</xdr:colOff>
      <xdr:row>29</xdr:row>
      <xdr:rowOff>165100</xdr:rowOff>
    </xdr:from>
    <xdr:to>
      <xdr:col>38</xdr:col>
      <xdr:colOff>952500</xdr:colOff>
      <xdr:row>43</xdr:row>
      <xdr:rowOff>63500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8D9F6274-13CA-644E-BBC4-0B8681E399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32</xdr:col>
      <xdr:colOff>38100</xdr:colOff>
      <xdr:row>0</xdr:row>
      <xdr:rowOff>0</xdr:rowOff>
    </xdr:from>
    <xdr:to>
      <xdr:col>36</xdr:col>
      <xdr:colOff>292100</xdr:colOff>
      <xdr:row>13</xdr:row>
      <xdr:rowOff>101600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EA1B3E03-2F02-D143-ABBC-25DE1A6398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32</xdr:col>
      <xdr:colOff>0</xdr:colOff>
      <xdr:row>72</xdr:row>
      <xdr:rowOff>0</xdr:rowOff>
    </xdr:from>
    <xdr:to>
      <xdr:col>36</xdr:col>
      <xdr:colOff>393700</xdr:colOff>
      <xdr:row>82</xdr:row>
      <xdr:rowOff>50800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68794284-311A-8F40-911D-6779635AD5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36</xdr:col>
      <xdr:colOff>1219200</xdr:colOff>
      <xdr:row>72</xdr:row>
      <xdr:rowOff>101600</xdr:rowOff>
    </xdr:from>
    <xdr:to>
      <xdr:col>40</xdr:col>
      <xdr:colOff>1130300</xdr:colOff>
      <xdr:row>82</xdr:row>
      <xdr:rowOff>152400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6DBBF7B7-D31C-F24C-A448-77B6A7548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565150</xdr:colOff>
      <xdr:row>2</xdr:row>
      <xdr:rowOff>330200</xdr:rowOff>
    </xdr:from>
    <xdr:to>
      <xdr:col>13</xdr:col>
      <xdr:colOff>304800</xdr:colOff>
      <xdr:row>18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70225D-7CDF-D84A-8CEB-2EA9CD0C5C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9525</xdr:colOff>
      <xdr:row>0</xdr:row>
      <xdr:rowOff>0</xdr:rowOff>
    </xdr:from>
    <xdr:to>
      <xdr:col>19</xdr:col>
      <xdr:colOff>314325</xdr:colOff>
      <xdr:row>14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12007A-BF9C-054E-B26E-FFFAF2DE2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228600</xdr:colOff>
      <xdr:row>15</xdr:row>
      <xdr:rowOff>7937</xdr:rowOff>
    </xdr:from>
    <xdr:to>
      <xdr:col>22</xdr:col>
      <xdr:colOff>596900</xdr:colOff>
      <xdr:row>29</xdr:row>
      <xdr:rowOff>58737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82393E-03AD-E74B-9629-3ABFFC74CA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157162</xdr:colOff>
      <xdr:row>23</xdr:row>
      <xdr:rowOff>61912</xdr:rowOff>
    </xdr:from>
    <xdr:to>
      <xdr:col>16</xdr:col>
      <xdr:colOff>461962</xdr:colOff>
      <xdr:row>37</xdr:row>
      <xdr:rowOff>138112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AF99787-DC99-404D-81FA-7211111774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280987</xdr:colOff>
      <xdr:row>28</xdr:row>
      <xdr:rowOff>157162</xdr:rowOff>
    </xdr:from>
    <xdr:to>
      <xdr:col>14</xdr:col>
      <xdr:colOff>585787</xdr:colOff>
      <xdr:row>43</xdr:row>
      <xdr:rowOff>42862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3DC7F5A-855C-6C4A-9A11-D61DDF7C34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21166</xdr:colOff>
      <xdr:row>5</xdr:row>
      <xdr:rowOff>187677</xdr:rowOff>
    </xdr:from>
    <xdr:to>
      <xdr:col>14</xdr:col>
      <xdr:colOff>529166</xdr:colOff>
      <xdr:row>19</xdr:row>
      <xdr:rowOff>108655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203C2F-6F4C-D94D-9609-33540AE7B8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200025</xdr:colOff>
      <xdr:row>43</xdr:row>
      <xdr:rowOff>0</xdr:rowOff>
    </xdr:from>
    <xdr:to>
      <xdr:col>18</xdr:col>
      <xdr:colOff>447674</xdr:colOff>
      <xdr:row>60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15D249-F620-E148-B92F-0FF6061E1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371474</xdr:colOff>
      <xdr:row>4</xdr:row>
      <xdr:rowOff>157161</xdr:rowOff>
    </xdr:from>
    <xdr:to>
      <xdr:col>18</xdr:col>
      <xdr:colOff>552449</xdr:colOff>
      <xdr:row>24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2EA45F-3744-AF4D-BA91-F41AA38DE1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219075</xdr:colOff>
      <xdr:row>25</xdr:row>
      <xdr:rowOff>128587</xdr:rowOff>
    </xdr:from>
    <xdr:to>
      <xdr:col>20</xdr:col>
      <xdr:colOff>438150</xdr:colOff>
      <xdr:row>43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AF363C-C9B3-5145-BB93-A6FBA42A0F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200025</xdr:colOff>
      <xdr:row>43</xdr:row>
      <xdr:rowOff>0</xdr:rowOff>
    </xdr:from>
    <xdr:to>
      <xdr:col>18</xdr:col>
      <xdr:colOff>447674</xdr:colOff>
      <xdr:row>60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491A95-1277-0844-BFDD-46AE6BC0D3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52387</xdr:colOff>
      <xdr:row>11</xdr:row>
      <xdr:rowOff>14287</xdr:rowOff>
    </xdr:from>
    <xdr:to>
      <xdr:col>21</xdr:col>
      <xdr:colOff>357187</xdr:colOff>
      <xdr:row>25</xdr:row>
      <xdr:rowOff>90487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DB1FAA-581B-EC4B-8754-2B3F695137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Mahomet/Desktop/DATA/EGBR%20Dat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Mahomet/Desktop/DATA/Zainab%20Rinquest_Thesis%20Raw%20data_11March2018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homet/Desktop/MEng/Selection%20of%20the%20packing%20mater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from CC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BR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derdrain system"/>
      <sheetName val="Data of packing materials"/>
      <sheetName val="Sheet1"/>
      <sheetName val="Granules "/>
    </sheetNames>
    <sheetDataSet>
      <sheetData sheetId="0">
        <row r="12">
          <cell r="D12">
            <v>1.1375173676553637E-6</v>
          </cell>
        </row>
      </sheetData>
      <sheetData sheetId="1">
        <row r="9">
          <cell r="C9">
            <v>0.36206896551724138</v>
          </cell>
          <cell r="D9">
            <v>0.34482758620689657</v>
          </cell>
          <cell r="E9">
            <v>0.39655172413793105</v>
          </cell>
          <cell r="F9">
            <v>0.56896551724137934</v>
          </cell>
          <cell r="G9">
            <v>0.66</v>
          </cell>
        </row>
        <row r="12">
          <cell r="E12">
            <v>128.19999999999999</v>
          </cell>
          <cell r="G12">
            <v>19.130000000000003</v>
          </cell>
        </row>
        <row r="13">
          <cell r="E13">
            <v>19.099999999999994</v>
          </cell>
          <cell r="G13">
            <v>127.97</v>
          </cell>
        </row>
        <row r="22">
          <cell r="C22">
            <v>0.86081355932203385</v>
          </cell>
          <cell r="D22">
            <v>0.31997282608695649</v>
          </cell>
          <cell r="E22">
            <v>0.12966734555329257</v>
          </cell>
          <cell r="F22">
            <v>0.86662207357859533</v>
          </cell>
          <cell r="G22">
            <v>0.8699524133242692</v>
          </cell>
        </row>
      </sheetData>
      <sheetData sheetId="2" refreshError="1"/>
      <sheetData sheetId="3">
        <row r="13">
          <cell r="C13">
            <v>9.0690835430845239E-3</v>
          </cell>
          <cell r="D13">
            <v>1.303353268619915E-2</v>
          </cell>
          <cell r="E13">
            <v>1.9154481231168179E-2</v>
          </cell>
        </row>
        <row r="19">
          <cell r="B19">
            <v>3.8550000000000004E-6</v>
          </cell>
          <cell r="C19">
            <v>1.0886229516712425E-3</v>
          </cell>
          <cell r="D19">
            <v>3.6475996859914538E-3</v>
          </cell>
          <cell r="E19">
            <v>2.872738439569237E-3</v>
          </cell>
          <cell r="H19">
            <v>37.214137208913776</v>
          </cell>
        </row>
        <row r="20">
          <cell r="B20">
            <v>3.9999999999999998E-6</v>
          </cell>
          <cell r="C20">
            <v>1.1295999437300488E-3</v>
          </cell>
          <cell r="D20">
            <v>3.7848772361411013E-3</v>
          </cell>
          <cell r="E20">
            <v>2.9808736526858838E-3</v>
          </cell>
          <cell r="H20">
            <v>35.865124735090653</v>
          </cell>
        </row>
        <row r="21">
          <cell r="B21">
            <v>5.0000000000000004E-6</v>
          </cell>
          <cell r="C21">
            <v>1.4122592802470423E-3</v>
          </cell>
          <cell r="D21">
            <v>4.7317741277116679E-3</v>
          </cell>
          <cell r="E21">
            <v>3.7267946304334484E-3</v>
          </cell>
          <cell r="H21">
            <v>28.692099788072522</v>
          </cell>
        </row>
        <row r="22">
          <cell r="B22">
            <v>6.0000000000000002E-6</v>
          </cell>
          <cell r="C22">
            <v>1.6950223569978285E-3</v>
          </cell>
          <cell r="D22">
            <v>5.6789420522963489E-3</v>
          </cell>
          <cell r="E22">
            <v>4.4729966340114492E-3</v>
          </cell>
          <cell r="H22">
            <v>23.910083156727104</v>
          </cell>
        </row>
        <row r="23">
          <cell r="B23">
            <v>6.9999999999999999E-6</v>
          </cell>
          <cell r="C23">
            <v>1.9778891739824071E-3</v>
          </cell>
          <cell r="D23">
            <v>6.626381009895147E-3</v>
          </cell>
          <cell r="E23">
            <v>5.2194796634198867E-3</v>
          </cell>
          <cell r="H23">
            <v>20.494356991480377</v>
          </cell>
        </row>
        <row r="24">
          <cell r="B24">
            <v>7.9999999999999996E-6</v>
          </cell>
          <cell r="C24">
            <v>2.2608597312007784E-3</v>
          </cell>
          <cell r="D24">
            <v>7.5740910005080639E-3</v>
          </cell>
          <cell r="E24">
            <v>5.9662437186587623E-3</v>
          </cell>
          <cell r="H24">
            <v>17.932562367545327</v>
          </cell>
        </row>
        <row r="25">
          <cell r="B25">
            <v>9.0000000000000002E-6</v>
          </cell>
          <cell r="C25">
            <v>2.5439340286529427E-3</v>
          </cell>
          <cell r="D25">
            <v>8.5220720241350953E-3</v>
          </cell>
          <cell r="E25">
            <v>6.7132887997280758E-3</v>
          </cell>
          <cell r="H25">
            <v>15.940055437818067</v>
          </cell>
        </row>
        <row r="26">
          <cell r="B26">
            <v>1.0000000000000001E-5</v>
          </cell>
          <cell r="C26">
            <v>2.8271120663388985E-3</v>
          </cell>
          <cell r="D26">
            <v>9.4703240807762438E-3</v>
          </cell>
          <cell r="E26">
            <v>7.4606149066278257E-3</v>
          </cell>
          <cell r="H26">
            <v>14.346049894036261</v>
          </cell>
        </row>
        <row r="27">
          <cell r="B27">
            <v>1.1E-5</v>
          </cell>
          <cell r="C27">
            <v>3.1103938442586482E-3</v>
          </cell>
          <cell r="D27">
            <v>1.0418847170431508E-2</v>
          </cell>
          <cell r="E27">
            <v>8.208222039358011E-3</v>
          </cell>
          <cell r="H27">
            <v>13.041863540032967</v>
          </cell>
        </row>
        <row r="28">
          <cell r="B28">
            <v>1.2E-5</v>
          </cell>
          <cell r="C28">
            <v>3.3937793624121896E-3</v>
          </cell>
          <cell r="D28">
            <v>1.1367641293100885E-2</v>
          </cell>
          <cell r="E28">
            <v>8.9561101979186361E-3</v>
          </cell>
          <cell r="H28">
            <v>11.955041578363552</v>
          </cell>
        </row>
        <row r="29">
          <cell r="B29">
            <v>1.2999999999999999E-5</v>
          </cell>
          <cell r="C29">
            <v>3.6772686207995238E-3</v>
          </cell>
          <cell r="D29">
            <v>1.2316706448784383E-2</v>
          </cell>
          <cell r="E29">
            <v>9.7042793823096957E-3</v>
          </cell>
          <cell r="H29">
            <v>11.03542299541251</v>
          </cell>
        </row>
        <row r="30">
          <cell r="B30">
            <v>1.4E-5</v>
          </cell>
          <cell r="C30">
            <v>3.9608616194206506E-3</v>
          </cell>
          <cell r="D30">
            <v>1.3266042637481993E-2</v>
          </cell>
          <cell r="E30">
            <v>1.0452729592531195E-2</v>
          </cell>
          <cell r="H30">
            <v>10.247178495740188</v>
          </cell>
        </row>
        <row r="31">
          <cell r="B31">
            <v>1.5E-5</v>
          </cell>
          <cell r="C31">
            <v>4.2445583582755696E-3</v>
          </cell>
          <cell r="D31">
            <v>1.4215649859193727E-2</v>
          </cell>
          <cell r="E31">
            <v>1.1201460828583131E-2</v>
          </cell>
          <cell r="H31">
            <v>9.5640332626908418</v>
          </cell>
        </row>
        <row r="32">
          <cell r="B32">
            <v>1.5999999999999999E-5</v>
          </cell>
          <cell r="C32">
            <v>4.5283588373642809E-3</v>
          </cell>
          <cell r="D32">
            <v>1.5165528113919571E-2</v>
          </cell>
          <cell r="E32">
            <v>1.1950473090465503E-2</v>
          </cell>
          <cell r="H32">
            <v>8.9662811837726633</v>
          </cell>
        </row>
        <row r="33">
          <cell r="B33">
            <v>1.7E-5</v>
          </cell>
          <cell r="C33">
            <v>4.8122630566867861E-3</v>
          </cell>
          <cell r="D33">
            <v>1.611567740165953E-2</v>
          </cell>
          <cell r="E33">
            <v>1.2699766378178313E-2</v>
          </cell>
          <cell r="H33">
            <v>8.4388528788448607</v>
          </cell>
        </row>
        <row r="34">
          <cell r="B34">
            <v>1.8E-5</v>
          </cell>
          <cell r="C34">
            <v>5.0962710162430836E-3</v>
          </cell>
          <cell r="D34">
            <v>1.706609772241361E-2</v>
          </cell>
          <cell r="E34">
            <v>1.3449340691721561E-2</v>
          </cell>
          <cell r="H34">
            <v>7.9700277189090336</v>
          </cell>
        </row>
        <row r="35">
          <cell r="B35">
            <v>1.9000000000000001E-5</v>
          </cell>
          <cell r="C35">
            <v>5.3803827160331724E-3</v>
          </cell>
          <cell r="D35">
            <v>1.8016789076181806E-2</v>
          </cell>
          <cell r="E35">
            <v>1.4199196031095243E-2</v>
          </cell>
          <cell r="H35">
            <v>7.5505525758085588</v>
          </cell>
        </row>
        <row r="36">
          <cell r="B36">
            <v>2.0000000000000002E-5</v>
          </cell>
          <cell r="C36">
            <v>5.6645981560570543E-3</v>
          </cell>
          <cell r="D36">
            <v>1.896775146296412E-2</v>
          </cell>
          <cell r="E36">
            <v>1.4949332396299366E-2</v>
          </cell>
          <cell r="H36">
            <v>7.1730249470181304</v>
          </cell>
        </row>
        <row r="37">
          <cell r="B37">
            <v>2.0999999999999999E-5</v>
          </cell>
          <cell r="C37">
            <v>5.9489173363147284E-3</v>
          </cell>
          <cell r="D37">
            <v>1.9918984882760539E-2</v>
          </cell>
          <cell r="E37">
            <v>1.5699749787333919E-2</v>
          </cell>
          <cell r="H37">
            <v>6.8314523304934598</v>
          </cell>
        </row>
        <row r="38">
          <cell r="B38">
            <v>2.1999999999999999E-5</v>
          </cell>
          <cell r="C38">
            <v>6.2333402568061965E-3</v>
          </cell>
          <cell r="D38">
            <v>2.0870489335571087E-2</v>
          </cell>
          <cell r="E38">
            <v>1.6450448204198918E-2</v>
          </cell>
          <cell r="H38">
            <v>6.5209317700164835</v>
          </cell>
        </row>
        <row r="39">
          <cell r="B39">
            <v>2.3E-5</v>
          </cell>
          <cell r="C39">
            <v>6.5178669175314551E-3</v>
          </cell>
          <cell r="D39">
            <v>2.1822264821395744E-2</v>
          </cell>
          <cell r="E39">
            <v>1.7201427646894349E-2</v>
          </cell>
          <cell r="H39">
            <v>6.2374129974070707</v>
          </cell>
        </row>
        <row r="40">
          <cell r="B40">
            <v>2.4000000000000001E-5</v>
          </cell>
          <cell r="C40">
            <v>6.8024973184905094E-3</v>
          </cell>
          <cell r="D40">
            <v>2.277431134023452E-2</v>
          </cell>
          <cell r="E40">
            <v>1.7952688115420223E-2</v>
          </cell>
          <cell r="H40">
            <v>5.9775207891817761</v>
          </cell>
        </row>
        <row r="41">
          <cell r="B41">
            <v>2.5000000000000001E-5</v>
          </cell>
          <cell r="C41">
            <v>7.087231459683355E-3</v>
          </cell>
          <cell r="D41">
            <v>2.3726628892087414E-2</v>
          </cell>
          <cell r="E41">
            <v>1.8704229609776527E-2</v>
          </cell>
          <cell r="H41">
            <v>5.7384199576145045</v>
          </cell>
        </row>
        <row r="42">
          <cell r="B42">
            <v>2.5999999999999998E-5</v>
          </cell>
          <cell r="C42">
            <v>7.3720693411099911E-3</v>
          </cell>
          <cell r="D42">
            <v>2.4679217476954424E-2</v>
          </cell>
          <cell r="E42">
            <v>1.9456052129963271E-2</v>
          </cell>
          <cell r="H42">
            <v>5.5177114977062551</v>
          </cell>
        </row>
        <row r="43">
          <cell r="B43">
            <v>2.6999999999999999E-5</v>
          </cell>
          <cell r="C43">
            <v>7.6570109627704204E-3</v>
          </cell>
          <cell r="D43">
            <v>2.5632077094835542E-2</v>
          </cell>
          <cell r="E43">
            <v>2.0208155675980451E-2</v>
          </cell>
          <cell r="H43">
            <v>5.3133518126060242</v>
          </cell>
        </row>
        <row r="44">
          <cell r="B44">
            <v>2.8E-5</v>
          </cell>
          <cell r="C44">
            <v>7.9420563246646435E-3</v>
          </cell>
          <cell r="D44">
            <v>2.6585207745730786E-2</v>
          </cell>
          <cell r="E44">
            <v>2.096054024782807E-2</v>
          </cell>
          <cell r="H44">
            <v>5.1235892478700942</v>
          </cell>
        </row>
        <row r="45">
          <cell r="B45">
            <v>2.9E-5</v>
          </cell>
          <cell r="C45">
            <v>8.2272054267926598E-3</v>
          </cell>
          <cell r="D45">
            <v>2.7538609429640148E-2</v>
          </cell>
          <cell r="E45">
            <v>2.1713205845506126E-2</v>
          </cell>
          <cell r="H45">
            <v>4.9469137565642285</v>
          </cell>
        </row>
        <row r="46">
          <cell r="B46">
            <v>3.0000000000000001E-5</v>
          </cell>
          <cell r="C46">
            <v>8.5124582691544683E-3</v>
          </cell>
          <cell r="D46">
            <v>2.8492282146563623E-2</v>
          </cell>
          <cell r="E46">
            <v>2.2466152469014622E-2</v>
          </cell>
          <cell r="H46">
            <v>4.7820166313454209</v>
          </cell>
        </row>
        <row r="47">
          <cell r="B47">
            <v>3.1000000000000001E-5</v>
          </cell>
          <cell r="C47">
            <v>8.7978148517500673E-3</v>
          </cell>
          <cell r="D47">
            <v>2.944622589650121E-2</v>
          </cell>
          <cell r="E47">
            <v>2.321938011835355E-2</v>
          </cell>
          <cell r="H47">
            <v>4.6277580303342782</v>
          </cell>
        </row>
        <row r="48">
          <cell r="B48">
            <v>3.1999999999999999E-5</v>
          </cell>
          <cell r="C48">
            <v>9.0832751745794603E-3</v>
          </cell>
          <cell r="D48">
            <v>3.0400440679452918E-2</v>
          </cell>
          <cell r="E48">
            <v>2.3972888793522915E-2</v>
          </cell>
          <cell r="H48">
            <v>4.4831405918863316</v>
          </cell>
        </row>
        <row r="49">
          <cell r="B49">
            <v>3.3000000000000003E-5</v>
          </cell>
          <cell r="C49">
            <v>9.3688392376426472E-3</v>
          </cell>
          <cell r="D49">
            <v>3.1354926495418739E-2</v>
          </cell>
          <cell r="E49">
            <v>2.4726678494522723E-2</v>
          </cell>
          <cell r="H49">
            <v>4.3472878466776548</v>
          </cell>
        </row>
        <row r="50">
          <cell r="B50">
            <v>3.4E-5</v>
          </cell>
          <cell r="C50">
            <v>9.6545070409396246E-3</v>
          </cell>
          <cell r="D50">
            <v>3.2309683344398675E-2</v>
          </cell>
          <cell r="E50">
            <v>2.5480749221352964E-2</v>
          </cell>
          <cell r="H50">
            <v>4.2194264394224303</v>
          </cell>
        </row>
        <row r="51">
          <cell r="B51">
            <v>3.4999999999999997E-5</v>
          </cell>
          <cell r="C51">
            <v>9.9402785844703943E-3</v>
          </cell>
          <cell r="D51">
            <v>3.3264711226392733E-2</v>
          </cell>
          <cell r="E51">
            <v>2.6235100974013641E-2</v>
          </cell>
          <cell r="H51">
            <v>4.0988713982960752</v>
          </cell>
        </row>
        <row r="52">
          <cell r="B52">
            <v>3.6000000000000001E-5</v>
          </cell>
          <cell r="C52">
            <v>1.022615386823496E-2</v>
          </cell>
          <cell r="D52">
            <v>3.4220010141400907E-2</v>
          </cell>
          <cell r="E52">
            <v>2.6989733752504762E-2</v>
          </cell>
          <cell r="H52">
            <v>3.9850138594545168</v>
          </cell>
        </row>
        <row r="53">
          <cell r="B53">
            <v>3.6999999999999998E-5</v>
          </cell>
          <cell r="C53">
            <v>1.0512132892233315E-2</v>
          </cell>
          <cell r="D53">
            <v>3.5175580089423196E-2</v>
          </cell>
          <cell r="E53">
            <v>2.7744647556826312E-2</v>
          </cell>
          <cell r="H53">
            <v>3.8773107821719628</v>
          </cell>
        </row>
        <row r="54">
          <cell r="B54">
            <v>3.8000000000000002E-5</v>
          </cell>
          <cell r="C54">
            <v>1.0798215656465462E-2</v>
          </cell>
          <cell r="D54">
            <v>3.61314210704596E-2</v>
          </cell>
          <cell r="E54">
            <v>2.8499842386978298E-2</v>
          </cell>
          <cell r="H54">
            <v>3.7752762879042794</v>
          </cell>
        </row>
        <row r="55">
          <cell r="B55">
            <v>3.8999999999999999E-5</v>
          </cell>
          <cell r="C55">
            <v>1.1084402160931404E-2</v>
          </cell>
          <cell r="D55">
            <v>3.708753308451012E-2</v>
          </cell>
          <cell r="E55">
            <v>2.9255318242960723E-2</v>
          </cell>
          <cell r="H55">
            <v>3.6784743318041699</v>
          </cell>
        </row>
        <row r="56">
          <cell r="B56">
            <v>4.0000000000000003E-5</v>
          </cell>
          <cell r="C56">
            <v>1.1370692405631136E-2</v>
          </cell>
          <cell r="D56">
            <v>3.8043916131574762E-2</v>
          </cell>
          <cell r="E56">
            <v>3.0011075124773596E-2</v>
          </cell>
          <cell r="H56">
            <v>3.5865124735090652</v>
          </cell>
        </row>
        <row r="57">
          <cell r="B57">
            <v>4.1E-5</v>
          </cell>
          <cell r="C57">
            <v>1.1657086390564663E-2</v>
          </cell>
          <cell r="D57">
            <v>3.9000570211653512E-2</v>
          </cell>
          <cell r="E57">
            <v>3.0767113032416891E-2</v>
          </cell>
          <cell r="H57">
            <v>3.4990365595210395</v>
          </cell>
        </row>
        <row r="58">
          <cell r="B58">
            <v>4.1999999999999998E-5</v>
          </cell>
          <cell r="C58">
            <v>1.194358411573198E-2</v>
          </cell>
          <cell r="D58">
            <v>3.9957495324746378E-2</v>
          </cell>
          <cell r="E58">
            <v>3.1523431965890629E-2</v>
          </cell>
          <cell r="H58">
            <v>3.4157261652467299</v>
          </cell>
        </row>
        <row r="59">
          <cell r="B59">
            <v>4.3000000000000002E-5</v>
          </cell>
          <cell r="C59">
            <v>1.2230185581133092E-2</v>
          </cell>
          <cell r="D59">
            <v>4.0914691470853366E-2</v>
          </cell>
          <cell r="E59">
            <v>3.2280031925194817E-2</v>
          </cell>
          <cell r="H59">
            <v>3.3362906730316886</v>
          </cell>
        </row>
        <row r="60">
          <cell r="B60">
            <v>4.3999999999999999E-5</v>
          </cell>
          <cell r="C60">
            <v>1.2516890786767997E-2</v>
          </cell>
          <cell r="D60">
            <v>4.187215864997447E-2</v>
          </cell>
          <cell r="E60">
            <v>3.3036912910329418E-2</v>
          </cell>
          <cell r="H60">
            <v>3.2604658850082417</v>
          </cell>
        </row>
        <row r="61">
          <cell r="B61">
            <v>4.5000000000000003E-5</v>
          </cell>
          <cell r="C61">
            <v>1.2803699732636693E-2</v>
          </cell>
          <cell r="D61">
            <v>4.2829896862109688E-2</v>
          </cell>
          <cell r="E61">
            <v>3.3794074921294472E-2</v>
          </cell>
          <cell r="H61">
            <v>3.1880110875636141</v>
          </cell>
        </row>
        <row r="62">
          <cell r="B62">
            <v>4.6E-5</v>
          </cell>
          <cell r="C62">
            <v>1.309061241873918E-2</v>
          </cell>
          <cell r="D62">
            <v>4.3787906107259023E-2</v>
          </cell>
          <cell r="E62">
            <v>3.4551517958089951E-2</v>
          </cell>
          <cell r="H62">
            <v>3.1187064987035353</v>
          </cell>
        </row>
        <row r="63">
          <cell r="B63">
            <v>4.6999999999999997E-5</v>
          </cell>
          <cell r="C63">
            <v>1.3377628845075462E-2</v>
          </cell>
          <cell r="D63">
            <v>4.4746186385422465E-2</v>
          </cell>
          <cell r="E63">
            <v>3.5309242020715878E-2</v>
          </cell>
          <cell r="H63">
            <v>3.0523510412843113</v>
          </cell>
        </row>
        <row r="64">
          <cell r="B64">
            <v>4.8000000000000001E-5</v>
          </cell>
          <cell r="C64">
            <v>1.3664749011645537E-2</v>
          </cell>
          <cell r="D64">
            <v>4.5704737696600037E-2</v>
          </cell>
          <cell r="E64">
            <v>3.6067247109172244E-2</v>
          </cell>
          <cell r="H64">
            <v>2.988760394590888</v>
          </cell>
        </row>
        <row r="65">
          <cell r="B65">
            <v>4.8999999999999998E-5</v>
          </cell>
          <cell r="C65">
            <v>1.3951972918449405E-2</v>
          </cell>
          <cell r="D65">
            <v>4.6663560040791724E-2</v>
          </cell>
          <cell r="E65">
            <v>3.6825533223459044E-2</v>
          </cell>
          <cell r="H65">
            <v>2.9277652844971964</v>
          </cell>
        </row>
        <row r="66">
          <cell r="B66">
            <v>5.0000000000000002E-5</v>
          </cell>
          <cell r="C66">
            <v>1.4239300565487065E-2</v>
          </cell>
          <cell r="D66">
            <v>4.7622653417997526E-2</v>
          </cell>
          <cell r="E66">
            <v>3.7584100363576275E-2</v>
          </cell>
          <cell r="H66">
            <v>2.8692099788072523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948EE-60C4-0E42-B1A6-4EA4BA9CB1A8}">
  <dimension ref="D1:CR42"/>
  <sheetViews>
    <sheetView topLeftCell="A18" zoomScaleNormal="100" workbookViewId="0">
      <selection activeCell="O16" sqref="O16:P16"/>
    </sheetView>
  </sheetViews>
  <sheetFormatPr baseColWidth="10" defaultColWidth="8.83203125" defaultRowHeight="16" x14ac:dyDescent="0.2"/>
  <cols>
    <col min="4" max="4" width="20.83203125" customWidth="1"/>
  </cols>
  <sheetData>
    <row r="1" spans="4:96" ht="17" thickBot="1" x14ac:dyDescent="0.25"/>
    <row r="2" spans="4:96" ht="17" thickBot="1" x14ac:dyDescent="0.25">
      <c r="D2" t="s">
        <v>128</v>
      </c>
      <c r="E2" s="877">
        <v>1</v>
      </c>
      <c r="F2" s="878"/>
      <c r="G2" s="877">
        <v>3</v>
      </c>
      <c r="H2" s="878"/>
      <c r="I2" s="877">
        <v>5</v>
      </c>
      <c r="J2" s="878"/>
      <c r="K2" s="877">
        <v>8</v>
      </c>
      <c r="L2" s="878"/>
      <c r="M2" s="877">
        <v>10</v>
      </c>
      <c r="N2" s="878"/>
      <c r="O2" s="877">
        <v>12</v>
      </c>
      <c r="P2" s="878"/>
      <c r="Q2" s="877">
        <v>15</v>
      </c>
      <c r="R2" s="878"/>
      <c r="S2" s="877">
        <v>17</v>
      </c>
      <c r="T2" s="878"/>
      <c r="U2" s="877">
        <v>19</v>
      </c>
      <c r="V2" s="878"/>
      <c r="W2" s="877">
        <v>22</v>
      </c>
      <c r="X2" s="878"/>
      <c r="Y2" s="877">
        <v>24</v>
      </c>
      <c r="Z2" s="878"/>
      <c r="AA2" s="877">
        <v>26</v>
      </c>
      <c r="AB2" s="878"/>
      <c r="AC2" s="877">
        <v>29</v>
      </c>
      <c r="AD2" s="878"/>
      <c r="AE2" s="877">
        <v>31</v>
      </c>
      <c r="AF2" s="878"/>
      <c r="AG2" s="877">
        <v>34</v>
      </c>
      <c r="AH2" s="878"/>
      <c r="AI2" s="877">
        <v>37</v>
      </c>
      <c r="AJ2" s="878"/>
      <c r="AK2" s="877">
        <v>39</v>
      </c>
      <c r="AL2" s="878"/>
      <c r="AM2" s="877">
        <v>41</v>
      </c>
      <c r="AN2" s="878"/>
      <c r="AO2" s="877">
        <v>43</v>
      </c>
      <c r="AP2" s="878"/>
      <c r="AQ2" s="877">
        <v>45</v>
      </c>
      <c r="AR2" s="878"/>
      <c r="AS2" s="877">
        <v>47</v>
      </c>
      <c r="AT2" s="878"/>
      <c r="AU2" s="877">
        <v>49</v>
      </c>
      <c r="AV2" s="878"/>
      <c r="AW2" s="877">
        <v>51</v>
      </c>
      <c r="AX2" s="878"/>
      <c r="AY2" s="877">
        <v>53</v>
      </c>
      <c r="AZ2" s="878"/>
      <c r="BA2" s="877">
        <v>55</v>
      </c>
      <c r="BB2" s="878"/>
      <c r="BC2" s="877">
        <v>57</v>
      </c>
      <c r="BD2" s="878"/>
      <c r="BE2" s="877">
        <v>59</v>
      </c>
      <c r="BF2" s="878"/>
      <c r="BG2" s="877">
        <v>61</v>
      </c>
      <c r="BH2" s="878"/>
      <c r="BI2" s="877">
        <v>63</v>
      </c>
      <c r="BJ2" s="878"/>
      <c r="BK2" s="877">
        <v>66</v>
      </c>
      <c r="BL2" s="878"/>
      <c r="BM2" s="877">
        <v>68</v>
      </c>
      <c r="BN2" s="878"/>
      <c r="BO2" s="877">
        <v>70</v>
      </c>
      <c r="BP2" s="878"/>
      <c r="BQ2" s="877">
        <v>73</v>
      </c>
      <c r="BR2" s="878"/>
      <c r="BS2" s="877">
        <v>75</v>
      </c>
      <c r="BT2" s="878"/>
      <c r="BU2" s="877">
        <v>77</v>
      </c>
      <c r="BV2" s="878"/>
      <c r="BW2" s="879">
        <v>80</v>
      </c>
      <c r="BX2" s="880"/>
      <c r="BY2" s="879">
        <v>82</v>
      </c>
      <c r="BZ2" s="880"/>
      <c r="CA2" s="879">
        <v>85</v>
      </c>
      <c r="CB2" s="880"/>
      <c r="CC2" s="879">
        <v>88</v>
      </c>
      <c r="CD2" s="880"/>
      <c r="CE2" s="879">
        <v>90</v>
      </c>
      <c r="CF2" s="880"/>
      <c r="CG2" s="879">
        <v>92</v>
      </c>
      <c r="CH2" s="880"/>
      <c r="CI2" s="879">
        <v>94</v>
      </c>
      <c r="CJ2" s="880"/>
      <c r="CK2" s="879">
        <v>97</v>
      </c>
      <c r="CL2" s="880"/>
      <c r="CM2" s="879">
        <v>100</v>
      </c>
      <c r="CN2" s="880"/>
      <c r="CO2" s="879">
        <v>102</v>
      </c>
      <c r="CP2" s="880"/>
      <c r="CQ2" s="879">
        <v>105</v>
      </c>
      <c r="CR2" s="880"/>
    </row>
    <row r="3" spans="4:96" x14ac:dyDescent="0.2">
      <c r="D3" t="s">
        <v>148</v>
      </c>
      <c r="E3" s="881">
        <v>56</v>
      </c>
      <c r="F3" s="882"/>
      <c r="G3" s="881">
        <v>70</v>
      </c>
      <c r="H3" s="882"/>
      <c r="I3" s="881">
        <v>31</v>
      </c>
      <c r="J3" s="882"/>
      <c r="K3" s="881">
        <v>69</v>
      </c>
      <c r="L3" s="882"/>
      <c r="M3" s="881">
        <v>35</v>
      </c>
      <c r="N3" s="882"/>
      <c r="O3" s="881">
        <v>22</v>
      </c>
      <c r="P3" s="882"/>
      <c r="Q3" s="881">
        <v>36</v>
      </c>
      <c r="R3" s="882"/>
      <c r="S3" s="881">
        <v>62</v>
      </c>
      <c r="T3" s="882"/>
      <c r="U3" s="881">
        <v>44</v>
      </c>
      <c r="V3" s="882"/>
      <c r="W3" s="881">
        <v>48</v>
      </c>
      <c r="X3" s="882"/>
      <c r="Y3" s="881">
        <v>52</v>
      </c>
      <c r="Z3" s="882"/>
      <c r="AA3" s="881">
        <v>39</v>
      </c>
      <c r="AB3" s="882"/>
      <c r="AC3" s="881">
        <v>8</v>
      </c>
      <c r="AD3" s="882"/>
      <c r="AE3" s="881">
        <v>4</v>
      </c>
      <c r="AF3" s="882"/>
      <c r="AG3" s="881">
        <v>14</v>
      </c>
      <c r="AH3" s="882"/>
      <c r="AI3" s="881">
        <v>9</v>
      </c>
      <c r="AJ3" s="882"/>
      <c r="AK3" s="881">
        <v>17</v>
      </c>
      <c r="AL3" s="882"/>
      <c r="AM3" s="881">
        <v>22</v>
      </c>
      <c r="AN3" s="882"/>
      <c r="AO3" s="881">
        <v>27</v>
      </c>
      <c r="AP3" s="882"/>
      <c r="AQ3" s="881">
        <v>25</v>
      </c>
      <c r="AR3" s="882"/>
      <c r="AS3" s="881">
        <v>31</v>
      </c>
      <c r="AT3" s="882"/>
      <c r="AU3" s="881">
        <v>47</v>
      </c>
      <c r="AV3" s="882"/>
      <c r="AW3" s="881">
        <v>53</v>
      </c>
      <c r="AX3" s="882"/>
      <c r="AY3" s="881">
        <v>62</v>
      </c>
      <c r="AZ3" s="882"/>
      <c r="BA3" s="881">
        <v>44</v>
      </c>
      <c r="BB3" s="882"/>
      <c r="BC3" s="881">
        <v>52</v>
      </c>
      <c r="BD3" s="882"/>
      <c r="BE3" s="881">
        <v>69</v>
      </c>
      <c r="BF3" s="882"/>
      <c r="BG3" s="881">
        <v>46</v>
      </c>
      <c r="BH3" s="882"/>
      <c r="BI3" s="881">
        <v>57</v>
      </c>
      <c r="BJ3" s="882"/>
      <c r="BK3" s="881">
        <v>43</v>
      </c>
      <c r="BL3" s="882"/>
      <c r="BM3" s="881">
        <v>55</v>
      </c>
      <c r="BN3" s="882"/>
      <c r="BO3" s="881">
        <v>64</v>
      </c>
      <c r="BP3" s="882"/>
      <c r="BQ3" s="881">
        <v>52</v>
      </c>
      <c r="BR3" s="882"/>
      <c r="BS3" s="881">
        <v>62</v>
      </c>
      <c r="BT3" s="882"/>
      <c r="BU3" s="881">
        <v>25</v>
      </c>
      <c r="BV3" s="882"/>
      <c r="BW3" s="883">
        <v>52</v>
      </c>
      <c r="BX3" s="884"/>
      <c r="BY3" s="883">
        <v>40</v>
      </c>
      <c r="BZ3" s="884"/>
      <c r="CA3" s="883">
        <v>38</v>
      </c>
      <c r="CB3" s="884"/>
      <c r="CC3" s="883">
        <v>44</v>
      </c>
      <c r="CD3" s="884"/>
      <c r="CE3" s="883">
        <v>40</v>
      </c>
      <c r="CF3" s="884"/>
      <c r="CG3" s="883">
        <v>35</v>
      </c>
      <c r="CH3" s="884"/>
      <c r="CI3" s="883">
        <v>71</v>
      </c>
      <c r="CJ3" s="884"/>
      <c r="CK3" s="883">
        <v>54</v>
      </c>
      <c r="CL3" s="884"/>
      <c r="CM3" s="883">
        <v>94</v>
      </c>
      <c r="CN3" s="884"/>
      <c r="CO3" s="883">
        <v>72</v>
      </c>
      <c r="CP3" s="884"/>
      <c r="CQ3" s="883">
        <v>49</v>
      </c>
      <c r="CR3" s="884"/>
    </row>
    <row r="4" spans="4:96" x14ac:dyDescent="0.2">
      <c r="D4" t="s">
        <v>149</v>
      </c>
      <c r="E4" s="885">
        <v>35</v>
      </c>
      <c r="F4" s="886"/>
      <c r="G4" s="885">
        <v>35</v>
      </c>
      <c r="H4" s="886"/>
      <c r="I4" s="885">
        <v>35</v>
      </c>
      <c r="J4" s="886"/>
      <c r="K4" s="885">
        <v>35</v>
      </c>
      <c r="L4" s="886"/>
      <c r="M4" s="885">
        <v>35</v>
      </c>
      <c r="N4" s="886"/>
      <c r="O4" s="885">
        <v>35</v>
      </c>
      <c r="P4" s="886"/>
      <c r="Q4" s="885">
        <v>35</v>
      </c>
      <c r="R4" s="886"/>
      <c r="S4" s="885">
        <v>35</v>
      </c>
      <c r="T4" s="886"/>
      <c r="U4" s="885">
        <v>35</v>
      </c>
      <c r="V4" s="886"/>
      <c r="W4" s="885">
        <v>35</v>
      </c>
      <c r="X4" s="886"/>
      <c r="Y4" s="885">
        <v>35</v>
      </c>
      <c r="Z4" s="886"/>
      <c r="AA4" s="885">
        <v>35</v>
      </c>
      <c r="AB4" s="886"/>
      <c r="AC4" s="885">
        <v>35</v>
      </c>
      <c r="AD4" s="886"/>
      <c r="AE4" s="885">
        <v>35</v>
      </c>
      <c r="AF4" s="886"/>
      <c r="AG4" s="885">
        <v>35</v>
      </c>
      <c r="AH4" s="886"/>
      <c r="AI4" s="885">
        <v>40</v>
      </c>
      <c r="AJ4" s="886"/>
      <c r="AK4" s="885">
        <v>40</v>
      </c>
      <c r="AL4" s="886"/>
      <c r="AM4" s="885">
        <v>40</v>
      </c>
      <c r="AN4" s="886"/>
      <c r="AO4" s="885">
        <v>40</v>
      </c>
      <c r="AP4" s="886"/>
      <c r="AQ4" s="885">
        <v>40</v>
      </c>
      <c r="AR4" s="886"/>
      <c r="AS4" s="885">
        <v>40</v>
      </c>
      <c r="AT4" s="886"/>
      <c r="AU4" s="885">
        <v>40</v>
      </c>
      <c r="AV4" s="886"/>
      <c r="AW4" s="885">
        <v>40</v>
      </c>
      <c r="AX4" s="886"/>
      <c r="AY4" s="885">
        <v>30</v>
      </c>
      <c r="AZ4" s="886"/>
      <c r="BA4" s="885">
        <v>30</v>
      </c>
      <c r="BB4" s="886"/>
      <c r="BC4" s="885">
        <v>30</v>
      </c>
      <c r="BD4" s="886"/>
      <c r="BE4" s="885">
        <v>30</v>
      </c>
      <c r="BF4" s="886"/>
      <c r="BG4" s="885">
        <v>24</v>
      </c>
      <c r="BH4" s="886"/>
      <c r="BI4" s="885">
        <v>24</v>
      </c>
      <c r="BJ4" s="886"/>
      <c r="BK4" s="885">
        <v>24</v>
      </c>
      <c r="BL4" s="886"/>
      <c r="BM4" s="885">
        <v>24</v>
      </c>
      <c r="BN4" s="886"/>
      <c r="BO4" s="885">
        <v>24</v>
      </c>
      <c r="BP4" s="886"/>
      <c r="BQ4" s="885">
        <v>24</v>
      </c>
      <c r="BR4" s="886"/>
      <c r="BS4" s="885">
        <v>24</v>
      </c>
      <c r="BT4" s="886"/>
      <c r="BU4" s="885">
        <v>24</v>
      </c>
      <c r="BV4" s="886"/>
      <c r="BW4" s="885">
        <v>20</v>
      </c>
      <c r="BX4" s="887"/>
      <c r="BY4" s="887">
        <v>20</v>
      </c>
      <c r="BZ4" s="887"/>
      <c r="CA4" s="887">
        <v>20</v>
      </c>
      <c r="CB4" s="887"/>
      <c r="CC4" s="887">
        <v>20</v>
      </c>
      <c r="CD4" s="887"/>
      <c r="CE4" s="887">
        <v>20</v>
      </c>
      <c r="CF4" s="887"/>
      <c r="CG4" s="887">
        <v>20</v>
      </c>
      <c r="CH4" s="887"/>
      <c r="CI4" s="887">
        <v>20</v>
      </c>
      <c r="CJ4" s="887"/>
      <c r="CK4" s="887">
        <v>15</v>
      </c>
      <c r="CL4" s="887"/>
      <c r="CM4" s="887">
        <v>15</v>
      </c>
      <c r="CN4" s="887"/>
      <c r="CO4" s="887">
        <v>15</v>
      </c>
      <c r="CP4" s="887"/>
      <c r="CQ4" s="887">
        <v>15</v>
      </c>
      <c r="CR4" s="887"/>
    </row>
    <row r="5" spans="4:96" x14ac:dyDescent="0.2">
      <c r="D5" t="s">
        <v>138</v>
      </c>
      <c r="E5" s="888">
        <v>65.142857142857139</v>
      </c>
      <c r="F5" s="888"/>
      <c r="G5" s="888">
        <v>79.642857142857139</v>
      </c>
      <c r="H5" s="888"/>
      <c r="I5" s="888">
        <v>93.857142857142861</v>
      </c>
      <c r="J5" s="888"/>
      <c r="K5" s="888">
        <v>101.57142857142857</v>
      </c>
      <c r="L5" s="888"/>
      <c r="M5" s="888">
        <v>130.28571428571428</v>
      </c>
      <c r="N5" s="888"/>
      <c r="O5" s="888">
        <v>144.14285714285714</v>
      </c>
      <c r="P5" s="888"/>
      <c r="Q5" s="888">
        <v>167.57142857142858</v>
      </c>
      <c r="R5" s="888"/>
      <c r="S5" s="888">
        <v>186</v>
      </c>
      <c r="T5" s="888"/>
      <c r="U5" s="888">
        <v>112.92857142857143</v>
      </c>
      <c r="V5" s="888"/>
      <c r="W5" s="888">
        <v>187.07142857142858</v>
      </c>
      <c r="X5" s="888"/>
      <c r="Y5" s="888">
        <v>169.64285714285714</v>
      </c>
      <c r="Z5" s="888"/>
      <c r="AA5" s="888">
        <v>90.428571428571431</v>
      </c>
      <c r="AB5" s="888"/>
      <c r="AC5" s="888">
        <v>327.21428571428572</v>
      </c>
      <c r="AD5" s="888"/>
      <c r="AE5" s="888">
        <v>121.57142857142857</v>
      </c>
      <c r="AF5" s="888"/>
      <c r="AG5" s="888">
        <v>121.57142857142857</v>
      </c>
      <c r="AH5" s="888"/>
      <c r="AI5" s="888">
        <v>128.625</v>
      </c>
      <c r="AJ5" s="888"/>
      <c r="AK5" s="888">
        <v>120.875</v>
      </c>
      <c r="AL5" s="888"/>
      <c r="AM5" s="888">
        <v>86.75</v>
      </c>
      <c r="AN5" s="888"/>
      <c r="AO5" s="888">
        <v>126.375</v>
      </c>
      <c r="AP5" s="888"/>
      <c r="AQ5" s="888">
        <v>148.6875</v>
      </c>
      <c r="AR5" s="888"/>
      <c r="AS5" s="888">
        <v>131.375</v>
      </c>
      <c r="AT5" s="888"/>
      <c r="AU5" s="888">
        <v>117</v>
      </c>
      <c r="AV5" s="888"/>
      <c r="AW5" s="888">
        <v>136.8125</v>
      </c>
      <c r="AX5" s="888"/>
      <c r="AY5" s="888">
        <v>177.66666666666666</v>
      </c>
      <c r="AZ5" s="888"/>
      <c r="BA5" s="888">
        <v>200.25</v>
      </c>
      <c r="BB5" s="888"/>
      <c r="BC5" s="888">
        <v>178.48333333333332</v>
      </c>
      <c r="BD5" s="888"/>
      <c r="BE5" s="888">
        <v>208.66666666666666</v>
      </c>
      <c r="BF5" s="888"/>
      <c r="BG5" s="888">
        <v>299.79166666666669</v>
      </c>
      <c r="BH5" s="888"/>
      <c r="BI5" s="888">
        <v>276.66666666666669</v>
      </c>
      <c r="BJ5" s="888"/>
      <c r="BK5" s="888">
        <v>303.33333333333331</v>
      </c>
      <c r="BL5" s="888"/>
      <c r="BM5" s="888">
        <v>284.79166666666669</v>
      </c>
      <c r="BN5" s="888"/>
      <c r="BO5" s="888">
        <v>316.35416666666669</v>
      </c>
      <c r="BP5" s="888"/>
      <c r="BQ5" s="888">
        <v>337.60416666666669</v>
      </c>
      <c r="BR5" s="888"/>
      <c r="BS5" s="888">
        <v>366.25</v>
      </c>
      <c r="BT5" s="888"/>
      <c r="BU5" s="888">
        <v>263.54166666666669</v>
      </c>
      <c r="BV5" s="888"/>
      <c r="BW5" s="888"/>
      <c r="BX5" s="888"/>
      <c r="BY5" s="888"/>
      <c r="BZ5" s="888"/>
      <c r="CA5" s="888"/>
      <c r="CB5" s="888"/>
      <c r="CC5" s="888"/>
      <c r="CD5" s="888"/>
      <c r="CE5" s="888"/>
      <c r="CF5" s="888"/>
      <c r="CG5" s="888"/>
      <c r="CH5" s="888"/>
      <c r="CI5" s="888"/>
      <c r="CJ5" s="888"/>
      <c r="CK5" s="888"/>
      <c r="CL5" s="888"/>
      <c r="CM5" s="888"/>
      <c r="CN5" s="888"/>
      <c r="CO5" s="888"/>
      <c r="CP5" s="888"/>
      <c r="CQ5" s="888"/>
      <c r="CR5" s="888"/>
    </row>
    <row r="6" spans="4:96" ht="17" thickBot="1" x14ac:dyDescent="0.25"/>
    <row r="7" spans="4:96" x14ac:dyDescent="0.2">
      <c r="D7" s="127" t="s">
        <v>128</v>
      </c>
      <c r="E7" s="889">
        <v>7</v>
      </c>
      <c r="F7" s="890"/>
      <c r="G7" s="889">
        <v>14</v>
      </c>
      <c r="H7" s="890"/>
      <c r="I7" s="889">
        <v>21</v>
      </c>
      <c r="J7" s="890"/>
      <c r="K7" s="889">
        <v>28</v>
      </c>
      <c r="L7" s="890"/>
      <c r="M7" s="889">
        <v>35</v>
      </c>
      <c r="N7" s="890"/>
      <c r="O7" s="889">
        <v>42</v>
      </c>
      <c r="P7" s="890"/>
      <c r="Q7" s="889">
        <v>49</v>
      </c>
      <c r="R7" s="890"/>
      <c r="S7" s="889">
        <v>56</v>
      </c>
      <c r="T7" s="890"/>
      <c r="U7" s="889">
        <v>63</v>
      </c>
      <c r="V7" s="890"/>
      <c r="W7" s="889">
        <v>70</v>
      </c>
      <c r="X7" s="890"/>
      <c r="Y7" s="889">
        <v>77</v>
      </c>
      <c r="Z7" s="890"/>
      <c r="AA7" s="889">
        <v>84</v>
      </c>
      <c r="AB7" s="890"/>
      <c r="AC7" s="889">
        <v>91</v>
      </c>
      <c r="AD7" s="890"/>
      <c r="AE7" s="889">
        <v>98</v>
      </c>
      <c r="AF7" s="890"/>
      <c r="AG7" s="889">
        <v>105</v>
      </c>
      <c r="AH7" s="890"/>
    </row>
    <row r="8" spans="4:96" x14ac:dyDescent="0.2">
      <c r="D8" s="128" t="s">
        <v>150</v>
      </c>
      <c r="E8" s="129" t="s">
        <v>145</v>
      </c>
      <c r="F8" s="130" t="s">
        <v>151</v>
      </c>
      <c r="G8" s="129" t="s">
        <v>145</v>
      </c>
      <c r="H8" s="130" t="s">
        <v>151</v>
      </c>
      <c r="I8" s="129" t="s">
        <v>145</v>
      </c>
      <c r="J8" s="130" t="s">
        <v>151</v>
      </c>
      <c r="K8" s="129" t="s">
        <v>145</v>
      </c>
      <c r="L8" s="130" t="s">
        <v>151</v>
      </c>
      <c r="M8" s="129" t="s">
        <v>145</v>
      </c>
      <c r="N8" s="130" t="s">
        <v>151</v>
      </c>
      <c r="O8" s="129" t="s">
        <v>145</v>
      </c>
      <c r="P8" s="130" t="s">
        <v>151</v>
      </c>
      <c r="Q8" s="129" t="s">
        <v>145</v>
      </c>
      <c r="R8" s="130" t="s">
        <v>151</v>
      </c>
      <c r="S8" s="129" t="s">
        <v>145</v>
      </c>
      <c r="T8" s="130" t="s">
        <v>151</v>
      </c>
      <c r="U8" s="129" t="s">
        <v>145</v>
      </c>
      <c r="V8" s="130" t="s">
        <v>151</v>
      </c>
      <c r="W8" s="129" t="s">
        <v>145</v>
      </c>
      <c r="X8" s="130" t="s">
        <v>151</v>
      </c>
      <c r="Y8" s="129" t="s">
        <v>145</v>
      </c>
      <c r="Z8" s="130" t="s">
        <v>151</v>
      </c>
      <c r="AA8" s="129" t="s">
        <v>145</v>
      </c>
      <c r="AB8" s="130" t="s">
        <v>151</v>
      </c>
      <c r="AC8" s="129" t="s">
        <v>145</v>
      </c>
      <c r="AD8" s="130" t="s">
        <v>151</v>
      </c>
      <c r="AE8" s="129" t="s">
        <v>145</v>
      </c>
      <c r="AF8" s="130" t="s">
        <v>151</v>
      </c>
      <c r="AG8" s="129" t="s">
        <v>145</v>
      </c>
      <c r="AH8" s="130" t="s">
        <v>151</v>
      </c>
    </row>
    <row r="9" spans="4:96" x14ac:dyDescent="0.2">
      <c r="D9" s="128" t="s">
        <v>152</v>
      </c>
      <c r="E9" s="129">
        <v>1664</v>
      </c>
      <c r="F9" s="130">
        <v>449</v>
      </c>
      <c r="G9" s="129">
        <v>4315</v>
      </c>
      <c r="H9" s="130">
        <v>128</v>
      </c>
      <c r="I9" s="129">
        <v>5207</v>
      </c>
      <c r="J9" s="130">
        <v>128</v>
      </c>
      <c r="K9" s="129">
        <v>5421</v>
      </c>
      <c r="L9" s="130">
        <v>371</v>
      </c>
      <c r="M9" s="129">
        <v>4645</v>
      </c>
      <c r="N9" s="130">
        <v>262</v>
      </c>
      <c r="O9" s="129">
        <v>5141</v>
      </c>
      <c r="P9" s="130">
        <v>149</v>
      </c>
      <c r="Q9" s="129">
        <v>5189</v>
      </c>
      <c r="R9" s="130">
        <v>133</v>
      </c>
      <c r="S9" s="129">
        <v>5014</v>
      </c>
      <c r="T9" s="130">
        <v>234</v>
      </c>
      <c r="U9" s="129">
        <v>6817</v>
      </c>
      <c r="V9" s="130">
        <v>181</v>
      </c>
      <c r="W9" s="131">
        <v>6137</v>
      </c>
      <c r="X9">
        <v>310</v>
      </c>
      <c r="Y9" s="131">
        <v>8829</v>
      </c>
      <c r="Z9">
        <v>319</v>
      </c>
      <c r="AA9" s="131">
        <v>8237</v>
      </c>
      <c r="AB9">
        <v>168</v>
      </c>
      <c r="AC9">
        <v>32375</v>
      </c>
      <c r="AD9">
        <v>125</v>
      </c>
      <c r="AE9">
        <v>17903</v>
      </c>
      <c r="AF9">
        <v>168</v>
      </c>
      <c r="AG9">
        <v>7374</v>
      </c>
      <c r="AH9" s="132">
        <v>205</v>
      </c>
      <c r="AI9" t="s">
        <v>153</v>
      </c>
      <c r="AJ9" t="s">
        <v>154</v>
      </c>
      <c r="AK9" t="s">
        <v>146</v>
      </c>
      <c r="AL9" t="s">
        <v>147</v>
      </c>
    </row>
    <row r="10" spans="4:96" x14ac:dyDescent="0.2">
      <c r="D10" s="128" t="s">
        <v>155</v>
      </c>
      <c r="E10" s="881">
        <f>E9</f>
        <v>1664</v>
      </c>
      <c r="F10" s="882"/>
      <c r="G10" s="881">
        <f t="shared" ref="G10" si="0">G9</f>
        <v>4315</v>
      </c>
      <c r="H10" s="882"/>
      <c r="I10" s="881">
        <f t="shared" ref="I10" si="1">I9</f>
        <v>5207</v>
      </c>
      <c r="J10" s="882"/>
      <c r="K10" s="881">
        <f t="shared" ref="K10" si="2">K9</f>
        <v>5421</v>
      </c>
      <c r="L10" s="882"/>
      <c r="M10" s="881">
        <f t="shared" ref="M10" si="3">M9</f>
        <v>4645</v>
      </c>
      <c r="N10" s="882"/>
      <c r="O10" s="881">
        <f t="shared" ref="O10" si="4">O9</f>
        <v>5141</v>
      </c>
      <c r="P10" s="882"/>
      <c r="Q10" s="881">
        <f t="shared" ref="Q10" si="5">Q9</f>
        <v>5189</v>
      </c>
      <c r="R10" s="882"/>
      <c r="S10" s="881">
        <f t="shared" ref="S10" si="6">S9</f>
        <v>5014</v>
      </c>
      <c r="T10" s="882"/>
      <c r="U10" s="881">
        <f t="shared" ref="U10" si="7">U9</f>
        <v>6817</v>
      </c>
      <c r="V10" s="882"/>
      <c r="W10" s="881">
        <f t="shared" ref="W10:AE10" si="8">W9</f>
        <v>6137</v>
      </c>
      <c r="X10" s="882"/>
      <c r="Y10" s="881">
        <f t="shared" ref="Y10:AG10" si="9">Y9</f>
        <v>8829</v>
      </c>
      <c r="Z10" s="882"/>
      <c r="AA10" s="881">
        <f t="shared" si="8"/>
        <v>8237</v>
      </c>
      <c r="AB10" s="882"/>
      <c r="AC10" s="881">
        <f t="shared" si="9"/>
        <v>32375</v>
      </c>
      <c r="AD10" s="882"/>
      <c r="AE10" s="881">
        <f t="shared" si="8"/>
        <v>17903</v>
      </c>
      <c r="AF10" s="882"/>
      <c r="AG10" s="881">
        <f t="shared" si="9"/>
        <v>7374</v>
      </c>
      <c r="AH10" s="882"/>
      <c r="AI10">
        <f>AVERAGE(E10:AH10)</f>
        <v>8284.5333333333328</v>
      </c>
      <c r="AJ10">
        <f>_xlfn.STDEV.P(E10:AH10)</f>
        <v>7309.4697652352925</v>
      </c>
      <c r="AK10">
        <f>MIN(E10:AH10)</f>
        <v>1664</v>
      </c>
      <c r="AL10">
        <f>MAX(E10:AH10)</f>
        <v>32375</v>
      </c>
    </row>
    <row r="11" spans="4:96" x14ac:dyDescent="0.2">
      <c r="D11" s="128" t="s">
        <v>156</v>
      </c>
      <c r="E11" s="881">
        <f>F9</f>
        <v>449</v>
      </c>
      <c r="F11" s="882"/>
      <c r="G11" s="881">
        <f t="shared" ref="G11" si="10">H9</f>
        <v>128</v>
      </c>
      <c r="H11" s="882"/>
      <c r="I11" s="881">
        <f t="shared" ref="I11" si="11">J9</f>
        <v>128</v>
      </c>
      <c r="J11" s="882"/>
      <c r="K11" s="881">
        <f t="shared" ref="K11" si="12">L9</f>
        <v>371</v>
      </c>
      <c r="L11" s="882"/>
      <c r="M11" s="881">
        <f t="shared" ref="M11" si="13">N9</f>
        <v>262</v>
      </c>
      <c r="N11" s="882"/>
      <c r="O11" s="881">
        <f t="shared" ref="O11" si="14">P9</f>
        <v>149</v>
      </c>
      <c r="P11" s="882"/>
      <c r="Q11" s="881">
        <f t="shared" ref="Q11" si="15">R9</f>
        <v>133</v>
      </c>
      <c r="R11" s="882"/>
      <c r="S11" s="881">
        <f t="shared" ref="S11" si="16">T9</f>
        <v>234</v>
      </c>
      <c r="T11" s="882"/>
      <c r="U11" s="881">
        <f t="shared" ref="U11" si="17">V9</f>
        <v>181</v>
      </c>
      <c r="V11" s="882"/>
      <c r="W11" s="881">
        <f t="shared" ref="W11" si="18">X9</f>
        <v>310</v>
      </c>
      <c r="X11" s="882"/>
      <c r="Y11" s="881">
        <f t="shared" ref="Y11" si="19">Z9</f>
        <v>319</v>
      </c>
      <c r="Z11" s="882"/>
      <c r="AA11" s="881">
        <f t="shared" ref="AA11" si="20">AB9</f>
        <v>168</v>
      </c>
      <c r="AB11" s="882"/>
      <c r="AC11" s="881">
        <f t="shared" ref="AC11" si="21">AD9</f>
        <v>125</v>
      </c>
      <c r="AD11" s="882"/>
      <c r="AE11" s="881">
        <f t="shared" ref="AE11" si="22">AF9</f>
        <v>168</v>
      </c>
      <c r="AF11" s="882"/>
      <c r="AG11" s="881">
        <f t="shared" ref="AG11" si="23">AH9</f>
        <v>205</v>
      </c>
      <c r="AH11" s="882"/>
      <c r="AI11">
        <f>AVERAGE(E11:AH11)</f>
        <v>222</v>
      </c>
      <c r="AJ11">
        <f>_xlfn.STDEV.P(E11:AH11)</f>
        <v>96.871048306498679</v>
      </c>
      <c r="AK11">
        <f>MIN(E11:AH11)</f>
        <v>125</v>
      </c>
      <c r="AL11">
        <f>MAX(E11:AH11)</f>
        <v>449</v>
      </c>
    </row>
    <row r="12" spans="4:96" x14ac:dyDescent="0.2">
      <c r="D12" s="128" t="s">
        <v>108</v>
      </c>
      <c r="E12" s="891">
        <f>((E10-E11)/E10)*100</f>
        <v>73.016826923076934</v>
      </c>
      <c r="F12" s="892"/>
      <c r="G12" s="891">
        <f t="shared" ref="G12" si="24">((G10-G11)/G10)*100</f>
        <v>97.033603707995368</v>
      </c>
      <c r="H12" s="892"/>
      <c r="I12" s="891">
        <f t="shared" ref="I12" si="25">((I10-I11)/I10)*100</f>
        <v>97.54177069329748</v>
      </c>
      <c r="J12" s="892"/>
      <c r="K12" s="891">
        <f t="shared" ref="K12" si="26">((K10-K11)/K10)*100</f>
        <v>93.156244235380925</v>
      </c>
      <c r="L12" s="892"/>
      <c r="M12" s="891">
        <f t="shared" ref="M12" si="27">((M10-M11)/M10)*100</f>
        <v>94.359526372443497</v>
      </c>
      <c r="N12" s="892"/>
      <c r="O12" s="891">
        <f t="shared" ref="O12" si="28">((O10-O11)/O10)*100</f>
        <v>97.101731180704149</v>
      </c>
      <c r="P12" s="892"/>
      <c r="Q12" s="891">
        <f t="shared" ref="Q12" si="29">((Q10-Q11)/Q10)*100</f>
        <v>97.43688571979186</v>
      </c>
      <c r="R12" s="892"/>
      <c r="S12" s="891">
        <f t="shared" ref="S12" si="30">((S10-S11)/S10)*100</f>
        <v>95.333067411248507</v>
      </c>
      <c r="T12" s="892"/>
      <c r="U12" s="891">
        <f t="shared" ref="U12" si="31">((U10-U11)/U10)*100</f>
        <v>97.344873111339297</v>
      </c>
      <c r="V12" s="892"/>
      <c r="W12" s="891">
        <f t="shared" ref="W12:AE12" si="32">((W10-W11)/W10)*100</f>
        <v>94.948671989571451</v>
      </c>
      <c r="X12" s="892"/>
      <c r="Y12" s="891">
        <f t="shared" ref="Y12:AG12" si="33">((Y10-Y11)/Y10)*100</f>
        <v>96.386906784460308</v>
      </c>
      <c r="Z12" s="892"/>
      <c r="AA12" s="891">
        <f t="shared" si="32"/>
        <v>97.960422483914044</v>
      </c>
      <c r="AB12" s="892"/>
      <c r="AC12" s="891">
        <f t="shared" si="33"/>
        <v>99.613899613899619</v>
      </c>
      <c r="AD12" s="892"/>
      <c r="AE12" s="891">
        <f t="shared" si="32"/>
        <v>99.061609786069369</v>
      </c>
      <c r="AF12" s="892"/>
      <c r="AG12" s="891">
        <f t="shared" si="33"/>
        <v>97.219962028749663</v>
      </c>
      <c r="AH12" s="892"/>
      <c r="AI12">
        <f>AVERAGE(E12:AH12)</f>
        <v>95.167733469462831</v>
      </c>
      <c r="AJ12">
        <f>_xlfn.STDEV.P(E12:AH12)</f>
        <v>6.1460661457940731</v>
      </c>
      <c r="AK12">
        <f>MIN(E12:AH12)</f>
        <v>73.016826923076934</v>
      </c>
      <c r="AL12">
        <f>MAX(E12:AH12)</f>
        <v>99.613899613899619</v>
      </c>
    </row>
    <row r="13" spans="4:96" x14ac:dyDescent="0.2">
      <c r="D13" s="128" t="s">
        <v>157</v>
      </c>
      <c r="E13" s="129">
        <v>850</v>
      </c>
      <c r="F13" s="130">
        <v>130</v>
      </c>
      <c r="G13" s="129">
        <v>2125</v>
      </c>
      <c r="H13" s="130">
        <v>30</v>
      </c>
      <c r="I13" s="129">
        <v>2750</v>
      </c>
      <c r="J13" s="130">
        <v>30</v>
      </c>
      <c r="K13" s="129">
        <v>3000</v>
      </c>
      <c r="L13" s="130">
        <v>160</v>
      </c>
      <c r="M13" s="129">
        <v>2625</v>
      </c>
      <c r="N13" s="130">
        <v>45</v>
      </c>
      <c r="O13" s="129">
        <v>3875</v>
      </c>
      <c r="P13" s="130">
        <v>30</v>
      </c>
      <c r="Q13" s="129">
        <v>3625</v>
      </c>
      <c r="R13" s="133">
        <v>45</v>
      </c>
      <c r="S13" s="129">
        <v>3125</v>
      </c>
      <c r="T13" s="133">
        <v>225</v>
      </c>
      <c r="U13" s="129">
        <v>4250</v>
      </c>
      <c r="V13" s="133">
        <v>50</v>
      </c>
      <c r="W13" s="131">
        <v>5250</v>
      </c>
      <c r="X13" s="134">
        <v>80</v>
      </c>
      <c r="Y13">
        <v>6000</v>
      </c>
      <c r="Z13">
        <v>70</v>
      </c>
      <c r="AA13">
        <v>6250</v>
      </c>
      <c r="AB13">
        <v>135</v>
      </c>
      <c r="AC13">
        <v>20500</v>
      </c>
      <c r="AD13">
        <v>25</v>
      </c>
      <c r="AE13">
        <v>9250</v>
      </c>
      <c r="AF13">
        <v>45</v>
      </c>
      <c r="AG13">
        <v>3500</v>
      </c>
      <c r="AH13" s="132">
        <v>60</v>
      </c>
    </row>
    <row r="14" spans="4:96" x14ac:dyDescent="0.2">
      <c r="D14" s="128" t="s">
        <v>158</v>
      </c>
      <c r="E14" s="881">
        <f>E13</f>
        <v>850</v>
      </c>
      <c r="F14" s="882"/>
      <c r="G14" s="881">
        <f t="shared" ref="G14" si="34">G13</f>
        <v>2125</v>
      </c>
      <c r="H14" s="882"/>
      <c r="I14" s="881">
        <f t="shared" ref="I14" si="35">I13</f>
        <v>2750</v>
      </c>
      <c r="J14" s="882"/>
      <c r="K14" s="881">
        <f t="shared" ref="K14" si="36">K13</f>
        <v>3000</v>
      </c>
      <c r="L14" s="882"/>
      <c r="M14" s="881">
        <f t="shared" ref="M14" si="37">M13</f>
        <v>2625</v>
      </c>
      <c r="N14" s="882"/>
      <c r="O14" s="881">
        <f t="shared" ref="O14" si="38">O13</f>
        <v>3875</v>
      </c>
      <c r="P14" s="882"/>
      <c r="Q14" s="881">
        <f t="shared" ref="Q14" si="39">Q13</f>
        <v>3625</v>
      </c>
      <c r="R14" s="882"/>
      <c r="S14" s="881">
        <f t="shared" ref="S14" si="40">S13</f>
        <v>3125</v>
      </c>
      <c r="T14" s="882"/>
      <c r="U14" s="881">
        <f t="shared" ref="U14:AG14" si="41">U13</f>
        <v>4250</v>
      </c>
      <c r="V14" s="882"/>
      <c r="W14" s="881">
        <f t="shared" si="41"/>
        <v>5250</v>
      </c>
      <c r="X14" s="882"/>
      <c r="Y14" s="881">
        <f t="shared" si="41"/>
        <v>6000</v>
      </c>
      <c r="Z14" s="882"/>
      <c r="AA14" s="881">
        <f t="shared" si="41"/>
        <v>6250</v>
      </c>
      <c r="AB14" s="882"/>
      <c r="AC14" s="881">
        <f t="shared" si="41"/>
        <v>20500</v>
      </c>
      <c r="AD14" s="882"/>
      <c r="AE14" s="881">
        <f t="shared" si="41"/>
        <v>9250</v>
      </c>
      <c r="AF14" s="882"/>
      <c r="AG14" s="881">
        <f t="shared" si="41"/>
        <v>3500</v>
      </c>
      <c r="AH14" s="882"/>
      <c r="AI14">
        <f>AVERAGE(E14:AH14)</f>
        <v>5131.666666666667</v>
      </c>
      <c r="AJ14">
        <f>_xlfn.STDEV.P(E14:AH14)</f>
        <v>4548.6487615066035</v>
      </c>
      <c r="AK14">
        <f>MIN(E14:AH14)</f>
        <v>850</v>
      </c>
      <c r="AL14">
        <f>MAX(E14:AH14)</f>
        <v>20500</v>
      </c>
    </row>
    <row r="15" spans="4:96" x14ac:dyDescent="0.2">
      <c r="D15" s="128" t="s">
        <v>159</v>
      </c>
      <c r="E15" s="881">
        <f>F13</f>
        <v>130</v>
      </c>
      <c r="F15" s="882"/>
      <c r="G15" s="881">
        <f t="shared" ref="G15" si="42">H13</f>
        <v>30</v>
      </c>
      <c r="H15" s="882"/>
      <c r="I15" s="881">
        <f t="shared" ref="I15" si="43">J13</f>
        <v>30</v>
      </c>
      <c r="J15" s="882"/>
      <c r="K15" s="881">
        <f t="shared" ref="K15" si="44">L13</f>
        <v>160</v>
      </c>
      <c r="L15" s="882"/>
      <c r="M15" s="881">
        <f t="shared" ref="M15" si="45">N13</f>
        <v>45</v>
      </c>
      <c r="N15" s="882"/>
      <c r="O15" s="881">
        <f t="shared" ref="O15" si="46">P13</f>
        <v>30</v>
      </c>
      <c r="P15" s="882"/>
      <c r="Q15" s="881">
        <f t="shared" ref="Q15" si="47">R13</f>
        <v>45</v>
      </c>
      <c r="R15" s="882"/>
      <c r="S15" s="881">
        <f t="shared" ref="S15" si="48">T13</f>
        <v>225</v>
      </c>
      <c r="T15" s="882"/>
      <c r="U15" s="881">
        <f t="shared" ref="U15" si="49">V13</f>
        <v>50</v>
      </c>
      <c r="V15" s="882"/>
      <c r="W15" s="881">
        <f t="shared" ref="W15" si="50">X13</f>
        <v>80</v>
      </c>
      <c r="X15" s="882"/>
      <c r="Y15" s="881">
        <f t="shared" ref="Y15" si="51">Z13</f>
        <v>70</v>
      </c>
      <c r="Z15" s="882"/>
      <c r="AA15" s="881">
        <f t="shared" ref="AA15" si="52">AB13</f>
        <v>135</v>
      </c>
      <c r="AB15" s="882"/>
      <c r="AC15" s="881">
        <f t="shared" ref="AC15" si="53">AD13</f>
        <v>25</v>
      </c>
      <c r="AD15" s="882"/>
      <c r="AE15" s="881">
        <f t="shared" ref="AE15" si="54">AF13</f>
        <v>45</v>
      </c>
      <c r="AF15" s="882"/>
      <c r="AG15" s="881">
        <f t="shared" ref="AG15" si="55">AH13</f>
        <v>60</v>
      </c>
      <c r="AH15" s="882"/>
      <c r="AI15">
        <f>AVERAGE(E15:AH15)</f>
        <v>77.333333333333329</v>
      </c>
      <c r="AJ15">
        <f>_xlfn.STDEV.P(E15:AH15)</f>
        <v>56.829178733776857</v>
      </c>
      <c r="AK15">
        <f>MIN(E15:AH15)</f>
        <v>25</v>
      </c>
      <c r="AL15">
        <f>MAX(E15:AH15)</f>
        <v>225</v>
      </c>
    </row>
    <row r="16" spans="4:96" x14ac:dyDescent="0.2">
      <c r="D16" s="128" t="s">
        <v>124</v>
      </c>
      <c r="E16" s="893">
        <f>((E14-E15)/E14)*100</f>
        <v>84.705882352941174</v>
      </c>
      <c r="F16" s="894"/>
      <c r="G16" s="893">
        <f t="shared" ref="G16" si="56">((G14-G15)/G14)*100</f>
        <v>98.588235294117638</v>
      </c>
      <c r="H16" s="894"/>
      <c r="I16" s="893">
        <f t="shared" ref="I16" si="57">((I14-I15)/I14)*100</f>
        <v>98.909090909090907</v>
      </c>
      <c r="J16" s="894"/>
      <c r="K16" s="893">
        <f t="shared" ref="K16" si="58">((K14-K15)/K14)*100</f>
        <v>94.666666666666671</v>
      </c>
      <c r="L16" s="894"/>
      <c r="M16" s="893">
        <f t="shared" ref="M16" si="59">((M14-M15)/M14)*100</f>
        <v>98.285714285714292</v>
      </c>
      <c r="N16" s="894"/>
      <c r="O16" s="893">
        <f t="shared" ref="O16" si="60">((O14-O15)/O14)*100</f>
        <v>99.225806451612911</v>
      </c>
      <c r="P16" s="894"/>
      <c r="Q16" s="893">
        <f t="shared" ref="Q16" si="61">((Q14-Q15)/Q14)*100</f>
        <v>98.758620689655174</v>
      </c>
      <c r="R16" s="894"/>
      <c r="S16" s="893">
        <f t="shared" ref="S16" si="62">((S14-S15)/S14)*100</f>
        <v>92.800000000000011</v>
      </c>
      <c r="T16" s="894"/>
      <c r="U16" s="893">
        <f t="shared" ref="U16:AG16" si="63">((U14-U15)/U14)*100</f>
        <v>98.82352941176471</v>
      </c>
      <c r="V16" s="894"/>
      <c r="W16" s="893">
        <f t="shared" si="63"/>
        <v>98.476190476190467</v>
      </c>
      <c r="X16" s="894"/>
      <c r="Y16" s="893">
        <f t="shared" si="63"/>
        <v>98.833333333333329</v>
      </c>
      <c r="Z16" s="894"/>
      <c r="AA16" s="893">
        <f t="shared" si="63"/>
        <v>97.84</v>
      </c>
      <c r="AB16" s="894"/>
      <c r="AC16" s="893">
        <f t="shared" si="63"/>
        <v>99.878048780487802</v>
      </c>
      <c r="AD16" s="894"/>
      <c r="AE16" s="893">
        <f t="shared" si="63"/>
        <v>99.513513513513516</v>
      </c>
      <c r="AF16" s="894"/>
      <c r="AG16" s="893">
        <f t="shared" si="63"/>
        <v>98.285714285714292</v>
      </c>
      <c r="AH16" s="894"/>
      <c r="AI16">
        <f>AVERAGE(E16:AH16)</f>
        <v>97.172689763386842</v>
      </c>
      <c r="AJ16">
        <f>_xlfn.STDEV.P(E16:AH16)</f>
        <v>3.7901158623486895</v>
      </c>
    </row>
    <row r="17" spans="4:38" x14ac:dyDescent="0.2">
      <c r="D17" s="128" t="s">
        <v>120</v>
      </c>
      <c r="E17" s="129">
        <v>280</v>
      </c>
      <c r="F17" s="130">
        <v>36</v>
      </c>
      <c r="G17" s="129">
        <v>762</v>
      </c>
      <c r="H17" s="130">
        <v>34</v>
      </c>
      <c r="I17" s="129">
        <v>696</v>
      </c>
      <c r="J17" s="130">
        <v>37</v>
      </c>
      <c r="K17" s="129">
        <v>940</v>
      </c>
      <c r="L17" s="130">
        <v>72</v>
      </c>
      <c r="M17" s="129">
        <v>656</v>
      </c>
      <c r="N17" s="130">
        <v>58</v>
      </c>
      <c r="O17" s="129">
        <v>738</v>
      </c>
      <c r="P17" s="130">
        <v>46</v>
      </c>
      <c r="Q17" s="129">
        <v>1160</v>
      </c>
      <c r="R17" s="130">
        <v>60</v>
      </c>
      <c r="S17" s="129">
        <v>564</v>
      </c>
      <c r="T17" s="130">
        <v>82</v>
      </c>
      <c r="U17" s="129">
        <v>1668</v>
      </c>
      <c r="V17" s="130">
        <v>62</v>
      </c>
      <c r="W17" s="131">
        <v>1974</v>
      </c>
      <c r="X17">
        <v>38</v>
      </c>
      <c r="Y17" s="131">
        <v>2560</v>
      </c>
      <c r="Z17">
        <v>86</v>
      </c>
      <c r="AA17" s="131">
        <v>1394</v>
      </c>
      <c r="AB17">
        <v>42</v>
      </c>
      <c r="AC17">
        <v>8228</v>
      </c>
      <c r="AD17">
        <v>48</v>
      </c>
      <c r="AE17">
        <v>2458</v>
      </c>
      <c r="AF17">
        <v>45</v>
      </c>
      <c r="AG17">
        <v>752</v>
      </c>
      <c r="AH17" s="132">
        <v>116</v>
      </c>
    </row>
    <row r="18" spans="4:38" x14ac:dyDescent="0.2">
      <c r="D18" s="128" t="s">
        <v>160</v>
      </c>
      <c r="E18" s="881">
        <f>E17</f>
        <v>280</v>
      </c>
      <c r="F18" s="882"/>
      <c r="G18" s="881">
        <f t="shared" ref="G18" si="64">G17</f>
        <v>762</v>
      </c>
      <c r="H18" s="882"/>
      <c r="I18" s="881">
        <f t="shared" ref="I18" si="65">I17</f>
        <v>696</v>
      </c>
      <c r="J18" s="882"/>
      <c r="K18" s="881">
        <f t="shared" ref="K18" si="66">K17</f>
        <v>940</v>
      </c>
      <c r="L18" s="882"/>
      <c r="M18" s="881">
        <f t="shared" ref="M18" si="67">M17</f>
        <v>656</v>
      </c>
      <c r="N18" s="882"/>
      <c r="O18" s="881">
        <f t="shared" ref="O18" si="68">O17</f>
        <v>738</v>
      </c>
      <c r="P18" s="882"/>
      <c r="Q18" s="881">
        <f t="shared" ref="Q18" si="69">Q17</f>
        <v>1160</v>
      </c>
      <c r="R18" s="882"/>
      <c r="S18" s="881">
        <f t="shared" ref="S18" si="70">S17</f>
        <v>564</v>
      </c>
      <c r="T18" s="882"/>
      <c r="U18" s="881">
        <f t="shared" ref="U18:AG18" si="71">U17</f>
        <v>1668</v>
      </c>
      <c r="V18" s="882"/>
      <c r="W18" s="881">
        <f t="shared" si="71"/>
        <v>1974</v>
      </c>
      <c r="X18" s="882"/>
      <c r="Y18" s="881">
        <f t="shared" si="71"/>
        <v>2560</v>
      </c>
      <c r="Z18" s="882"/>
      <c r="AA18" s="881">
        <f t="shared" si="71"/>
        <v>1394</v>
      </c>
      <c r="AB18" s="882"/>
      <c r="AC18" s="881">
        <f t="shared" si="71"/>
        <v>8228</v>
      </c>
      <c r="AD18" s="882"/>
      <c r="AE18" s="881">
        <f t="shared" si="71"/>
        <v>2458</v>
      </c>
      <c r="AF18" s="882"/>
      <c r="AG18" s="881">
        <f t="shared" si="71"/>
        <v>752</v>
      </c>
      <c r="AH18" s="882"/>
      <c r="AI18">
        <f>AVERAGE(E18:AH18)</f>
        <v>1655.3333333333333</v>
      </c>
      <c r="AJ18">
        <f>_xlfn.STDEV.P(E18:AH18)</f>
        <v>1880.5459727312054</v>
      </c>
      <c r="AK18">
        <f>MIN(E18:AH18)</f>
        <v>280</v>
      </c>
      <c r="AL18">
        <f>MAX(E18:AH18)</f>
        <v>8228</v>
      </c>
    </row>
    <row r="19" spans="4:38" x14ac:dyDescent="0.2">
      <c r="D19" s="128" t="s">
        <v>161</v>
      </c>
      <c r="E19" s="881">
        <f>F17</f>
        <v>36</v>
      </c>
      <c r="F19" s="882"/>
      <c r="G19" s="881">
        <f t="shared" ref="G19" si="72">H17</f>
        <v>34</v>
      </c>
      <c r="H19" s="882"/>
      <c r="I19" s="881">
        <f t="shared" ref="I19" si="73">J17</f>
        <v>37</v>
      </c>
      <c r="J19" s="882"/>
      <c r="K19" s="881">
        <f t="shared" ref="K19" si="74">L17</f>
        <v>72</v>
      </c>
      <c r="L19" s="882"/>
      <c r="M19" s="881">
        <f t="shared" ref="M19" si="75">N17</f>
        <v>58</v>
      </c>
      <c r="N19" s="882"/>
      <c r="O19" s="881">
        <f t="shared" ref="O19" si="76">P17</f>
        <v>46</v>
      </c>
      <c r="P19" s="882"/>
      <c r="Q19" s="881">
        <f t="shared" ref="Q19" si="77">R17</f>
        <v>60</v>
      </c>
      <c r="R19" s="882"/>
      <c r="S19" s="881">
        <f t="shared" ref="S19" si="78">T17</f>
        <v>82</v>
      </c>
      <c r="T19" s="882"/>
      <c r="U19" s="881">
        <f t="shared" ref="U19" si="79">V17</f>
        <v>62</v>
      </c>
      <c r="V19" s="882"/>
      <c r="W19" s="881">
        <f t="shared" ref="W19" si="80">X17</f>
        <v>38</v>
      </c>
      <c r="X19" s="882"/>
      <c r="Y19" s="881">
        <f t="shared" ref="Y19" si="81">Z17</f>
        <v>86</v>
      </c>
      <c r="Z19" s="882"/>
      <c r="AA19" s="881">
        <f t="shared" ref="AA19" si="82">AB17</f>
        <v>42</v>
      </c>
      <c r="AB19" s="882"/>
      <c r="AC19" s="881">
        <f t="shared" ref="AC19" si="83">AD17</f>
        <v>48</v>
      </c>
      <c r="AD19" s="882"/>
      <c r="AE19" s="881">
        <f t="shared" ref="AE19" si="84">AF17</f>
        <v>45</v>
      </c>
      <c r="AF19" s="882"/>
      <c r="AG19" s="881">
        <f t="shared" ref="AG19" si="85">AH17</f>
        <v>116</v>
      </c>
      <c r="AH19" s="882"/>
      <c r="AI19">
        <f>AVERAGE(E19:AH19)</f>
        <v>57.466666666666669</v>
      </c>
      <c r="AJ19">
        <f>_xlfn.STDEV.P(E19:AH19)</f>
        <v>22.36922489095727</v>
      </c>
      <c r="AK19">
        <f>MIN(E19:AH19)</f>
        <v>34</v>
      </c>
      <c r="AL19">
        <f>MAX(E19:AH19)</f>
        <v>116</v>
      </c>
    </row>
    <row r="20" spans="4:38" x14ac:dyDescent="0.2">
      <c r="D20" s="128" t="s">
        <v>123</v>
      </c>
      <c r="E20" s="895">
        <f>((E18-E19)/E18)*100</f>
        <v>87.142857142857139</v>
      </c>
      <c r="F20" s="896"/>
      <c r="G20" s="895">
        <f t="shared" ref="G20" si="86">((G18-G19)/G18)*100</f>
        <v>95.538057742782158</v>
      </c>
      <c r="H20" s="896"/>
      <c r="I20" s="895">
        <f t="shared" ref="I20" si="87">((I18-I19)/I18)*100</f>
        <v>94.68390804597702</v>
      </c>
      <c r="J20" s="896"/>
      <c r="K20" s="895">
        <f t="shared" ref="K20" si="88">((K18-K19)/K18)*100</f>
        <v>92.340425531914889</v>
      </c>
      <c r="L20" s="896"/>
      <c r="M20" s="895">
        <f t="shared" ref="M20" si="89">((M18-M19)/M18)*100</f>
        <v>91.158536585365852</v>
      </c>
      <c r="N20" s="896"/>
      <c r="O20" s="895">
        <f t="shared" ref="O20" si="90">((O18-O19)/O18)*100</f>
        <v>93.766937669376688</v>
      </c>
      <c r="P20" s="896"/>
      <c r="Q20" s="895">
        <f t="shared" ref="Q20" si="91">((Q18-Q19)/Q18)*100</f>
        <v>94.827586206896555</v>
      </c>
      <c r="R20" s="896"/>
      <c r="S20" s="895">
        <f t="shared" ref="S20" si="92">((S18-S19)/S18)*100</f>
        <v>85.460992907801412</v>
      </c>
      <c r="T20" s="896"/>
      <c r="U20" s="895">
        <f t="shared" ref="U20:AG20" si="93">((U18-U19)/U18)*100</f>
        <v>96.282973621103125</v>
      </c>
      <c r="V20" s="896"/>
      <c r="W20" s="895">
        <f t="shared" si="93"/>
        <v>98.074974670719357</v>
      </c>
      <c r="X20" s="896"/>
      <c r="Y20" s="895">
        <f t="shared" si="93"/>
        <v>96.640625</v>
      </c>
      <c r="Z20" s="896"/>
      <c r="AA20" s="895">
        <f t="shared" si="93"/>
        <v>96.987087517934</v>
      </c>
      <c r="AB20" s="896"/>
      <c r="AC20" s="895">
        <f t="shared" si="93"/>
        <v>99.41662615459407</v>
      </c>
      <c r="AD20" s="896"/>
      <c r="AE20" s="895">
        <f t="shared" si="93"/>
        <v>98.169243287225385</v>
      </c>
      <c r="AF20" s="896"/>
      <c r="AG20" s="895">
        <f t="shared" si="93"/>
        <v>84.574468085106375</v>
      </c>
      <c r="AH20" s="896"/>
      <c r="AI20">
        <f>AVERAGE(E20:AH20)</f>
        <v>93.671020011310262</v>
      </c>
      <c r="AJ20">
        <f>_xlfn.STDEV.P(E20:AH20)</f>
        <v>4.5165500334811766</v>
      </c>
    </row>
    <row r="21" spans="4:38" x14ac:dyDescent="0.2">
      <c r="D21" s="128" t="s">
        <v>117</v>
      </c>
      <c r="E21" s="129">
        <v>74</v>
      </c>
      <c r="F21" s="130">
        <v>49</v>
      </c>
      <c r="G21" s="129">
        <v>107</v>
      </c>
      <c r="H21" s="130">
        <v>34</v>
      </c>
      <c r="I21" s="129">
        <v>141</v>
      </c>
      <c r="J21" s="130">
        <v>57</v>
      </c>
      <c r="K21" s="129">
        <v>350</v>
      </c>
      <c r="L21" s="130">
        <v>51</v>
      </c>
      <c r="M21" s="129">
        <v>280</v>
      </c>
      <c r="N21" s="130">
        <v>56</v>
      </c>
      <c r="O21" s="129">
        <v>465</v>
      </c>
      <c r="P21" s="130">
        <v>82</v>
      </c>
      <c r="Q21" s="129">
        <v>448</v>
      </c>
      <c r="R21" s="130">
        <v>83</v>
      </c>
      <c r="S21" s="129">
        <v>472</v>
      </c>
      <c r="T21" s="130">
        <v>75</v>
      </c>
      <c r="U21" s="129">
        <v>548</v>
      </c>
      <c r="V21" s="130">
        <v>78</v>
      </c>
      <c r="W21" s="131">
        <v>560</v>
      </c>
      <c r="X21">
        <v>38</v>
      </c>
      <c r="Y21" s="131">
        <v>480</v>
      </c>
      <c r="Z21">
        <v>43</v>
      </c>
      <c r="AA21" s="131">
        <v>219</v>
      </c>
      <c r="AB21">
        <v>55</v>
      </c>
      <c r="AC21">
        <v>638</v>
      </c>
      <c r="AD21">
        <v>29</v>
      </c>
      <c r="AE21">
        <v>1006</v>
      </c>
      <c r="AF21">
        <v>37</v>
      </c>
      <c r="AG21">
        <v>165</v>
      </c>
      <c r="AH21" s="132">
        <v>165</v>
      </c>
    </row>
    <row r="22" spans="4:38" x14ac:dyDescent="0.2">
      <c r="D22" s="128" t="s">
        <v>162</v>
      </c>
      <c r="E22" s="881">
        <f>E21</f>
        <v>74</v>
      </c>
      <c r="F22" s="882"/>
      <c r="G22" s="881">
        <f t="shared" ref="G22" si="94">G21</f>
        <v>107</v>
      </c>
      <c r="H22" s="882"/>
      <c r="I22" s="881">
        <f t="shared" ref="I22" si="95">I21</f>
        <v>141</v>
      </c>
      <c r="J22" s="882"/>
      <c r="K22" s="881">
        <f t="shared" ref="K22" si="96">K21</f>
        <v>350</v>
      </c>
      <c r="L22" s="882"/>
      <c r="M22" s="881">
        <f t="shared" ref="M22" si="97">M21</f>
        <v>280</v>
      </c>
      <c r="N22" s="882"/>
      <c r="O22" s="881">
        <f t="shared" ref="O22" si="98">O21</f>
        <v>465</v>
      </c>
      <c r="P22" s="882"/>
      <c r="Q22" s="881">
        <f t="shared" ref="Q22" si="99">Q21</f>
        <v>448</v>
      </c>
      <c r="R22" s="882"/>
      <c r="S22" s="881">
        <f t="shared" ref="S22" si="100">S21</f>
        <v>472</v>
      </c>
      <c r="T22" s="882"/>
      <c r="U22" s="881">
        <f t="shared" ref="U22:AG22" si="101">U21</f>
        <v>548</v>
      </c>
      <c r="V22" s="882"/>
      <c r="W22" s="881">
        <f t="shared" si="101"/>
        <v>560</v>
      </c>
      <c r="X22" s="882"/>
      <c r="Y22" s="881">
        <f t="shared" si="101"/>
        <v>480</v>
      </c>
      <c r="Z22" s="882"/>
      <c r="AA22" s="881">
        <f t="shared" si="101"/>
        <v>219</v>
      </c>
      <c r="AB22" s="882"/>
      <c r="AC22" s="881">
        <f t="shared" si="101"/>
        <v>638</v>
      </c>
      <c r="AD22" s="882"/>
      <c r="AE22" s="881">
        <f t="shared" si="101"/>
        <v>1006</v>
      </c>
      <c r="AF22" s="882"/>
      <c r="AG22" s="881">
        <f t="shared" si="101"/>
        <v>165</v>
      </c>
      <c r="AH22" s="882"/>
    </row>
    <row r="23" spans="4:38" x14ac:dyDescent="0.2">
      <c r="D23" s="128" t="s">
        <v>163</v>
      </c>
      <c r="E23" s="897">
        <f>F21</f>
        <v>49</v>
      </c>
      <c r="F23" s="898"/>
      <c r="G23" s="897">
        <f t="shared" ref="G23" si="102">H21</f>
        <v>34</v>
      </c>
      <c r="H23" s="898"/>
      <c r="I23" s="897">
        <f t="shared" ref="I23" si="103">J21</f>
        <v>57</v>
      </c>
      <c r="J23" s="898"/>
      <c r="K23" s="897">
        <f t="shared" ref="K23" si="104">L21</f>
        <v>51</v>
      </c>
      <c r="L23" s="898"/>
      <c r="M23" s="897">
        <f t="shared" ref="M23" si="105">N21</f>
        <v>56</v>
      </c>
      <c r="N23" s="898"/>
      <c r="O23" s="897">
        <f t="shared" ref="O23" si="106">P21</f>
        <v>82</v>
      </c>
      <c r="P23" s="898"/>
      <c r="Q23" s="897">
        <f t="shared" ref="Q23" si="107">R21</f>
        <v>83</v>
      </c>
      <c r="R23" s="898"/>
      <c r="S23" s="897">
        <f t="shared" ref="S23" si="108">T21</f>
        <v>75</v>
      </c>
      <c r="T23" s="898"/>
      <c r="U23" s="897">
        <f t="shared" ref="U23" si="109">V21</f>
        <v>78</v>
      </c>
      <c r="V23" s="898"/>
      <c r="W23" s="897">
        <f t="shared" ref="W23" si="110">X21</f>
        <v>38</v>
      </c>
      <c r="X23" s="898"/>
      <c r="Y23" s="897">
        <f t="shared" ref="Y23" si="111">Z21</f>
        <v>43</v>
      </c>
      <c r="Z23" s="898"/>
      <c r="AA23" s="897">
        <f t="shared" ref="AA23" si="112">AB21</f>
        <v>55</v>
      </c>
      <c r="AB23" s="898"/>
      <c r="AC23" s="897">
        <f t="shared" ref="AC23" si="113">AD21</f>
        <v>29</v>
      </c>
      <c r="AD23" s="898"/>
      <c r="AE23" s="897">
        <f t="shared" ref="AE23" si="114">AF21</f>
        <v>37</v>
      </c>
      <c r="AF23" s="898"/>
      <c r="AG23" s="897">
        <f t="shared" ref="AG23" si="115">AH21</f>
        <v>165</v>
      </c>
      <c r="AH23" s="898"/>
    </row>
    <row r="24" spans="4:38" x14ac:dyDescent="0.2">
      <c r="D24" s="128" t="s">
        <v>164</v>
      </c>
      <c r="E24" s="881">
        <f>((E22-E23)/E22)*100</f>
        <v>33.783783783783782</v>
      </c>
      <c r="F24" s="882"/>
      <c r="G24" s="881">
        <f t="shared" ref="G24" si="116">((G22-G23)/G22)*100</f>
        <v>68.224299065420553</v>
      </c>
      <c r="H24" s="882"/>
      <c r="I24" s="881">
        <f t="shared" ref="I24" si="117">((I22-I23)/I22)*100</f>
        <v>59.574468085106382</v>
      </c>
      <c r="J24" s="882"/>
      <c r="K24" s="881">
        <f t="shared" ref="K24" si="118">((K22-K23)/K22)*100</f>
        <v>85.428571428571431</v>
      </c>
      <c r="L24" s="882"/>
      <c r="M24" s="881">
        <f t="shared" ref="M24" si="119">((M22-M23)/M22)*100</f>
        <v>80</v>
      </c>
      <c r="N24" s="882"/>
      <c r="O24" s="881">
        <f t="shared" ref="O24" si="120">((O22-O23)/O22)*100</f>
        <v>82.365591397849457</v>
      </c>
      <c r="P24" s="882"/>
      <c r="Q24" s="881">
        <f t="shared" ref="Q24" si="121">((Q22-Q23)/Q22)*100</f>
        <v>81.473214285714292</v>
      </c>
      <c r="R24" s="882"/>
      <c r="S24" s="881">
        <f t="shared" ref="S24" si="122">((S22-S23)/S22)*100</f>
        <v>84.110169491525426</v>
      </c>
      <c r="T24" s="882"/>
      <c r="U24" s="881">
        <f t="shared" ref="U24:AG24" si="123">((U22-U23)/U22)*100</f>
        <v>85.766423357664237</v>
      </c>
      <c r="V24" s="882"/>
      <c r="W24" s="881">
        <f t="shared" si="123"/>
        <v>93.214285714285722</v>
      </c>
      <c r="X24" s="882"/>
      <c r="Y24" s="881">
        <f t="shared" si="123"/>
        <v>91.041666666666671</v>
      </c>
      <c r="Z24" s="882"/>
      <c r="AA24" s="881">
        <f t="shared" si="123"/>
        <v>74.885844748858446</v>
      </c>
      <c r="AB24" s="882"/>
      <c r="AC24" s="881">
        <f t="shared" si="123"/>
        <v>95.454545454545453</v>
      </c>
      <c r="AD24" s="882"/>
      <c r="AE24" s="881">
        <f t="shared" si="123"/>
        <v>96.322067594433406</v>
      </c>
      <c r="AF24" s="882"/>
      <c r="AG24" s="881">
        <f t="shared" si="123"/>
        <v>0</v>
      </c>
      <c r="AH24" s="882"/>
    </row>
    <row r="25" spans="4:38" x14ac:dyDescent="0.2">
      <c r="D25" s="128" t="s">
        <v>118</v>
      </c>
      <c r="E25" s="129">
        <v>360</v>
      </c>
      <c r="F25" s="130">
        <v>1113</v>
      </c>
      <c r="G25" s="129">
        <v>421</v>
      </c>
      <c r="H25" s="130">
        <v>447</v>
      </c>
      <c r="I25" s="129">
        <v>602</v>
      </c>
      <c r="J25" s="130">
        <v>498</v>
      </c>
      <c r="K25" s="129">
        <v>926</v>
      </c>
      <c r="L25" s="130">
        <v>973</v>
      </c>
      <c r="M25" s="129">
        <v>476</v>
      </c>
      <c r="N25" s="130">
        <v>1148</v>
      </c>
      <c r="O25" s="129">
        <v>446</v>
      </c>
      <c r="P25" s="130">
        <v>678</v>
      </c>
      <c r="Q25" s="129">
        <v>862</v>
      </c>
      <c r="R25" s="130">
        <v>722</v>
      </c>
      <c r="S25" s="129">
        <v>856</v>
      </c>
      <c r="T25" s="130">
        <v>871</v>
      </c>
      <c r="U25" s="129">
        <v>788</v>
      </c>
      <c r="V25" s="130">
        <v>906</v>
      </c>
      <c r="X25">
        <v>653</v>
      </c>
      <c r="Z25">
        <v>677</v>
      </c>
      <c r="AA25">
        <v>832</v>
      </c>
      <c r="AB25">
        <v>774</v>
      </c>
      <c r="AC25">
        <v>914</v>
      </c>
      <c r="AD25">
        <v>736</v>
      </c>
      <c r="AE25">
        <v>1387</v>
      </c>
      <c r="AF25">
        <v>928</v>
      </c>
      <c r="AG25">
        <v>1280</v>
      </c>
      <c r="AH25" s="132">
        <v>1221</v>
      </c>
    </row>
    <row r="26" spans="4:38" x14ac:dyDescent="0.2">
      <c r="D26" s="128" t="s">
        <v>165</v>
      </c>
      <c r="E26" s="881">
        <f>E25</f>
        <v>360</v>
      </c>
      <c r="F26" s="882"/>
      <c r="G26" s="881">
        <f t="shared" ref="G26" si="124">G25</f>
        <v>421</v>
      </c>
      <c r="H26" s="882"/>
      <c r="I26" s="881">
        <f t="shared" ref="I26" si="125">I25</f>
        <v>602</v>
      </c>
      <c r="J26" s="882"/>
      <c r="K26" s="881">
        <f t="shared" ref="K26" si="126">K25</f>
        <v>926</v>
      </c>
      <c r="L26" s="882"/>
      <c r="M26" s="881">
        <f t="shared" ref="M26" si="127">M25</f>
        <v>476</v>
      </c>
      <c r="N26" s="882"/>
      <c r="O26" s="881">
        <f t="shared" ref="O26" si="128">O25</f>
        <v>446</v>
      </c>
      <c r="P26" s="882"/>
      <c r="Q26" s="881">
        <f t="shared" ref="Q26" si="129">Q25</f>
        <v>862</v>
      </c>
      <c r="R26" s="882"/>
      <c r="S26" s="881">
        <f t="shared" ref="S26" si="130">S25</f>
        <v>856</v>
      </c>
      <c r="T26" s="882"/>
      <c r="U26" s="881">
        <f t="shared" ref="U26:AG26" si="131">U25</f>
        <v>788</v>
      </c>
      <c r="V26" s="882"/>
      <c r="W26" s="881">
        <f t="shared" si="131"/>
        <v>0</v>
      </c>
      <c r="X26" s="882"/>
      <c r="Y26" s="881">
        <f t="shared" si="131"/>
        <v>0</v>
      </c>
      <c r="Z26" s="882"/>
      <c r="AA26" s="881">
        <f t="shared" si="131"/>
        <v>832</v>
      </c>
      <c r="AB26" s="882"/>
      <c r="AC26" s="881">
        <f t="shared" si="131"/>
        <v>914</v>
      </c>
      <c r="AD26" s="882"/>
      <c r="AE26" s="881">
        <f t="shared" si="131"/>
        <v>1387</v>
      </c>
      <c r="AF26" s="882"/>
      <c r="AG26" s="881">
        <f t="shared" si="131"/>
        <v>1280</v>
      </c>
      <c r="AH26" s="882"/>
    </row>
    <row r="27" spans="4:38" x14ac:dyDescent="0.2">
      <c r="D27" s="128" t="s">
        <v>166</v>
      </c>
      <c r="E27" s="881">
        <f>F25</f>
        <v>1113</v>
      </c>
      <c r="F27" s="882"/>
      <c r="G27" s="881">
        <f t="shared" ref="G27" si="132">H25</f>
        <v>447</v>
      </c>
      <c r="H27" s="882"/>
      <c r="I27" s="881">
        <f t="shared" ref="I27" si="133">J25</f>
        <v>498</v>
      </c>
      <c r="J27" s="882"/>
      <c r="K27" s="881">
        <f t="shared" ref="K27" si="134">L25</f>
        <v>973</v>
      </c>
      <c r="L27" s="882"/>
      <c r="M27" s="881">
        <f t="shared" ref="M27" si="135">N25</f>
        <v>1148</v>
      </c>
      <c r="N27" s="882"/>
      <c r="O27" s="881">
        <f t="shared" ref="O27" si="136">P25</f>
        <v>678</v>
      </c>
      <c r="P27" s="882"/>
      <c r="Q27" s="881">
        <f t="shared" ref="Q27" si="137">R25</f>
        <v>722</v>
      </c>
      <c r="R27" s="882"/>
      <c r="S27" s="881">
        <f t="shared" ref="S27" si="138">T25</f>
        <v>871</v>
      </c>
      <c r="T27" s="882"/>
      <c r="U27" s="881">
        <f t="shared" ref="U27" si="139">V25</f>
        <v>906</v>
      </c>
      <c r="V27" s="882"/>
      <c r="W27" s="881">
        <f t="shared" ref="W27" si="140">X25</f>
        <v>653</v>
      </c>
      <c r="X27" s="882"/>
      <c r="Y27" s="881">
        <f t="shared" ref="Y27" si="141">Z25</f>
        <v>677</v>
      </c>
      <c r="Z27" s="882"/>
      <c r="AA27" s="881">
        <f t="shared" ref="AA27" si="142">AB25</f>
        <v>774</v>
      </c>
      <c r="AB27" s="882"/>
      <c r="AC27" s="881">
        <f t="shared" ref="AC27" si="143">AD25</f>
        <v>736</v>
      </c>
      <c r="AD27" s="882"/>
      <c r="AE27" s="881">
        <f t="shared" ref="AE27" si="144">AF25</f>
        <v>928</v>
      </c>
      <c r="AF27" s="882"/>
      <c r="AG27" s="881">
        <f t="shared" ref="AG27" si="145">AH25</f>
        <v>1221</v>
      </c>
      <c r="AH27" s="882"/>
    </row>
    <row r="28" spans="4:38" ht="17" thickBot="1" x14ac:dyDescent="0.25">
      <c r="D28" s="135" t="s">
        <v>139</v>
      </c>
      <c r="E28" s="899">
        <f>E23/E27</f>
        <v>4.40251572327044E-2</v>
      </c>
      <c r="F28" s="900"/>
      <c r="G28" s="899">
        <f t="shared" ref="G28" si="146">G23/G27</f>
        <v>7.6062639821029079E-2</v>
      </c>
      <c r="H28" s="900"/>
      <c r="I28" s="899">
        <f t="shared" ref="I28" si="147">I23/I27</f>
        <v>0.1144578313253012</v>
      </c>
      <c r="J28" s="900"/>
      <c r="K28" s="899">
        <f t="shared" ref="K28" si="148">K23/K27</f>
        <v>5.2415210688591986E-2</v>
      </c>
      <c r="L28" s="900"/>
      <c r="M28" s="899">
        <f t="shared" ref="M28" si="149">M23/M27</f>
        <v>4.878048780487805E-2</v>
      </c>
      <c r="N28" s="900"/>
      <c r="O28" s="899">
        <f t="shared" ref="O28" si="150">O23/O27</f>
        <v>0.12094395280235988</v>
      </c>
      <c r="P28" s="900"/>
      <c r="Q28" s="899">
        <f t="shared" ref="Q28" si="151">Q23/Q27</f>
        <v>0.1149584487534626</v>
      </c>
      <c r="R28" s="900"/>
      <c r="S28" s="899">
        <f t="shared" ref="S28" si="152">S23/S27</f>
        <v>8.6107921928817457E-2</v>
      </c>
      <c r="T28" s="900"/>
      <c r="U28" s="899">
        <f t="shared" ref="U28:AG28" si="153">U23/U27</f>
        <v>8.6092715231788075E-2</v>
      </c>
      <c r="V28" s="900"/>
      <c r="W28" s="899">
        <f t="shared" si="153"/>
        <v>5.8192955589586523E-2</v>
      </c>
      <c r="X28" s="900"/>
      <c r="Y28" s="899">
        <f t="shared" si="153"/>
        <v>6.3515509601181686E-2</v>
      </c>
      <c r="Z28" s="900"/>
      <c r="AA28" s="899">
        <f t="shared" si="153"/>
        <v>7.10594315245478E-2</v>
      </c>
      <c r="AB28" s="900"/>
      <c r="AC28" s="899">
        <f t="shared" si="153"/>
        <v>3.940217391304348E-2</v>
      </c>
      <c r="AD28" s="900"/>
      <c r="AE28" s="899">
        <f t="shared" si="153"/>
        <v>3.9870689655172417E-2</v>
      </c>
      <c r="AF28" s="900"/>
      <c r="AG28" s="899">
        <f t="shared" si="153"/>
        <v>0.13513513513513514</v>
      </c>
      <c r="AH28" s="900"/>
    </row>
    <row r="29" spans="4:38" x14ac:dyDescent="0.2">
      <c r="D29" s="136" t="s">
        <v>149</v>
      </c>
      <c r="E29" s="901">
        <v>35</v>
      </c>
      <c r="F29" s="902"/>
      <c r="G29" s="901">
        <v>35</v>
      </c>
      <c r="H29" s="902"/>
      <c r="I29" s="901">
        <v>35</v>
      </c>
      <c r="J29" s="902"/>
      <c r="K29" s="901">
        <v>35</v>
      </c>
      <c r="L29" s="902"/>
      <c r="M29" s="901">
        <v>40</v>
      </c>
      <c r="N29" s="902"/>
      <c r="O29" s="901">
        <v>40</v>
      </c>
      <c r="P29" s="902"/>
      <c r="Q29" s="901">
        <v>40</v>
      </c>
      <c r="R29" s="902"/>
      <c r="S29" s="901">
        <v>30</v>
      </c>
      <c r="T29" s="902"/>
      <c r="U29" s="901">
        <v>24</v>
      </c>
      <c r="V29" s="902"/>
      <c r="W29" s="901">
        <v>24</v>
      </c>
      <c r="X29" s="902"/>
      <c r="Y29" s="901">
        <v>24</v>
      </c>
      <c r="Z29" s="902"/>
      <c r="AA29" s="901">
        <v>20</v>
      </c>
      <c r="AB29" s="902"/>
      <c r="AC29" s="901">
        <v>20</v>
      </c>
      <c r="AD29" s="902"/>
      <c r="AE29" s="901">
        <v>15</v>
      </c>
      <c r="AF29" s="902"/>
      <c r="AG29" s="901">
        <v>15</v>
      </c>
      <c r="AH29" s="903"/>
    </row>
    <row r="30" spans="4:38" x14ac:dyDescent="0.2">
      <c r="D30" s="136" t="s">
        <v>167</v>
      </c>
      <c r="E30" s="904">
        <f>(E10/E29)*24</f>
        <v>1141.0285714285715</v>
      </c>
      <c r="F30" s="905"/>
      <c r="G30" s="904">
        <f t="shared" ref="G30" si="154">(G10/G29)*24</f>
        <v>2958.8571428571431</v>
      </c>
      <c r="H30" s="905"/>
      <c r="I30" s="904">
        <f t="shared" ref="I30" si="155">(I10/I29)*24</f>
        <v>3570.5142857142855</v>
      </c>
      <c r="J30" s="905"/>
      <c r="K30" s="904">
        <f t="shared" ref="K30" si="156">(K10/K29)*24</f>
        <v>3717.2571428571428</v>
      </c>
      <c r="L30" s="905"/>
      <c r="M30" s="904">
        <f t="shared" ref="M30" si="157">(M10/M29)*24</f>
        <v>2787</v>
      </c>
      <c r="N30" s="905"/>
      <c r="O30" s="904">
        <f t="shared" ref="O30" si="158">(O10/O29)*24</f>
        <v>3084.6000000000004</v>
      </c>
      <c r="P30" s="905"/>
      <c r="Q30" s="904">
        <f t="shared" ref="Q30" si="159">(Q10/Q29)*24</f>
        <v>3113.3999999999996</v>
      </c>
      <c r="R30" s="905"/>
      <c r="S30" s="904">
        <f t="shared" ref="S30" si="160">(S10/S29)*24</f>
        <v>4011.2</v>
      </c>
      <c r="T30" s="905"/>
      <c r="U30" s="904">
        <f t="shared" ref="U30" si="161">(U10/U29)*24</f>
        <v>6817</v>
      </c>
      <c r="V30" s="905"/>
      <c r="W30" s="904">
        <f t="shared" ref="W30" si="162">(W10/W29)*24</f>
        <v>6137</v>
      </c>
      <c r="X30" s="905"/>
      <c r="Y30" s="904">
        <f t="shared" ref="Y30" si="163">(Y10/Y29)*24</f>
        <v>8829</v>
      </c>
      <c r="Z30" s="905"/>
      <c r="AA30" s="904">
        <f t="shared" ref="AA30" si="164">(AA10/AA29)*24</f>
        <v>9884.4000000000015</v>
      </c>
      <c r="AB30" s="905"/>
      <c r="AC30" s="904">
        <f t="shared" ref="AC30" si="165">(AC10/AC29)*24</f>
        <v>38850</v>
      </c>
      <c r="AD30" s="905"/>
      <c r="AE30" s="904">
        <f t="shared" ref="AE30" si="166">(AE10/AE29)*24</f>
        <v>28644.799999999999</v>
      </c>
      <c r="AF30" s="905"/>
      <c r="AG30" s="904">
        <f t="shared" ref="AG30" si="167">(AG10/AG29)*24</f>
        <v>11798.400000000001</v>
      </c>
      <c r="AH30" s="906"/>
    </row>
    <row r="31" spans="4:38" ht="17" thickBot="1" x14ac:dyDescent="0.25">
      <c r="D31" s="136" t="s">
        <v>168</v>
      </c>
      <c r="E31" s="907">
        <f>E30/1000</f>
        <v>1.1410285714285715</v>
      </c>
      <c r="F31" s="912"/>
      <c r="G31" s="907">
        <f t="shared" ref="G31" si="168">G30/1000</f>
        <v>2.9588571428571431</v>
      </c>
      <c r="H31" s="912"/>
      <c r="I31" s="907">
        <f t="shared" ref="I31" si="169">I30/1000</f>
        <v>3.5705142857142853</v>
      </c>
      <c r="J31" s="912"/>
      <c r="K31" s="907">
        <f t="shared" ref="K31" si="170">K30/1000</f>
        <v>3.7172571428571426</v>
      </c>
      <c r="L31" s="912"/>
      <c r="M31" s="907">
        <f t="shared" ref="M31" si="171">M30/1000</f>
        <v>2.7869999999999999</v>
      </c>
      <c r="N31" s="912"/>
      <c r="O31" s="907">
        <f t="shared" ref="O31" si="172">O30/1000</f>
        <v>3.0846000000000005</v>
      </c>
      <c r="P31" s="912"/>
      <c r="Q31" s="907">
        <f t="shared" ref="Q31" si="173">Q30/1000</f>
        <v>3.1133999999999995</v>
      </c>
      <c r="R31" s="912"/>
      <c r="S31" s="907">
        <f t="shared" ref="S31" si="174">S30/1000</f>
        <v>4.0111999999999997</v>
      </c>
      <c r="T31" s="912"/>
      <c r="U31" s="907">
        <f t="shared" ref="U31" si="175">U30/1000</f>
        <v>6.8170000000000002</v>
      </c>
      <c r="V31" s="912"/>
      <c r="W31" s="907">
        <f t="shared" ref="W31" si="176">W30/1000</f>
        <v>6.1369999999999996</v>
      </c>
      <c r="X31" s="912"/>
      <c r="Y31" s="907">
        <f t="shared" ref="Y31" si="177">Y30/1000</f>
        <v>8.8290000000000006</v>
      </c>
      <c r="Z31" s="912"/>
      <c r="AA31" s="907">
        <f t="shared" ref="AA31" si="178">AA30/1000</f>
        <v>9.8844000000000012</v>
      </c>
      <c r="AB31" s="912"/>
      <c r="AC31" s="907">
        <f t="shared" ref="AC31" si="179">AC30/1000</f>
        <v>38.85</v>
      </c>
      <c r="AD31" s="912"/>
      <c r="AE31" s="907">
        <f t="shared" ref="AE31" si="180">AE30/1000</f>
        <v>28.6448</v>
      </c>
      <c r="AF31" s="912"/>
      <c r="AG31" s="907">
        <f t="shared" ref="AG31" si="181">AG30/1000</f>
        <v>11.798400000000001</v>
      </c>
      <c r="AH31" s="908"/>
      <c r="AK31">
        <f>MIN(E31:AH31)</f>
        <v>1.1410285714285715</v>
      </c>
      <c r="AL31">
        <f>MAX(E31:AH31)</f>
        <v>38.85</v>
      </c>
    </row>
    <row r="32" spans="4:38" ht="17" thickBot="1" x14ac:dyDescent="0.25">
      <c r="D32" s="136" t="s">
        <v>169</v>
      </c>
      <c r="E32" s="909" t="s">
        <v>170</v>
      </c>
      <c r="F32" s="910"/>
      <c r="G32" s="910"/>
      <c r="H32" s="911"/>
      <c r="I32" s="909" t="s">
        <v>171</v>
      </c>
      <c r="J32" s="910"/>
      <c r="K32" s="910"/>
      <c r="L32" s="910"/>
      <c r="M32" s="910"/>
      <c r="N32" s="910"/>
      <c r="O32" s="910"/>
      <c r="P32" s="910"/>
      <c r="Q32" s="910"/>
      <c r="R32" s="910"/>
      <c r="S32" s="910"/>
      <c r="T32" s="910"/>
      <c r="U32" s="910"/>
      <c r="V32" s="910"/>
      <c r="W32" s="910"/>
      <c r="X32" s="910"/>
      <c r="Y32" s="910"/>
      <c r="Z32" s="910"/>
      <c r="AA32" s="910"/>
      <c r="AB32" s="910"/>
      <c r="AC32" s="910"/>
      <c r="AD32" s="910"/>
      <c r="AE32" s="910"/>
      <c r="AF32" s="910"/>
      <c r="AG32" s="910"/>
      <c r="AH32" s="911"/>
    </row>
    <row r="42" spans="7:7" x14ac:dyDescent="0.2">
      <c r="G42" s="137"/>
    </row>
  </sheetData>
  <mergeCells count="471">
    <mergeCell ref="AG31:AH31"/>
    <mergeCell ref="E32:H32"/>
    <mergeCell ref="I32:AH32"/>
    <mergeCell ref="U31:V31"/>
    <mergeCell ref="W31:X31"/>
    <mergeCell ref="Y31:Z31"/>
    <mergeCell ref="AA31:AB31"/>
    <mergeCell ref="AC31:AD31"/>
    <mergeCell ref="AE31:AF31"/>
    <mergeCell ref="E31:F31"/>
    <mergeCell ref="G31:H31"/>
    <mergeCell ref="I31:J31"/>
    <mergeCell ref="K31:L31"/>
    <mergeCell ref="M31:N31"/>
    <mergeCell ref="O31:P31"/>
    <mergeCell ref="Q31:R31"/>
    <mergeCell ref="S31:T31"/>
    <mergeCell ref="M29:N29"/>
    <mergeCell ref="O29:P29"/>
    <mergeCell ref="AE30:AF30"/>
    <mergeCell ref="AG30:AH30"/>
    <mergeCell ref="U30:V30"/>
    <mergeCell ref="W30:X30"/>
    <mergeCell ref="Y30:Z30"/>
    <mergeCell ref="AA30:AB30"/>
    <mergeCell ref="AC30:AD30"/>
    <mergeCell ref="S30:T30"/>
    <mergeCell ref="I27:J27"/>
    <mergeCell ref="K27:L27"/>
    <mergeCell ref="M27:N27"/>
    <mergeCell ref="O27:P27"/>
    <mergeCell ref="AC29:AD29"/>
    <mergeCell ref="AE29:AF29"/>
    <mergeCell ref="AG29:AH29"/>
    <mergeCell ref="E30:F30"/>
    <mergeCell ref="G30:H30"/>
    <mergeCell ref="I30:J30"/>
    <mergeCell ref="K30:L30"/>
    <mergeCell ref="M30:N30"/>
    <mergeCell ref="O30:P30"/>
    <mergeCell ref="Q30:R30"/>
    <mergeCell ref="Q29:R29"/>
    <mergeCell ref="S29:T29"/>
    <mergeCell ref="U29:V29"/>
    <mergeCell ref="W29:X29"/>
    <mergeCell ref="Y29:Z29"/>
    <mergeCell ref="AA29:AB29"/>
    <mergeCell ref="E29:F29"/>
    <mergeCell ref="G29:H29"/>
    <mergeCell ref="I29:J29"/>
    <mergeCell ref="K29:L29"/>
    <mergeCell ref="W28:X28"/>
    <mergeCell ref="Y28:Z28"/>
    <mergeCell ref="AA28:AB28"/>
    <mergeCell ref="AC28:AD28"/>
    <mergeCell ref="AE28:AF28"/>
    <mergeCell ref="AG28:AH28"/>
    <mergeCell ref="AG27:AH27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U27:V27"/>
    <mergeCell ref="W27:X27"/>
    <mergeCell ref="Y27:Z27"/>
    <mergeCell ref="AA27:AB27"/>
    <mergeCell ref="AC27:AD27"/>
    <mergeCell ref="AE27:AF27"/>
    <mergeCell ref="E27:F27"/>
    <mergeCell ref="G27:H27"/>
    <mergeCell ref="E24:F24"/>
    <mergeCell ref="G24:H24"/>
    <mergeCell ref="I24:J24"/>
    <mergeCell ref="K24:L24"/>
    <mergeCell ref="M24:N24"/>
    <mergeCell ref="U26:V26"/>
    <mergeCell ref="W26:X26"/>
    <mergeCell ref="Y26:Z26"/>
    <mergeCell ref="AA26:AB26"/>
    <mergeCell ref="AA22:AB22"/>
    <mergeCell ref="AC22:AD22"/>
    <mergeCell ref="AE22:AF22"/>
    <mergeCell ref="E22:F22"/>
    <mergeCell ref="G22:H22"/>
    <mergeCell ref="I22:J22"/>
    <mergeCell ref="Q27:R27"/>
    <mergeCell ref="S27:T27"/>
    <mergeCell ref="S26:T26"/>
    <mergeCell ref="AC24:AD24"/>
    <mergeCell ref="AE24:AF24"/>
    <mergeCell ref="E26:F26"/>
    <mergeCell ref="G26:H26"/>
    <mergeCell ref="I26:J26"/>
    <mergeCell ref="K26:L26"/>
    <mergeCell ref="M26:N26"/>
    <mergeCell ref="O26:P26"/>
    <mergeCell ref="Q26:R26"/>
    <mergeCell ref="Q24:R24"/>
    <mergeCell ref="S24:T24"/>
    <mergeCell ref="U24:V24"/>
    <mergeCell ref="W24:X24"/>
    <mergeCell ref="Y24:Z24"/>
    <mergeCell ref="AA24:AB24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O24:P24"/>
    <mergeCell ref="AE26:AF26"/>
    <mergeCell ref="AG26:AH26"/>
    <mergeCell ref="AE23:AF23"/>
    <mergeCell ref="AG23:AH23"/>
    <mergeCell ref="AG24:AH24"/>
    <mergeCell ref="AC26:AD26"/>
    <mergeCell ref="K22:L22"/>
    <mergeCell ref="M22:N22"/>
    <mergeCell ref="O22:P22"/>
    <mergeCell ref="Q22:R22"/>
    <mergeCell ref="S22:T22"/>
    <mergeCell ref="S20:T20"/>
    <mergeCell ref="AC19:AD19"/>
    <mergeCell ref="AE19:AF19"/>
    <mergeCell ref="AG19:AH19"/>
    <mergeCell ref="U19:V19"/>
    <mergeCell ref="W19:X19"/>
    <mergeCell ref="Y19:Z19"/>
    <mergeCell ref="AA19:AB19"/>
    <mergeCell ref="AE20:AF20"/>
    <mergeCell ref="AG20:AH20"/>
    <mergeCell ref="U20:V20"/>
    <mergeCell ref="W20:X20"/>
    <mergeCell ref="Y20:Z20"/>
    <mergeCell ref="AA20:AB20"/>
    <mergeCell ref="AC20:AD20"/>
    <mergeCell ref="AG22:AH22"/>
    <mergeCell ref="U22:V22"/>
    <mergeCell ref="W22:X22"/>
    <mergeCell ref="Y22:Z22"/>
    <mergeCell ref="Q20:R20"/>
    <mergeCell ref="Q19:R19"/>
    <mergeCell ref="S19:T19"/>
    <mergeCell ref="E19:F19"/>
    <mergeCell ref="G19:H19"/>
    <mergeCell ref="I19:J19"/>
    <mergeCell ref="K19:L19"/>
    <mergeCell ref="M19:N19"/>
    <mergeCell ref="O19:P19"/>
    <mergeCell ref="I16:J16"/>
    <mergeCell ref="K16:L16"/>
    <mergeCell ref="M16:N16"/>
    <mergeCell ref="O16:P16"/>
    <mergeCell ref="E20:F20"/>
    <mergeCell ref="G20:H20"/>
    <mergeCell ref="I20:J20"/>
    <mergeCell ref="K20:L20"/>
    <mergeCell ref="M20:N20"/>
    <mergeCell ref="O20:P20"/>
    <mergeCell ref="W18:X18"/>
    <mergeCell ref="Y18:Z18"/>
    <mergeCell ref="AA18:AB18"/>
    <mergeCell ref="AC18:AD18"/>
    <mergeCell ref="AE18:AF18"/>
    <mergeCell ref="AG18:AH18"/>
    <mergeCell ref="AG16:AH16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U16:V16"/>
    <mergeCell ref="W16:X16"/>
    <mergeCell ref="Y16:Z16"/>
    <mergeCell ref="AA16:AB16"/>
    <mergeCell ref="AC16:AD16"/>
    <mergeCell ref="AE16:AF16"/>
    <mergeCell ref="E16:F16"/>
    <mergeCell ref="G16:H16"/>
    <mergeCell ref="Q16:R16"/>
    <mergeCell ref="S16:T16"/>
    <mergeCell ref="S15:T15"/>
    <mergeCell ref="AC14:AD14"/>
    <mergeCell ref="AE14:AF14"/>
    <mergeCell ref="AG14:AH14"/>
    <mergeCell ref="E15:F15"/>
    <mergeCell ref="G15:H15"/>
    <mergeCell ref="I15:J15"/>
    <mergeCell ref="K15:L15"/>
    <mergeCell ref="M15:N15"/>
    <mergeCell ref="O15:P15"/>
    <mergeCell ref="Q15:R15"/>
    <mergeCell ref="Q14:R14"/>
    <mergeCell ref="S14:T14"/>
    <mergeCell ref="U14:V14"/>
    <mergeCell ref="W14:X14"/>
    <mergeCell ref="Y14:Z14"/>
    <mergeCell ref="AA14:AB14"/>
    <mergeCell ref="E14:F14"/>
    <mergeCell ref="G14:H14"/>
    <mergeCell ref="I14:J14"/>
    <mergeCell ref="K14:L14"/>
    <mergeCell ref="M14:N14"/>
    <mergeCell ref="O14:P14"/>
    <mergeCell ref="AE15:AF15"/>
    <mergeCell ref="AG15:AH15"/>
    <mergeCell ref="W12:X12"/>
    <mergeCell ref="Y12:Z12"/>
    <mergeCell ref="AA12:AB12"/>
    <mergeCell ref="AC12:AD12"/>
    <mergeCell ref="AE12:AF12"/>
    <mergeCell ref="AG12:AH12"/>
    <mergeCell ref="U15:V15"/>
    <mergeCell ref="W15:X15"/>
    <mergeCell ref="Y15:Z15"/>
    <mergeCell ref="AA15:AB15"/>
    <mergeCell ref="AC15:AD15"/>
    <mergeCell ref="AG11:AH11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U11:V11"/>
    <mergeCell ref="W11:X11"/>
    <mergeCell ref="Y11:Z11"/>
    <mergeCell ref="AA11:AB11"/>
    <mergeCell ref="AC11:AD11"/>
    <mergeCell ref="AE11:AF11"/>
    <mergeCell ref="E11:F11"/>
    <mergeCell ref="G11:H11"/>
    <mergeCell ref="I11:J11"/>
    <mergeCell ref="K11:L11"/>
    <mergeCell ref="M11:N11"/>
    <mergeCell ref="O11:P11"/>
    <mergeCell ref="Q11:R11"/>
    <mergeCell ref="S11:T11"/>
    <mergeCell ref="S10:T10"/>
    <mergeCell ref="AC7:AD7"/>
    <mergeCell ref="AE7:AF7"/>
    <mergeCell ref="AG7:AH7"/>
    <mergeCell ref="E10:F10"/>
    <mergeCell ref="G10:H10"/>
    <mergeCell ref="I10:J10"/>
    <mergeCell ref="K10:L10"/>
    <mergeCell ref="M10:N10"/>
    <mergeCell ref="O10:P10"/>
    <mergeCell ref="Q10:R10"/>
    <mergeCell ref="Q7:R7"/>
    <mergeCell ref="S7:T7"/>
    <mergeCell ref="U7:V7"/>
    <mergeCell ref="W7:X7"/>
    <mergeCell ref="Y7:Z7"/>
    <mergeCell ref="AA7:AB7"/>
    <mergeCell ref="AE10:AF10"/>
    <mergeCell ref="AG10:AH10"/>
    <mergeCell ref="U10:V10"/>
    <mergeCell ref="W10:X10"/>
    <mergeCell ref="Y10:Z10"/>
    <mergeCell ref="AA10:AB10"/>
    <mergeCell ref="AC10:AD10"/>
    <mergeCell ref="CK5:CL5"/>
    <mergeCell ref="CM5:CN5"/>
    <mergeCell ref="CO5:CP5"/>
    <mergeCell ref="CQ5:CR5"/>
    <mergeCell ref="E7:F7"/>
    <mergeCell ref="G7:H7"/>
    <mergeCell ref="I7:J7"/>
    <mergeCell ref="K7:L7"/>
    <mergeCell ref="M7:N7"/>
    <mergeCell ref="O7:P7"/>
    <mergeCell ref="BY5:BZ5"/>
    <mergeCell ref="CA5:CB5"/>
    <mergeCell ref="CC5:CD5"/>
    <mergeCell ref="CE5:CF5"/>
    <mergeCell ref="CG5:CH5"/>
    <mergeCell ref="CI5:CJ5"/>
    <mergeCell ref="BM5:BN5"/>
    <mergeCell ref="BO5:BP5"/>
    <mergeCell ref="BQ5:BR5"/>
    <mergeCell ref="BS5:BT5"/>
    <mergeCell ref="BU5:BV5"/>
    <mergeCell ref="BW5:BX5"/>
    <mergeCell ref="BA5:BB5"/>
    <mergeCell ref="BC5:BD5"/>
    <mergeCell ref="BE5:BF5"/>
    <mergeCell ref="BG5:BH5"/>
    <mergeCell ref="BI5:BJ5"/>
    <mergeCell ref="BK5:BL5"/>
    <mergeCell ref="AO5:AP5"/>
    <mergeCell ref="AQ5:AR5"/>
    <mergeCell ref="AS5:AT5"/>
    <mergeCell ref="AU5:AV5"/>
    <mergeCell ref="AW5:AX5"/>
    <mergeCell ref="AY5:AZ5"/>
    <mergeCell ref="AC5:AD5"/>
    <mergeCell ref="AE5:AF5"/>
    <mergeCell ref="AG5:AH5"/>
    <mergeCell ref="AI5:AJ5"/>
    <mergeCell ref="AK5:AL5"/>
    <mergeCell ref="AM5:AN5"/>
    <mergeCell ref="Q5:R5"/>
    <mergeCell ref="S5:T5"/>
    <mergeCell ref="U5:V5"/>
    <mergeCell ref="W5:X5"/>
    <mergeCell ref="Y5:Z5"/>
    <mergeCell ref="AA5:AB5"/>
    <mergeCell ref="CK4:CL4"/>
    <mergeCell ref="CM4:CN4"/>
    <mergeCell ref="CO4:CP4"/>
    <mergeCell ref="CQ4:CR4"/>
    <mergeCell ref="E5:F5"/>
    <mergeCell ref="G5:H5"/>
    <mergeCell ref="I5:J5"/>
    <mergeCell ref="K5:L5"/>
    <mergeCell ref="M5:N5"/>
    <mergeCell ref="O5:P5"/>
    <mergeCell ref="BY4:BZ4"/>
    <mergeCell ref="CA4:CB4"/>
    <mergeCell ref="CC4:CD4"/>
    <mergeCell ref="CE4:CF4"/>
    <mergeCell ref="CG4:CH4"/>
    <mergeCell ref="CI4:CJ4"/>
    <mergeCell ref="BM4:BN4"/>
    <mergeCell ref="BO4:BP4"/>
    <mergeCell ref="BQ4:BR4"/>
    <mergeCell ref="BS4:BT4"/>
    <mergeCell ref="BU4:BV4"/>
    <mergeCell ref="BW4:BX4"/>
    <mergeCell ref="BA4:BB4"/>
    <mergeCell ref="BC4:BD4"/>
    <mergeCell ref="BE4:BF4"/>
    <mergeCell ref="BG4:BH4"/>
    <mergeCell ref="BI4:BJ4"/>
    <mergeCell ref="BK4:BL4"/>
    <mergeCell ref="AO4:AP4"/>
    <mergeCell ref="AQ4:AR4"/>
    <mergeCell ref="AS4:AT4"/>
    <mergeCell ref="AU4:AV4"/>
    <mergeCell ref="AW4:AX4"/>
    <mergeCell ref="AY4:AZ4"/>
    <mergeCell ref="AC4:AD4"/>
    <mergeCell ref="AE4:AF4"/>
    <mergeCell ref="AG4:AH4"/>
    <mergeCell ref="AI4:AJ4"/>
    <mergeCell ref="AK4:AL4"/>
    <mergeCell ref="AM4:AN4"/>
    <mergeCell ref="Q4:R4"/>
    <mergeCell ref="S4:T4"/>
    <mergeCell ref="U4:V4"/>
    <mergeCell ref="W4:X4"/>
    <mergeCell ref="Y4:Z4"/>
    <mergeCell ref="AA4:AB4"/>
    <mergeCell ref="CK3:CL3"/>
    <mergeCell ref="CM3:CN3"/>
    <mergeCell ref="CO3:CP3"/>
    <mergeCell ref="CQ3:CR3"/>
    <mergeCell ref="E4:F4"/>
    <mergeCell ref="G4:H4"/>
    <mergeCell ref="I4:J4"/>
    <mergeCell ref="K4:L4"/>
    <mergeCell ref="M4:N4"/>
    <mergeCell ref="O4:P4"/>
    <mergeCell ref="BY3:BZ3"/>
    <mergeCell ref="CA3:CB3"/>
    <mergeCell ref="CC3:CD3"/>
    <mergeCell ref="CE3:CF3"/>
    <mergeCell ref="CG3:CH3"/>
    <mergeCell ref="CI3:CJ3"/>
    <mergeCell ref="BM3:BN3"/>
    <mergeCell ref="BO3:BP3"/>
    <mergeCell ref="BQ3:BR3"/>
    <mergeCell ref="BS3:BT3"/>
    <mergeCell ref="BU3:BV3"/>
    <mergeCell ref="BW3:BX3"/>
    <mergeCell ref="BA3:BB3"/>
    <mergeCell ref="BC3:BD3"/>
    <mergeCell ref="BE3:BF3"/>
    <mergeCell ref="BG3:BH3"/>
    <mergeCell ref="BI3:BJ3"/>
    <mergeCell ref="BK3:BL3"/>
    <mergeCell ref="AO3:AP3"/>
    <mergeCell ref="AQ3:AR3"/>
    <mergeCell ref="AS3:AT3"/>
    <mergeCell ref="AU3:AV3"/>
    <mergeCell ref="AW3:AX3"/>
    <mergeCell ref="AY3:AZ3"/>
    <mergeCell ref="AC3:AD3"/>
    <mergeCell ref="AE3:AF3"/>
    <mergeCell ref="AG3:AH3"/>
    <mergeCell ref="AI3:AJ3"/>
    <mergeCell ref="AK3:AL3"/>
    <mergeCell ref="AM3:AN3"/>
    <mergeCell ref="Q3:R3"/>
    <mergeCell ref="S3:T3"/>
    <mergeCell ref="U3:V3"/>
    <mergeCell ref="W3:X3"/>
    <mergeCell ref="Y3:Z3"/>
    <mergeCell ref="AA3:AB3"/>
    <mergeCell ref="CK2:CL2"/>
    <mergeCell ref="CM2:CN2"/>
    <mergeCell ref="CO2:CP2"/>
    <mergeCell ref="CQ2:CR2"/>
    <mergeCell ref="E3:F3"/>
    <mergeCell ref="G3:H3"/>
    <mergeCell ref="I3:J3"/>
    <mergeCell ref="K3:L3"/>
    <mergeCell ref="M3:N3"/>
    <mergeCell ref="O3:P3"/>
    <mergeCell ref="BY2:BZ2"/>
    <mergeCell ref="CA2:CB2"/>
    <mergeCell ref="CC2:CD2"/>
    <mergeCell ref="CE2:CF2"/>
    <mergeCell ref="CG2:CH2"/>
    <mergeCell ref="CI2:CJ2"/>
    <mergeCell ref="BM2:BN2"/>
    <mergeCell ref="BO2:BP2"/>
    <mergeCell ref="BQ2:BR2"/>
    <mergeCell ref="BS2:BT2"/>
    <mergeCell ref="BU2:BV2"/>
    <mergeCell ref="BW2:BX2"/>
    <mergeCell ref="BA2:BB2"/>
    <mergeCell ref="BC2:BD2"/>
    <mergeCell ref="BE2:BF2"/>
    <mergeCell ref="BG2:BH2"/>
    <mergeCell ref="BI2:BJ2"/>
    <mergeCell ref="BK2:BL2"/>
    <mergeCell ref="AO2:AP2"/>
    <mergeCell ref="AQ2:AR2"/>
    <mergeCell ref="AS2:AT2"/>
    <mergeCell ref="AU2:AV2"/>
    <mergeCell ref="AW2:AX2"/>
    <mergeCell ref="AY2:AZ2"/>
    <mergeCell ref="AI2:AJ2"/>
    <mergeCell ref="AK2:AL2"/>
    <mergeCell ref="AM2:AN2"/>
    <mergeCell ref="Q2:R2"/>
    <mergeCell ref="S2:T2"/>
    <mergeCell ref="U2:V2"/>
    <mergeCell ref="W2:X2"/>
    <mergeCell ref="Y2:Z2"/>
    <mergeCell ref="AA2:AB2"/>
    <mergeCell ref="E2:F2"/>
    <mergeCell ref="G2:H2"/>
    <mergeCell ref="I2:J2"/>
    <mergeCell ref="K2:L2"/>
    <mergeCell ref="M2:N2"/>
    <mergeCell ref="O2:P2"/>
    <mergeCell ref="AC2:AD2"/>
    <mergeCell ref="AE2:AF2"/>
    <mergeCell ref="AG2:A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6E2CD-A5F1-3D45-BD29-457B284D645C}">
  <dimension ref="B2:AR33"/>
  <sheetViews>
    <sheetView tabSelected="1" topLeftCell="J1" zoomScale="70" zoomScaleNormal="70" workbookViewId="0">
      <selection activeCell="AK37" sqref="AK37"/>
    </sheetView>
  </sheetViews>
  <sheetFormatPr baseColWidth="10" defaultColWidth="11" defaultRowHeight="16" x14ac:dyDescent="0.2"/>
  <cols>
    <col min="30" max="30" width="15" bestFit="1" customWidth="1"/>
    <col min="31" max="31" width="15.5" bestFit="1" customWidth="1"/>
    <col min="32" max="32" width="15.1640625" bestFit="1" customWidth="1"/>
    <col min="33" max="33" width="16.5" bestFit="1" customWidth="1"/>
    <col min="34" max="34" width="15.1640625" bestFit="1" customWidth="1"/>
    <col min="36" max="36" width="14.83203125" bestFit="1" customWidth="1"/>
    <col min="37" max="37" width="16" bestFit="1" customWidth="1"/>
    <col min="38" max="38" width="12.83203125" bestFit="1" customWidth="1"/>
    <col min="39" max="39" width="14" bestFit="1" customWidth="1"/>
    <col min="40" max="40" width="12.83203125" bestFit="1" customWidth="1"/>
    <col min="42" max="42" width="17.6640625" bestFit="1" customWidth="1"/>
    <col min="43" max="43" width="15.83203125" bestFit="1" customWidth="1"/>
    <col min="44" max="44" width="13.6640625" bestFit="1" customWidth="1"/>
  </cols>
  <sheetData>
    <row r="2" spans="2:44" ht="17" thickBot="1" x14ac:dyDescent="0.25"/>
    <row r="3" spans="2:44" ht="17" thickBot="1" x14ac:dyDescent="0.25">
      <c r="B3" s="127" t="s">
        <v>128</v>
      </c>
      <c r="C3" s="128" t="s">
        <v>150</v>
      </c>
      <c r="D3" s="128" t="s">
        <v>152</v>
      </c>
      <c r="E3" s="128" t="s">
        <v>155</v>
      </c>
      <c r="F3" s="128" t="s">
        <v>156</v>
      </c>
      <c r="G3" s="128" t="s">
        <v>108</v>
      </c>
      <c r="H3" s="128" t="s">
        <v>157</v>
      </c>
      <c r="I3" s="128" t="s">
        <v>158</v>
      </c>
      <c r="J3" s="128" t="s">
        <v>159</v>
      </c>
      <c r="K3" s="128" t="s">
        <v>124</v>
      </c>
      <c r="L3" s="128" t="s">
        <v>120</v>
      </c>
      <c r="M3" s="128" t="s">
        <v>160</v>
      </c>
      <c r="N3" s="128" t="s">
        <v>161</v>
      </c>
      <c r="O3" s="128" t="s">
        <v>123</v>
      </c>
      <c r="P3" s="128" t="s">
        <v>117</v>
      </c>
      <c r="Q3" s="128" t="s">
        <v>162</v>
      </c>
      <c r="R3" s="128" t="s">
        <v>163</v>
      </c>
      <c r="S3" s="128" t="s">
        <v>164</v>
      </c>
      <c r="T3" s="128" t="s">
        <v>118</v>
      </c>
      <c r="U3" s="128" t="s">
        <v>165</v>
      </c>
      <c r="V3" s="128" t="s">
        <v>166</v>
      </c>
      <c r="W3" s="135" t="s">
        <v>139</v>
      </c>
      <c r="X3" s="136" t="s">
        <v>149</v>
      </c>
      <c r="Y3" s="136" t="s">
        <v>167</v>
      </c>
      <c r="Z3" s="136" t="s">
        <v>168</v>
      </c>
      <c r="AA3" s="136" t="s">
        <v>169</v>
      </c>
      <c r="AC3" s="861" t="s">
        <v>128</v>
      </c>
      <c r="AD3" s="862" t="s">
        <v>155</v>
      </c>
      <c r="AE3" s="862" t="s">
        <v>156</v>
      </c>
      <c r="AF3" s="862" t="s">
        <v>158</v>
      </c>
      <c r="AG3" s="862" t="s">
        <v>159</v>
      </c>
      <c r="AH3" s="862" t="s">
        <v>160</v>
      </c>
      <c r="AI3" s="862" t="s">
        <v>161</v>
      </c>
      <c r="AJ3" s="862" t="s">
        <v>162</v>
      </c>
      <c r="AK3" s="862" t="s">
        <v>163</v>
      </c>
      <c r="AL3" s="862" t="s">
        <v>165</v>
      </c>
      <c r="AM3" s="862" t="s">
        <v>166</v>
      </c>
      <c r="AN3" s="862" t="s">
        <v>139</v>
      </c>
      <c r="AO3" s="862" t="s">
        <v>149</v>
      </c>
      <c r="AP3" s="862" t="s">
        <v>167</v>
      </c>
      <c r="AQ3" s="862" t="s">
        <v>168</v>
      </c>
      <c r="AR3" s="863" t="s">
        <v>169</v>
      </c>
    </row>
    <row r="4" spans="2:44" ht="17" thickBot="1" x14ac:dyDescent="0.25">
      <c r="B4" s="889">
        <v>7</v>
      </c>
      <c r="C4" s="129" t="s">
        <v>145</v>
      </c>
      <c r="D4" s="129">
        <v>1664</v>
      </c>
      <c r="E4" s="881">
        <f>D4</f>
        <v>1664</v>
      </c>
      <c r="F4" s="881">
        <f>D5</f>
        <v>449</v>
      </c>
      <c r="G4" s="891">
        <f>((E4-F4)/E4)*100</f>
        <v>73.016826923076934</v>
      </c>
      <c r="H4" s="129">
        <v>850</v>
      </c>
      <c r="I4" s="881">
        <f>H4</f>
        <v>850</v>
      </c>
      <c r="J4" s="881">
        <f>H5</f>
        <v>130</v>
      </c>
      <c r="K4" s="893">
        <f>((I4-J4)/I4)*100</f>
        <v>84.705882352941174</v>
      </c>
      <c r="L4" s="129">
        <v>280</v>
      </c>
      <c r="M4" s="881">
        <f>L4</f>
        <v>280</v>
      </c>
      <c r="N4" s="881">
        <f>L5</f>
        <v>36</v>
      </c>
      <c r="O4" s="895">
        <f>((M4-N4)/M4)*100</f>
        <v>87.142857142857139</v>
      </c>
      <c r="P4" s="129">
        <v>74</v>
      </c>
      <c r="Q4" s="881">
        <f>P4</f>
        <v>74</v>
      </c>
      <c r="R4" s="897">
        <f>P5</f>
        <v>49</v>
      </c>
      <c r="S4" s="881">
        <f>((Q4-R4)/Q4)*100</f>
        <v>33.783783783783782</v>
      </c>
      <c r="T4" s="129">
        <v>360</v>
      </c>
      <c r="U4" s="881">
        <f>T4</f>
        <v>360</v>
      </c>
      <c r="V4" s="881">
        <f>T5</f>
        <v>1113</v>
      </c>
      <c r="W4" s="899">
        <f>R4/V4</f>
        <v>4.40251572327044E-2</v>
      </c>
      <c r="X4" s="901">
        <v>35</v>
      </c>
      <c r="Y4" s="904">
        <f>(E4/X4)*24</f>
        <v>1141.0285714285715</v>
      </c>
      <c r="Z4" s="907">
        <f>Y4/1000</f>
        <v>1.1410285714285715</v>
      </c>
      <c r="AA4" s="909" t="s">
        <v>170</v>
      </c>
      <c r="AC4" s="864">
        <v>7</v>
      </c>
      <c r="AD4" s="653">
        <v>1664</v>
      </c>
      <c r="AE4" s="653">
        <v>449</v>
      </c>
      <c r="AF4" s="653">
        <v>850</v>
      </c>
      <c r="AG4" s="653">
        <v>130</v>
      </c>
      <c r="AH4" s="653">
        <v>280</v>
      </c>
      <c r="AI4" s="653">
        <v>36</v>
      </c>
      <c r="AJ4" s="653">
        <v>74</v>
      </c>
      <c r="AK4" s="653">
        <v>49</v>
      </c>
      <c r="AL4" s="653">
        <v>360</v>
      </c>
      <c r="AM4" s="653">
        <v>1113</v>
      </c>
      <c r="AN4" s="653">
        <v>4.40251572327044E-2</v>
      </c>
      <c r="AO4" s="653">
        <v>35</v>
      </c>
      <c r="AP4" s="653">
        <v>1141.0285714285715</v>
      </c>
      <c r="AQ4" s="653">
        <v>1.1410285714285715</v>
      </c>
      <c r="AR4" s="865" t="s">
        <v>170</v>
      </c>
    </row>
    <row r="5" spans="2:44" ht="17" thickBot="1" x14ac:dyDescent="0.25">
      <c r="B5" s="890"/>
      <c r="C5" s="130" t="s">
        <v>151</v>
      </c>
      <c r="D5" s="130">
        <v>449</v>
      </c>
      <c r="E5" s="882"/>
      <c r="F5" s="882"/>
      <c r="G5" s="892"/>
      <c r="H5" s="130">
        <v>130</v>
      </c>
      <c r="I5" s="882"/>
      <c r="J5" s="882"/>
      <c r="K5" s="894"/>
      <c r="L5" s="130">
        <v>36</v>
      </c>
      <c r="M5" s="882"/>
      <c r="N5" s="882"/>
      <c r="O5" s="896"/>
      <c r="P5" s="130">
        <v>49</v>
      </c>
      <c r="Q5" s="882"/>
      <c r="R5" s="898"/>
      <c r="S5" s="882"/>
      <c r="T5" s="130">
        <v>1113</v>
      </c>
      <c r="U5" s="882"/>
      <c r="V5" s="882"/>
      <c r="W5" s="900"/>
      <c r="X5" s="902"/>
      <c r="Y5" s="905"/>
      <c r="Z5" s="912"/>
      <c r="AA5" s="910"/>
      <c r="AC5" s="864"/>
      <c r="AD5" s="653"/>
      <c r="AE5" s="653"/>
      <c r="AF5" s="653"/>
      <c r="AG5" s="653"/>
      <c r="AH5" s="653"/>
      <c r="AI5" s="653"/>
      <c r="AJ5" s="653"/>
      <c r="AK5" s="653"/>
      <c r="AL5" s="653"/>
      <c r="AM5" s="653"/>
      <c r="AN5" s="653"/>
      <c r="AO5" s="653"/>
      <c r="AP5" s="653"/>
      <c r="AQ5" s="653"/>
      <c r="AR5" s="865"/>
    </row>
    <row r="6" spans="2:44" ht="17" thickBot="1" x14ac:dyDescent="0.25">
      <c r="B6" s="889">
        <v>14</v>
      </c>
      <c r="C6" s="129" t="s">
        <v>145</v>
      </c>
      <c r="D6" s="129">
        <v>4315</v>
      </c>
      <c r="E6" s="881">
        <f>D6</f>
        <v>4315</v>
      </c>
      <c r="F6" s="881">
        <f>D7</f>
        <v>128</v>
      </c>
      <c r="G6" s="891">
        <f>((E6-F6)/E6)*100</f>
        <v>97.033603707995368</v>
      </c>
      <c r="H6" s="129">
        <v>2125</v>
      </c>
      <c r="I6" s="881">
        <f>H6</f>
        <v>2125</v>
      </c>
      <c r="J6" s="881">
        <f>H7</f>
        <v>30</v>
      </c>
      <c r="K6" s="893">
        <f>((I6-J6)/I6)*100</f>
        <v>98.588235294117638</v>
      </c>
      <c r="L6" s="129">
        <v>762</v>
      </c>
      <c r="M6" s="881">
        <f>L6</f>
        <v>762</v>
      </c>
      <c r="N6" s="881">
        <f>L7</f>
        <v>34</v>
      </c>
      <c r="O6" s="895">
        <f>((M6-N6)/M6)*100</f>
        <v>95.538057742782158</v>
      </c>
      <c r="P6" s="129">
        <v>107</v>
      </c>
      <c r="Q6" s="881">
        <f>P6</f>
        <v>107</v>
      </c>
      <c r="R6" s="897">
        <f>P7</f>
        <v>34</v>
      </c>
      <c r="S6" s="881">
        <f>((Q6-R6)/Q6)*100</f>
        <v>68.224299065420553</v>
      </c>
      <c r="T6" s="129">
        <v>421</v>
      </c>
      <c r="U6" s="881">
        <f>T6</f>
        <v>421</v>
      </c>
      <c r="V6" s="881">
        <f>T7</f>
        <v>447</v>
      </c>
      <c r="W6" s="899">
        <f>R6/V6</f>
        <v>7.6062639821029079E-2</v>
      </c>
      <c r="X6" s="901">
        <v>35</v>
      </c>
      <c r="Y6" s="904">
        <f>(E6/X6)*24</f>
        <v>2958.8571428571431</v>
      </c>
      <c r="Z6" s="907">
        <f>Y6/1000</f>
        <v>2.9588571428571431</v>
      </c>
      <c r="AA6" s="910"/>
      <c r="AC6" s="864">
        <v>14</v>
      </c>
      <c r="AD6" s="653">
        <v>4315</v>
      </c>
      <c r="AE6" s="653">
        <v>128</v>
      </c>
      <c r="AF6" s="653">
        <v>2125</v>
      </c>
      <c r="AG6" s="653">
        <v>30</v>
      </c>
      <c r="AH6" s="653">
        <v>762</v>
      </c>
      <c r="AI6" s="653">
        <v>34</v>
      </c>
      <c r="AJ6" s="653">
        <v>107</v>
      </c>
      <c r="AK6" s="653">
        <v>34</v>
      </c>
      <c r="AL6" s="653">
        <v>421</v>
      </c>
      <c r="AM6" s="653">
        <v>447</v>
      </c>
      <c r="AN6" s="653">
        <v>7.6062639821029079E-2</v>
      </c>
      <c r="AO6" s="653">
        <v>35</v>
      </c>
      <c r="AP6" s="653">
        <v>2958.8571428571431</v>
      </c>
      <c r="AQ6" s="653">
        <v>2.9588571428571431</v>
      </c>
      <c r="AR6" s="865"/>
    </row>
    <row r="7" spans="2:44" ht="17" thickBot="1" x14ac:dyDescent="0.25">
      <c r="B7" s="890"/>
      <c r="C7" s="130" t="s">
        <v>151</v>
      </c>
      <c r="D7" s="130">
        <v>128</v>
      </c>
      <c r="E7" s="882"/>
      <c r="F7" s="882"/>
      <c r="G7" s="892"/>
      <c r="H7" s="130">
        <v>30</v>
      </c>
      <c r="I7" s="882"/>
      <c r="J7" s="882"/>
      <c r="K7" s="894"/>
      <c r="L7" s="130">
        <v>34</v>
      </c>
      <c r="M7" s="882"/>
      <c r="N7" s="882"/>
      <c r="O7" s="896"/>
      <c r="P7" s="130">
        <v>34</v>
      </c>
      <c r="Q7" s="882"/>
      <c r="R7" s="898"/>
      <c r="S7" s="882"/>
      <c r="T7" s="130">
        <v>447</v>
      </c>
      <c r="U7" s="882"/>
      <c r="V7" s="882"/>
      <c r="W7" s="900"/>
      <c r="X7" s="902"/>
      <c r="Y7" s="905"/>
      <c r="Z7" s="912"/>
      <c r="AA7" s="911"/>
      <c r="AC7" s="864"/>
      <c r="AD7" s="653"/>
      <c r="AE7" s="653"/>
      <c r="AF7" s="653"/>
      <c r="AG7" s="653"/>
      <c r="AH7" s="653"/>
      <c r="AI7" s="653"/>
      <c r="AJ7" s="653"/>
      <c r="AK7" s="653"/>
      <c r="AL7" s="653"/>
      <c r="AM7" s="653"/>
      <c r="AN7" s="653"/>
      <c r="AO7" s="653"/>
      <c r="AP7" s="653"/>
      <c r="AQ7" s="653"/>
      <c r="AR7" s="865"/>
    </row>
    <row r="8" spans="2:44" ht="17" thickBot="1" x14ac:dyDescent="0.25">
      <c r="B8" s="889">
        <v>21</v>
      </c>
      <c r="C8" s="129" t="s">
        <v>145</v>
      </c>
      <c r="D8" s="129">
        <v>5207</v>
      </c>
      <c r="E8" s="881">
        <f>D8</f>
        <v>5207</v>
      </c>
      <c r="F8" s="881">
        <f>D9</f>
        <v>128</v>
      </c>
      <c r="G8" s="891">
        <f>((E8-F8)/E8)*100</f>
        <v>97.54177069329748</v>
      </c>
      <c r="H8" s="129">
        <v>2750</v>
      </c>
      <c r="I8" s="881">
        <f>H8</f>
        <v>2750</v>
      </c>
      <c r="J8" s="881">
        <f>H9</f>
        <v>30</v>
      </c>
      <c r="K8" s="893">
        <f>((I8-J8)/I8)*100</f>
        <v>98.909090909090907</v>
      </c>
      <c r="L8" s="129">
        <v>696</v>
      </c>
      <c r="M8" s="881">
        <f>L8</f>
        <v>696</v>
      </c>
      <c r="N8" s="881">
        <f>L9</f>
        <v>37</v>
      </c>
      <c r="O8" s="895">
        <f>((M8-N8)/M8)*100</f>
        <v>94.68390804597702</v>
      </c>
      <c r="P8" s="129">
        <v>141</v>
      </c>
      <c r="Q8" s="881">
        <f>P8</f>
        <v>141</v>
      </c>
      <c r="R8" s="897">
        <f>P9</f>
        <v>57</v>
      </c>
      <c r="S8" s="881">
        <f>((Q8-R8)/Q8)*100</f>
        <v>59.574468085106382</v>
      </c>
      <c r="T8" s="129">
        <v>602</v>
      </c>
      <c r="U8" s="881">
        <f>T8</f>
        <v>602</v>
      </c>
      <c r="V8" s="881">
        <f>T9</f>
        <v>498</v>
      </c>
      <c r="W8" s="899">
        <f>R8/V8</f>
        <v>0.1144578313253012</v>
      </c>
      <c r="X8" s="901">
        <v>35</v>
      </c>
      <c r="Y8" s="904">
        <f>(E8/X8)*24</f>
        <v>3570.5142857142855</v>
      </c>
      <c r="Z8" s="907">
        <f>Y8/1000</f>
        <v>3.5705142857142853</v>
      </c>
      <c r="AA8" s="909" t="s">
        <v>171</v>
      </c>
      <c r="AC8" s="864">
        <v>21</v>
      </c>
      <c r="AD8" s="653">
        <v>5207</v>
      </c>
      <c r="AE8" s="653">
        <v>128</v>
      </c>
      <c r="AF8" s="653">
        <v>2750</v>
      </c>
      <c r="AG8" s="653">
        <v>30</v>
      </c>
      <c r="AH8" s="653">
        <v>696</v>
      </c>
      <c r="AI8" s="653">
        <v>37</v>
      </c>
      <c r="AJ8" s="653">
        <v>141</v>
      </c>
      <c r="AK8" s="653">
        <v>57</v>
      </c>
      <c r="AL8" s="653">
        <v>602</v>
      </c>
      <c r="AM8" s="653">
        <v>498</v>
      </c>
      <c r="AN8" s="653">
        <v>0.1144578313253012</v>
      </c>
      <c r="AO8" s="653">
        <v>35</v>
      </c>
      <c r="AP8" s="653">
        <v>3570.5142857142855</v>
      </c>
      <c r="AQ8" s="653">
        <v>3.5705142857142853</v>
      </c>
      <c r="AR8" s="865" t="s">
        <v>171</v>
      </c>
    </row>
    <row r="9" spans="2:44" ht="17" thickBot="1" x14ac:dyDescent="0.25">
      <c r="B9" s="890"/>
      <c r="C9" s="130" t="s">
        <v>151</v>
      </c>
      <c r="D9" s="130">
        <v>128</v>
      </c>
      <c r="E9" s="882"/>
      <c r="F9" s="882"/>
      <c r="G9" s="892"/>
      <c r="H9" s="130">
        <v>30</v>
      </c>
      <c r="I9" s="882"/>
      <c r="J9" s="882"/>
      <c r="K9" s="894"/>
      <c r="L9" s="130">
        <v>37</v>
      </c>
      <c r="M9" s="882"/>
      <c r="N9" s="882"/>
      <c r="O9" s="896"/>
      <c r="P9" s="130">
        <v>57</v>
      </c>
      <c r="Q9" s="882"/>
      <c r="R9" s="898"/>
      <c r="S9" s="882"/>
      <c r="T9" s="130">
        <v>498</v>
      </c>
      <c r="U9" s="882"/>
      <c r="V9" s="882"/>
      <c r="W9" s="900"/>
      <c r="X9" s="902"/>
      <c r="Y9" s="905"/>
      <c r="Z9" s="912"/>
      <c r="AA9" s="910"/>
      <c r="AC9" s="864"/>
      <c r="AD9" s="653"/>
      <c r="AE9" s="653"/>
      <c r="AF9" s="653"/>
      <c r="AG9" s="653"/>
      <c r="AH9" s="653"/>
      <c r="AI9" s="653"/>
      <c r="AJ9" s="653"/>
      <c r="AK9" s="653"/>
      <c r="AL9" s="653"/>
      <c r="AM9" s="653"/>
      <c r="AN9" s="653"/>
      <c r="AO9" s="653"/>
      <c r="AP9" s="653"/>
      <c r="AQ9" s="653"/>
      <c r="AR9" s="865"/>
    </row>
    <row r="10" spans="2:44" ht="17" thickBot="1" x14ac:dyDescent="0.25">
      <c r="B10" s="889">
        <v>28</v>
      </c>
      <c r="C10" s="129" t="s">
        <v>145</v>
      </c>
      <c r="D10" s="129">
        <v>5421</v>
      </c>
      <c r="E10" s="881">
        <f>D10</f>
        <v>5421</v>
      </c>
      <c r="F10" s="881">
        <f>D11</f>
        <v>371</v>
      </c>
      <c r="G10" s="891">
        <f>((E10-F10)/E10)*100</f>
        <v>93.156244235380925</v>
      </c>
      <c r="H10" s="129">
        <v>3000</v>
      </c>
      <c r="I10" s="881">
        <f>H10</f>
        <v>3000</v>
      </c>
      <c r="J10" s="881">
        <f>H11</f>
        <v>160</v>
      </c>
      <c r="K10" s="893">
        <f>((I10-J10)/I10)*100</f>
        <v>94.666666666666671</v>
      </c>
      <c r="L10" s="129">
        <v>940</v>
      </c>
      <c r="M10" s="881">
        <f>L10</f>
        <v>940</v>
      </c>
      <c r="N10" s="881">
        <f>L11</f>
        <v>72</v>
      </c>
      <c r="O10" s="895">
        <f>((M10-N10)/M10)*100</f>
        <v>92.340425531914889</v>
      </c>
      <c r="P10" s="129">
        <v>350</v>
      </c>
      <c r="Q10" s="881">
        <f>P10</f>
        <v>350</v>
      </c>
      <c r="R10" s="897">
        <f>P11</f>
        <v>51</v>
      </c>
      <c r="S10" s="881">
        <f>((Q10-R10)/Q10)*100</f>
        <v>85.428571428571431</v>
      </c>
      <c r="T10" s="129">
        <v>926</v>
      </c>
      <c r="U10" s="881">
        <f>T10</f>
        <v>926</v>
      </c>
      <c r="V10" s="881">
        <f>T11</f>
        <v>973</v>
      </c>
      <c r="W10" s="899">
        <f>R10/V10</f>
        <v>5.2415210688591986E-2</v>
      </c>
      <c r="X10" s="901">
        <v>35</v>
      </c>
      <c r="Y10" s="904">
        <f>(E10/X10)*24</f>
        <v>3717.2571428571428</v>
      </c>
      <c r="Z10" s="907">
        <f>Y10/1000</f>
        <v>3.7172571428571426</v>
      </c>
      <c r="AA10" s="910"/>
      <c r="AC10" s="864">
        <v>28</v>
      </c>
      <c r="AD10" s="653">
        <v>5421</v>
      </c>
      <c r="AE10" s="653">
        <v>371</v>
      </c>
      <c r="AF10" s="653">
        <v>3000</v>
      </c>
      <c r="AG10" s="653">
        <v>160</v>
      </c>
      <c r="AH10" s="653">
        <v>940</v>
      </c>
      <c r="AI10" s="653">
        <v>72</v>
      </c>
      <c r="AJ10" s="653">
        <v>350</v>
      </c>
      <c r="AK10" s="653">
        <v>51</v>
      </c>
      <c r="AL10" s="653">
        <v>926</v>
      </c>
      <c r="AM10" s="653">
        <v>973</v>
      </c>
      <c r="AN10" s="653">
        <v>5.2415210688591986E-2</v>
      </c>
      <c r="AO10" s="653">
        <v>35</v>
      </c>
      <c r="AP10" s="653">
        <v>3717.2571428571428</v>
      </c>
      <c r="AQ10" s="653">
        <v>3.7172571428571426</v>
      </c>
      <c r="AR10" s="865"/>
    </row>
    <row r="11" spans="2:44" ht="17" thickBot="1" x14ac:dyDescent="0.25">
      <c r="B11" s="890"/>
      <c r="C11" s="130" t="s">
        <v>151</v>
      </c>
      <c r="D11" s="130">
        <v>371</v>
      </c>
      <c r="E11" s="882"/>
      <c r="F11" s="882"/>
      <c r="G11" s="892"/>
      <c r="H11" s="130">
        <v>160</v>
      </c>
      <c r="I11" s="882"/>
      <c r="J11" s="882"/>
      <c r="K11" s="894"/>
      <c r="L11" s="130">
        <v>72</v>
      </c>
      <c r="M11" s="882"/>
      <c r="N11" s="882"/>
      <c r="O11" s="896"/>
      <c r="P11" s="130">
        <v>51</v>
      </c>
      <c r="Q11" s="882"/>
      <c r="R11" s="898"/>
      <c r="S11" s="882"/>
      <c r="T11" s="130">
        <v>973</v>
      </c>
      <c r="U11" s="882"/>
      <c r="V11" s="882"/>
      <c r="W11" s="900"/>
      <c r="X11" s="902"/>
      <c r="Y11" s="905"/>
      <c r="Z11" s="912"/>
      <c r="AA11" s="910"/>
      <c r="AC11" s="864"/>
      <c r="AD11" s="653"/>
      <c r="AE11" s="653"/>
      <c r="AF11" s="653"/>
      <c r="AG11" s="653"/>
      <c r="AH11" s="653"/>
      <c r="AI11" s="653"/>
      <c r="AJ11" s="653"/>
      <c r="AK11" s="653"/>
      <c r="AL11" s="653"/>
      <c r="AM11" s="653"/>
      <c r="AN11" s="653"/>
      <c r="AO11" s="653"/>
      <c r="AP11" s="653"/>
      <c r="AQ11" s="653"/>
      <c r="AR11" s="865"/>
    </row>
    <row r="12" spans="2:44" ht="17" thickBot="1" x14ac:dyDescent="0.25">
      <c r="B12" s="889">
        <v>35</v>
      </c>
      <c r="C12" s="129" t="s">
        <v>145</v>
      </c>
      <c r="D12" s="129">
        <v>4645</v>
      </c>
      <c r="E12" s="881">
        <f>D12</f>
        <v>4645</v>
      </c>
      <c r="F12" s="881">
        <f>D13</f>
        <v>262</v>
      </c>
      <c r="G12" s="891">
        <f>((E12-F12)/E12)*100</f>
        <v>94.359526372443497</v>
      </c>
      <c r="H12" s="129">
        <v>2625</v>
      </c>
      <c r="I12" s="881">
        <f>H12</f>
        <v>2625</v>
      </c>
      <c r="J12" s="881">
        <f>H13</f>
        <v>45</v>
      </c>
      <c r="K12" s="893">
        <f>((I12-J12)/I12)*100</f>
        <v>98.285714285714292</v>
      </c>
      <c r="L12" s="129">
        <v>656</v>
      </c>
      <c r="M12" s="881">
        <f>L12</f>
        <v>656</v>
      </c>
      <c r="N12" s="881">
        <f>L13</f>
        <v>58</v>
      </c>
      <c r="O12" s="895">
        <f>((M12-N12)/M12)*100</f>
        <v>91.158536585365852</v>
      </c>
      <c r="P12" s="129">
        <v>280</v>
      </c>
      <c r="Q12" s="881">
        <f>P12</f>
        <v>280</v>
      </c>
      <c r="R12" s="897">
        <f>P13</f>
        <v>56</v>
      </c>
      <c r="S12" s="881">
        <f>((Q12-R12)/Q12)*100</f>
        <v>80</v>
      </c>
      <c r="T12" s="129">
        <v>476</v>
      </c>
      <c r="U12" s="881">
        <f>T12</f>
        <v>476</v>
      </c>
      <c r="V12" s="881">
        <f>T13</f>
        <v>1148</v>
      </c>
      <c r="W12" s="899">
        <f>R12/V12</f>
        <v>4.878048780487805E-2</v>
      </c>
      <c r="X12" s="901">
        <v>40</v>
      </c>
      <c r="Y12" s="904">
        <f>(E12/X12)*24</f>
        <v>2787</v>
      </c>
      <c r="Z12" s="907">
        <f>Y12/1000</f>
        <v>2.7869999999999999</v>
      </c>
      <c r="AA12" s="910"/>
      <c r="AC12" s="864">
        <v>35</v>
      </c>
      <c r="AD12" s="653">
        <v>4645</v>
      </c>
      <c r="AE12" s="653">
        <v>262</v>
      </c>
      <c r="AF12" s="653">
        <v>2625</v>
      </c>
      <c r="AG12" s="653">
        <v>45</v>
      </c>
      <c r="AH12" s="653">
        <v>656</v>
      </c>
      <c r="AI12" s="653">
        <v>58</v>
      </c>
      <c r="AJ12" s="653">
        <v>280</v>
      </c>
      <c r="AK12" s="653">
        <v>56</v>
      </c>
      <c r="AL12" s="653">
        <v>476</v>
      </c>
      <c r="AM12" s="653">
        <v>1148</v>
      </c>
      <c r="AN12" s="653">
        <v>4.878048780487805E-2</v>
      </c>
      <c r="AO12" s="653">
        <v>40</v>
      </c>
      <c r="AP12" s="653">
        <v>2787</v>
      </c>
      <c r="AQ12" s="653">
        <v>2.7869999999999999</v>
      </c>
      <c r="AR12" s="865"/>
    </row>
    <row r="13" spans="2:44" ht="17" thickBot="1" x14ac:dyDescent="0.25">
      <c r="B13" s="890"/>
      <c r="C13" s="130" t="s">
        <v>151</v>
      </c>
      <c r="D13" s="130">
        <v>262</v>
      </c>
      <c r="E13" s="882"/>
      <c r="F13" s="882"/>
      <c r="G13" s="892"/>
      <c r="H13" s="130">
        <v>45</v>
      </c>
      <c r="I13" s="882"/>
      <c r="J13" s="882"/>
      <c r="K13" s="894"/>
      <c r="L13" s="130">
        <v>58</v>
      </c>
      <c r="M13" s="882"/>
      <c r="N13" s="882"/>
      <c r="O13" s="896"/>
      <c r="P13" s="130">
        <v>56</v>
      </c>
      <c r="Q13" s="882"/>
      <c r="R13" s="898"/>
      <c r="S13" s="882"/>
      <c r="T13" s="130">
        <v>1148</v>
      </c>
      <c r="U13" s="882"/>
      <c r="V13" s="882"/>
      <c r="W13" s="900"/>
      <c r="X13" s="902"/>
      <c r="Y13" s="905"/>
      <c r="Z13" s="912"/>
      <c r="AA13" s="910"/>
      <c r="AC13" s="864"/>
      <c r="AD13" s="653"/>
      <c r="AE13" s="653"/>
      <c r="AF13" s="653"/>
      <c r="AG13" s="653"/>
      <c r="AH13" s="653"/>
      <c r="AI13" s="653"/>
      <c r="AJ13" s="653"/>
      <c r="AK13" s="653"/>
      <c r="AL13" s="653"/>
      <c r="AM13" s="653"/>
      <c r="AN13" s="653"/>
      <c r="AO13" s="653"/>
      <c r="AP13" s="653"/>
      <c r="AQ13" s="653"/>
      <c r="AR13" s="865"/>
    </row>
    <row r="14" spans="2:44" ht="17" thickBot="1" x14ac:dyDescent="0.25">
      <c r="B14" s="889">
        <v>42</v>
      </c>
      <c r="C14" s="129" t="s">
        <v>145</v>
      </c>
      <c r="D14" s="129">
        <v>5141</v>
      </c>
      <c r="E14" s="881">
        <f>D14</f>
        <v>5141</v>
      </c>
      <c r="F14" s="881">
        <f>D15</f>
        <v>149</v>
      </c>
      <c r="G14" s="891">
        <f>((E14-F14)/E14)*100</f>
        <v>97.101731180704149</v>
      </c>
      <c r="H14" s="129">
        <v>3875</v>
      </c>
      <c r="I14" s="881">
        <f>H14</f>
        <v>3875</v>
      </c>
      <c r="J14" s="881">
        <f>H15</f>
        <v>30</v>
      </c>
      <c r="K14" s="893">
        <f>((I14-J14)/I14)*100</f>
        <v>99.225806451612911</v>
      </c>
      <c r="L14" s="129">
        <v>738</v>
      </c>
      <c r="M14" s="881">
        <f>L14</f>
        <v>738</v>
      </c>
      <c r="N14" s="881">
        <f>L15</f>
        <v>46</v>
      </c>
      <c r="O14" s="895">
        <f>((M14-N14)/M14)*100</f>
        <v>93.766937669376688</v>
      </c>
      <c r="P14" s="129">
        <v>465</v>
      </c>
      <c r="Q14" s="881">
        <f>P14</f>
        <v>465</v>
      </c>
      <c r="R14" s="897">
        <f>P15</f>
        <v>82</v>
      </c>
      <c r="S14" s="881">
        <f>((Q14-R14)/Q14)*100</f>
        <v>82.365591397849457</v>
      </c>
      <c r="T14" s="129">
        <v>446</v>
      </c>
      <c r="U14" s="881">
        <f>T14</f>
        <v>446</v>
      </c>
      <c r="V14" s="881">
        <f>T15</f>
        <v>678</v>
      </c>
      <c r="W14" s="899">
        <f>R14/V14</f>
        <v>0.12094395280235988</v>
      </c>
      <c r="X14" s="901">
        <v>40</v>
      </c>
      <c r="Y14" s="904">
        <f>(E14/X14)*24</f>
        <v>3084.6000000000004</v>
      </c>
      <c r="Z14" s="907">
        <f>Y14/1000</f>
        <v>3.0846000000000005</v>
      </c>
      <c r="AA14" s="910"/>
      <c r="AC14" s="864">
        <v>42</v>
      </c>
      <c r="AD14" s="653">
        <v>5141</v>
      </c>
      <c r="AE14" s="653">
        <v>149</v>
      </c>
      <c r="AF14" s="653">
        <v>3875</v>
      </c>
      <c r="AG14" s="653">
        <v>30</v>
      </c>
      <c r="AH14" s="653">
        <v>738</v>
      </c>
      <c r="AI14" s="653">
        <v>46</v>
      </c>
      <c r="AJ14" s="653">
        <v>465</v>
      </c>
      <c r="AK14" s="653">
        <v>82</v>
      </c>
      <c r="AL14" s="653">
        <v>446</v>
      </c>
      <c r="AM14" s="653">
        <v>678</v>
      </c>
      <c r="AN14" s="653">
        <v>0.12094395280235988</v>
      </c>
      <c r="AO14" s="653">
        <v>40</v>
      </c>
      <c r="AP14" s="653">
        <v>3084.6000000000004</v>
      </c>
      <c r="AQ14" s="653">
        <v>3.0846000000000005</v>
      </c>
      <c r="AR14" s="865"/>
    </row>
    <row r="15" spans="2:44" ht="17" thickBot="1" x14ac:dyDescent="0.25">
      <c r="B15" s="890"/>
      <c r="C15" s="130" t="s">
        <v>151</v>
      </c>
      <c r="D15" s="130">
        <v>149</v>
      </c>
      <c r="E15" s="882"/>
      <c r="F15" s="882"/>
      <c r="G15" s="892"/>
      <c r="H15" s="130">
        <v>30</v>
      </c>
      <c r="I15" s="882"/>
      <c r="J15" s="882"/>
      <c r="K15" s="894"/>
      <c r="L15" s="130">
        <v>46</v>
      </c>
      <c r="M15" s="882"/>
      <c r="N15" s="882"/>
      <c r="O15" s="896"/>
      <c r="P15" s="130">
        <v>82</v>
      </c>
      <c r="Q15" s="882"/>
      <c r="R15" s="898"/>
      <c r="S15" s="882"/>
      <c r="T15" s="130">
        <v>678</v>
      </c>
      <c r="U15" s="882"/>
      <c r="V15" s="882"/>
      <c r="W15" s="900"/>
      <c r="X15" s="902"/>
      <c r="Y15" s="905"/>
      <c r="Z15" s="912"/>
      <c r="AA15" s="910"/>
      <c r="AC15" s="864"/>
      <c r="AD15" s="653"/>
      <c r="AE15" s="653"/>
      <c r="AF15" s="653"/>
      <c r="AG15" s="653"/>
      <c r="AH15" s="653"/>
      <c r="AI15" s="653"/>
      <c r="AJ15" s="653"/>
      <c r="AK15" s="653"/>
      <c r="AL15" s="653"/>
      <c r="AM15" s="653"/>
      <c r="AN15" s="653"/>
      <c r="AO15" s="653"/>
      <c r="AP15" s="653"/>
      <c r="AQ15" s="653"/>
      <c r="AR15" s="865"/>
    </row>
    <row r="16" spans="2:44" ht="17" thickBot="1" x14ac:dyDescent="0.25">
      <c r="B16" s="889">
        <v>49</v>
      </c>
      <c r="C16" s="129" t="s">
        <v>145</v>
      </c>
      <c r="D16" s="129">
        <v>5189</v>
      </c>
      <c r="E16" s="881">
        <f>D16</f>
        <v>5189</v>
      </c>
      <c r="F16" s="881">
        <f>D17</f>
        <v>133</v>
      </c>
      <c r="G16" s="891">
        <f>((E16-F16)/E16)*100</f>
        <v>97.43688571979186</v>
      </c>
      <c r="H16" s="129">
        <v>3625</v>
      </c>
      <c r="I16" s="881">
        <f>H16</f>
        <v>3625</v>
      </c>
      <c r="J16" s="881">
        <f>H17</f>
        <v>45</v>
      </c>
      <c r="K16" s="893">
        <f>((I16-J16)/I16)*100</f>
        <v>98.758620689655174</v>
      </c>
      <c r="L16" s="129">
        <v>1160</v>
      </c>
      <c r="M16" s="881">
        <f>L16</f>
        <v>1160</v>
      </c>
      <c r="N16" s="881">
        <f>L17</f>
        <v>60</v>
      </c>
      <c r="O16" s="895">
        <f>((M16-N16)/M16)*100</f>
        <v>94.827586206896555</v>
      </c>
      <c r="P16" s="129">
        <v>448</v>
      </c>
      <c r="Q16" s="881">
        <f>P16</f>
        <v>448</v>
      </c>
      <c r="R16" s="897">
        <f>P17</f>
        <v>83</v>
      </c>
      <c r="S16" s="881">
        <f>((Q16-R16)/Q16)*100</f>
        <v>81.473214285714292</v>
      </c>
      <c r="T16" s="129">
        <v>862</v>
      </c>
      <c r="U16" s="881">
        <f>T16</f>
        <v>862</v>
      </c>
      <c r="V16" s="881">
        <f>T17</f>
        <v>722</v>
      </c>
      <c r="W16" s="899">
        <f>R16/V16</f>
        <v>0.1149584487534626</v>
      </c>
      <c r="X16" s="901">
        <v>40</v>
      </c>
      <c r="Y16" s="904">
        <f>(E16/X16)*24</f>
        <v>3113.3999999999996</v>
      </c>
      <c r="Z16" s="907">
        <f>Y16/1000</f>
        <v>3.1133999999999995</v>
      </c>
      <c r="AA16" s="910"/>
      <c r="AC16" s="864">
        <v>49</v>
      </c>
      <c r="AD16" s="653">
        <v>5189</v>
      </c>
      <c r="AE16" s="653">
        <v>133</v>
      </c>
      <c r="AF16" s="653">
        <v>3625</v>
      </c>
      <c r="AG16" s="653">
        <v>45</v>
      </c>
      <c r="AH16" s="653">
        <v>1160</v>
      </c>
      <c r="AI16" s="653">
        <v>60</v>
      </c>
      <c r="AJ16" s="653">
        <v>448</v>
      </c>
      <c r="AK16" s="653">
        <v>83</v>
      </c>
      <c r="AL16" s="653">
        <v>862</v>
      </c>
      <c r="AM16" s="653">
        <v>722</v>
      </c>
      <c r="AN16" s="653">
        <v>0.1149584487534626</v>
      </c>
      <c r="AO16" s="653">
        <v>40</v>
      </c>
      <c r="AP16" s="653">
        <v>3113.3999999999996</v>
      </c>
      <c r="AQ16" s="653">
        <v>3.1133999999999995</v>
      </c>
      <c r="AR16" s="865"/>
    </row>
    <row r="17" spans="2:44" ht="17" thickBot="1" x14ac:dyDescent="0.25">
      <c r="B17" s="890"/>
      <c r="C17" s="130" t="s">
        <v>151</v>
      </c>
      <c r="D17" s="130">
        <v>133</v>
      </c>
      <c r="E17" s="882"/>
      <c r="F17" s="882"/>
      <c r="G17" s="892"/>
      <c r="H17" s="133">
        <v>45</v>
      </c>
      <c r="I17" s="882"/>
      <c r="J17" s="882"/>
      <c r="K17" s="894"/>
      <c r="L17" s="130">
        <v>60</v>
      </c>
      <c r="M17" s="882"/>
      <c r="N17" s="882"/>
      <c r="O17" s="896"/>
      <c r="P17" s="130">
        <v>83</v>
      </c>
      <c r="Q17" s="882"/>
      <c r="R17" s="898"/>
      <c r="S17" s="882"/>
      <c r="T17" s="130">
        <v>722</v>
      </c>
      <c r="U17" s="882"/>
      <c r="V17" s="882"/>
      <c r="W17" s="900"/>
      <c r="X17" s="902"/>
      <c r="Y17" s="905"/>
      <c r="Z17" s="912"/>
      <c r="AA17" s="910"/>
      <c r="AC17" s="864"/>
      <c r="AD17" s="653"/>
      <c r="AE17" s="653"/>
      <c r="AF17" s="653"/>
      <c r="AG17" s="653"/>
      <c r="AH17" s="653"/>
      <c r="AI17" s="653"/>
      <c r="AJ17" s="653"/>
      <c r="AK17" s="653"/>
      <c r="AL17" s="653"/>
      <c r="AM17" s="653"/>
      <c r="AN17" s="653"/>
      <c r="AO17" s="653"/>
      <c r="AP17" s="653"/>
      <c r="AQ17" s="653"/>
      <c r="AR17" s="865"/>
    </row>
    <row r="18" spans="2:44" ht="17" thickBot="1" x14ac:dyDescent="0.25">
      <c r="B18" s="889">
        <v>56</v>
      </c>
      <c r="C18" s="129" t="s">
        <v>145</v>
      </c>
      <c r="D18" s="129">
        <v>5014</v>
      </c>
      <c r="E18" s="881">
        <f>D18</f>
        <v>5014</v>
      </c>
      <c r="F18" s="881">
        <f>D19</f>
        <v>234</v>
      </c>
      <c r="G18" s="891">
        <f>((E18-F18)/E18)*100</f>
        <v>95.333067411248507</v>
      </c>
      <c r="H18" s="129">
        <v>3125</v>
      </c>
      <c r="I18" s="881">
        <f>H18</f>
        <v>3125</v>
      </c>
      <c r="J18" s="881">
        <f>H19</f>
        <v>225</v>
      </c>
      <c r="K18" s="893">
        <f>((I18-J18)/I18)*100</f>
        <v>92.800000000000011</v>
      </c>
      <c r="L18" s="129">
        <v>564</v>
      </c>
      <c r="M18" s="881">
        <f>L18</f>
        <v>564</v>
      </c>
      <c r="N18" s="881">
        <f>L19</f>
        <v>82</v>
      </c>
      <c r="O18" s="895">
        <f>((M18-N18)/M18)*100</f>
        <v>85.460992907801412</v>
      </c>
      <c r="P18" s="129">
        <v>472</v>
      </c>
      <c r="Q18" s="881">
        <f>P18</f>
        <v>472</v>
      </c>
      <c r="R18" s="897">
        <f>P19</f>
        <v>75</v>
      </c>
      <c r="S18" s="881">
        <f>((Q18-R18)/Q18)*100</f>
        <v>84.110169491525426</v>
      </c>
      <c r="T18" s="129">
        <v>856</v>
      </c>
      <c r="U18" s="881">
        <f>T18</f>
        <v>856</v>
      </c>
      <c r="V18" s="881">
        <f>T19</f>
        <v>871</v>
      </c>
      <c r="W18" s="899">
        <f>R18/V18</f>
        <v>8.6107921928817457E-2</v>
      </c>
      <c r="X18" s="901">
        <v>30</v>
      </c>
      <c r="Y18" s="904">
        <f>(E18/X18)*24</f>
        <v>4011.2</v>
      </c>
      <c r="Z18" s="907">
        <f>Y18/1000</f>
        <v>4.0111999999999997</v>
      </c>
      <c r="AA18" s="910"/>
      <c r="AC18" s="864">
        <v>56</v>
      </c>
      <c r="AD18" s="653">
        <v>5014</v>
      </c>
      <c r="AE18" s="653">
        <v>234</v>
      </c>
      <c r="AF18" s="653">
        <v>3125</v>
      </c>
      <c r="AG18" s="653">
        <v>225</v>
      </c>
      <c r="AH18" s="653">
        <v>564</v>
      </c>
      <c r="AI18" s="653">
        <v>82</v>
      </c>
      <c r="AJ18" s="653">
        <v>472</v>
      </c>
      <c r="AK18" s="653">
        <v>75</v>
      </c>
      <c r="AL18" s="653">
        <v>856</v>
      </c>
      <c r="AM18" s="653">
        <v>871</v>
      </c>
      <c r="AN18" s="653">
        <v>8.6107921928817457E-2</v>
      </c>
      <c r="AO18" s="653">
        <v>30</v>
      </c>
      <c r="AP18" s="653">
        <v>4011.2</v>
      </c>
      <c r="AQ18" s="653">
        <v>4.0111999999999997</v>
      </c>
      <c r="AR18" s="865"/>
    </row>
    <row r="19" spans="2:44" ht="17" thickBot="1" x14ac:dyDescent="0.25">
      <c r="B19" s="890"/>
      <c r="C19" s="130" t="s">
        <v>151</v>
      </c>
      <c r="D19" s="130">
        <v>234</v>
      </c>
      <c r="E19" s="882"/>
      <c r="F19" s="882"/>
      <c r="G19" s="892"/>
      <c r="H19" s="133">
        <v>225</v>
      </c>
      <c r="I19" s="882"/>
      <c r="J19" s="882"/>
      <c r="K19" s="894"/>
      <c r="L19" s="130">
        <v>82</v>
      </c>
      <c r="M19" s="882"/>
      <c r="N19" s="882"/>
      <c r="O19" s="896"/>
      <c r="P19" s="130">
        <v>75</v>
      </c>
      <c r="Q19" s="882"/>
      <c r="R19" s="898"/>
      <c r="S19" s="882"/>
      <c r="T19" s="130">
        <v>871</v>
      </c>
      <c r="U19" s="882"/>
      <c r="V19" s="882"/>
      <c r="W19" s="900"/>
      <c r="X19" s="902"/>
      <c r="Y19" s="905"/>
      <c r="Z19" s="912"/>
      <c r="AA19" s="910"/>
      <c r="AC19" s="864"/>
      <c r="AD19" s="653"/>
      <c r="AE19" s="653"/>
      <c r="AF19" s="653"/>
      <c r="AG19" s="653"/>
      <c r="AH19" s="653"/>
      <c r="AI19" s="653"/>
      <c r="AJ19" s="653"/>
      <c r="AK19" s="653"/>
      <c r="AL19" s="653"/>
      <c r="AM19" s="653"/>
      <c r="AN19" s="653"/>
      <c r="AO19" s="653"/>
      <c r="AP19" s="653"/>
      <c r="AQ19" s="653"/>
      <c r="AR19" s="865"/>
    </row>
    <row r="20" spans="2:44" ht="17" thickBot="1" x14ac:dyDescent="0.25">
      <c r="B20" s="889">
        <v>63</v>
      </c>
      <c r="C20" s="129" t="s">
        <v>145</v>
      </c>
      <c r="D20" s="129">
        <v>6817</v>
      </c>
      <c r="E20" s="881">
        <f>D20</f>
        <v>6817</v>
      </c>
      <c r="F20" s="881">
        <f>D21</f>
        <v>181</v>
      </c>
      <c r="G20" s="891">
        <f>((E20-F20)/E20)*100</f>
        <v>97.344873111339297</v>
      </c>
      <c r="H20" s="129">
        <v>4250</v>
      </c>
      <c r="I20" s="881">
        <f>H20</f>
        <v>4250</v>
      </c>
      <c r="J20" s="881">
        <f>H21</f>
        <v>50</v>
      </c>
      <c r="K20" s="893">
        <f>((I20-J20)/I20)*100</f>
        <v>98.82352941176471</v>
      </c>
      <c r="L20" s="129">
        <v>1668</v>
      </c>
      <c r="M20" s="881">
        <f>L20</f>
        <v>1668</v>
      </c>
      <c r="N20" s="881">
        <f>L21</f>
        <v>62</v>
      </c>
      <c r="O20" s="895">
        <f>((M20-N20)/M20)*100</f>
        <v>96.282973621103125</v>
      </c>
      <c r="P20" s="129">
        <v>548</v>
      </c>
      <c r="Q20" s="881">
        <f>P20</f>
        <v>548</v>
      </c>
      <c r="R20" s="897">
        <f>P21</f>
        <v>78</v>
      </c>
      <c r="S20" s="881">
        <f>((Q20-R20)/Q20)*100</f>
        <v>85.766423357664237</v>
      </c>
      <c r="T20" s="129">
        <v>788</v>
      </c>
      <c r="U20" s="881">
        <f>T20</f>
        <v>788</v>
      </c>
      <c r="V20" s="881">
        <f>T21</f>
        <v>906</v>
      </c>
      <c r="W20" s="899">
        <f>R20/V20</f>
        <v>8.6092715231788075E-2</v>
      </c>
      <c r="X20" s="901">
        <v>24</v>
      </c>
      <c r="Y20" s="904">
        <f>(E20/X20)*24</f>
        <v>6817</v>
      </c>
      <c r="Z20" s="907">
        <f>Y20/1000</f>
        <v>6.8170000000000002</v>
      </c>
      <c r="AA20" s="910"/>
      <c r="AC20" s="864">
        <v>63</v>
      </c>
      <c r="AD20" s="653">
        <v>6817</v>
      </c>
      <c r="AE20" s="653">
        <v>181</v>
      </c>
      <c r="AF20" s="653">
        <v>4250</v>
      </c>
      <c r="AG20" s="653">
        <v>50</v>
      </c>
      <c r="AH20" s="653">
        <v>1668</v>
      </c>
      <c r="AI20" s="653">
        <v>62</v>
      </c>
      <c r="AJ20" s="653">
        <v>548</v>
      </c>
      <c r="AK20" s="653">
        <v>78</v>
      </c>
      <c r="AL20" s="653">
        <v>788</v>
      </c>
      <c r="AM20" s="653">
        <v>906</v>
      </c>
      <c r="AN20" s="653">
        <v>8.6092715231788075E-2</v>
      </c>
      <c r="AO20" s="653">
        <v>24</v>
      </c>
      <c r="AP20" s="653">
        <v>6817</v>
      </c>
      <c r="AQ20" s="653">
        <v>6.8170000000000002</v>
      </c>
      <c r="AR20" s="865"/>
    </row>
    <row r="21" spans="2:44" ht="17" thickBot="1" x14ac:dyDescent="0.25">
      <c r="B21" s="890"/>
      <c r="C21" s="130" t="s">
        <v>151</v>
      </c>
      <c r="D21" s="130">
        <v>181</v>
      </c>
      <c r="E21" s="882"/>
      <c r="F21" s="882"/>
      <c r="G21" s="892"/>
      <c r="H21" s="133">
        <v>50</v>
      </c>
      <c r="I21" s="882"/>
      <c r="J21" s="882"/>
      <c r="K21" s="894"/>
      <c r="L21" s="130">
        <v>62</v>
      </c>
      <c r="M21" s="882"/>
      <c r="N21" s="882"/>
      <c r="O21" s="896"/>
      <c r="P21" s="130">
        <v>78</v>
      </c>
      <c r="Q21" s="882"/>
      <c r="R21" s="898"/>
      <c r="S21" s="882"/>
      <c r="T21" s="130">
        <v>906</v>
      </c>
      <c r="U21" s="882"/>
      <c r="V21" s="882"/>
      <c r="W21" s="900"/>
      <c r="X21" s="902"/>
      <c r="Y21" s="905"/>
      <c r="Z21" s="912"/>
      <c r="AA21" s="910"/>
      <c r="AC21" s="864"/>
      <c r="AD21" s="653"/>
      <c r="AE21" s="653"/>
      <c r="AF21" s="653"/>
      <c r="AG21" s="653"/>
      <c r="AH21" s="653"/>
      <c r="AI21" s="653"/>
      <c r="AJ21" s="653"/>
      <c r="AK21" s="653"/>
      <c r="AL21" s="653"/>
      <c r="AM21" s="653"/>
      <c r="AN21" s="653"/>
      <c r="AO21" s="653"/>
      <c r="AP21" s="653"/>
      <c r="AQ21" s="653"/>
      <c r="AR21" s="865"/>
    </row>
    <row r="22" spans="2:44" ht="17" thickBot="1" x14ac:dyDescent="0.25">
      <c r="B22" s="889">
        <v>70</v>
      </c>
      <c r="C22" s="129" t="s">
        <v>145</v>
      </c>
      <c r="D22" s="131">
        <v>6137</v>
      </c>
      <c r="E22" s="881">
        <f>D22</f>
        <v>6137</v>
      </c>
      <c r="F22" s="881">
        <f>D23</f>
        <v>310</v>
      </c>
      <c r="G22" s="891">
        <f>((E22-F22)/E22)*100</f>
        <v>94.948671989571451</v>
      </c>
      <c r="H22" s="131">
        <v>5250</v>
      </c>
      <c r="I22" s="881">
        <f>H22</f>
        <v>5250</v>
      </c>
      <c r="J22" s="881">
        <f>H23</f>
        <v>80</v>
      </c>
      <c r="K22" s="893">
        <f>((I22-J22)/I22)*100</f>
        <v>98.476190476190467</v>
      </c>
      <c r="L22" s="131">
        <v>1974</v>
      </c>
      <c r="M22" s="881">
        <f>L22</f>
        <v>1974</v>
      </c>
      <c r="N22" s="881">
        <f>L23</f>
        <v>38</v>
      </c>
      <c r="O22" s="895">
        <f>((M22-N22)/M22)*100</f>
        <v>98.074974670719357</v>
      </c>
      <c r="P22" s="131">
        <v>560</v>
      </c>
      <c r="Q22" s="881">
        <f>P22</f>
        <v>560</v>
      </c>
      <c r="R22" s="897">
        <f>P23</f>
        <v>38</v>
      </c>
      <c r="S22" s="881">
        <f>((Q22-R22)/Q22)*100</f>
        <v>93.214285714285722</v>
      </c>
      <c r="U22" s="881">
        <f>T22</f>
        <v>0</v>
      </c>
      <c r="V22" s="881">
        <f>T23</f>
        <v>653</v>
      </c>
      <c r="W22" s="899">
        <f>R22/V22</f>
        <v>5.8192955589586523E-2</v>
      </c>
      <c r="X22" s="901">
        <v>24</v>
      </c>
      <c r="Y22" s="904">
        <f>(E22/X22)*24</f>
        <v>6137</v>
      </c>
      <c r="Z22" s="907">
        <f>Y22/1000</f>
        <v>6.1369999999999996</v>
      </c>
      <c r="AA22" s="910"/>
      <c r="AC22" s="864">
        <v>70</v>
      </c>
      <c r="AD22" s="653">
        <v>6137</v>
      </c>
      <c r="AE22" s="653">
        <v>310</v>
      </c>
      <c r="AF22" s="653">
        <v>5250</v>
      </c>
      <c r="AG22" s="653">
        <v>80</v>
      </c>
      <c r="AH22" s="653">
        <v>1974</v>
      </c>
      <c r="AI22" s="653">
        <v>38</v>
      </c>
      <c r="AJ22" s="653">
        <v>560</v>
      </c>
      <c r="AK22" s="653">
        <v>38</v>
      </c>
      <c r="AL22" s="653">
        <v>0</v>
      </c>
      <c r="AM22" s="653">
        <v>653</v>
      </c>
      <c r="AN22" s="653">
        <v>5.8192955589586523E-2</v>
      </c>
      <c r="AO22" s="653">
        <v>24</v>
      </c>
      <c r="AP22" s="653">
        <v>6137</v>
      </c>
      <c r="AQ22" s="653">
        <v>6.1369999999999996</v>
      </c>
      <c r="AR22" s="865"/>
    </row>
    <row r="23" spans="2:44" ht="17" thickBot="1" x14ac:dyDescent="0.25">
      <c r="B23" s="890"/>
      <c r="C23" s="130" t="s">
        <v>151</v>
      </c>
      <c r="D23">
        <v>310</v>
      </c>
      <c r="E23" s="882"/>
      <c r="F23" s="882"/>
      <c r="G23" s="892"/>
      <c r="H23" s="134">
        <v>80</v>
      </c>
      <c r="I23" s="882"/>
      <c r="J23" s="882"/>
      <c r="K23" s="894"/>
      <c r="L23">
        <v>38</v>
      </c>
      <c r="M23" s="882"/>
      <c r="N23" s="882"/>
      <c r="O23" s="896"/>
      <c r="P23">
        <v>38</v>
      </c>
      <c r="Q23" s="882"/>
      <c r="R23" s="898"/>
      <c r="S23" s="882"/>
      <c r="T23">
        <v>653</v>
      </c>
      <c r="U23" s="882"/>
      <c r="V23" s="882"/>
      <c r="W23" s="900"/>
      <c r="X23" s="902"/>
      <c r="Y23" s="905"/>
      <c r="Z23" s="912"/>
      <c r="AA23" s="910"/>
      <c r="AC23" s="864"/>
      <c r="AD23" s="653"/>
      <c r="AE23" s="653"/>
      <c r="AF23" s="653"/>
      <c r="AG23" s="653"/>
      <c r="AH23" s="653"/>
      <c r="AI23" s="653"/>
      <c r="AJ23" s="653"/>
      <c r="AK23" s="653"/>
      <c r="AL23" s="653"/>
      <c r="AM23" s="653"/>
      <c r="AN23" s="653"/>
      <c r="AO23" s="653"/>
      <c r="AP23" s="653"/>
      <c r="AQ23" s="653"/>
      <c r="AR23" s="865"/>
    </row>
    <row r="24" spans="2:44" ht="17" thickBot="1" x14ac:dyDescent="0.25">
      <c r="B24" s="889">
        <v>77</v>
      </c>
      <c r="C24" s="129" t="s">
        <v>145</v>
      </c>
      <c r="D24" s="131">
        <v>8829</v>
      </c>
      <c r="E24" s="881">
        <f>D24</f>
        <v>8829</v>
      </c>
      <c r="F24" s="881">
        <f>D25</f>
        <v>319</v>
      </c>
      <c r="G24" s="891">
        <f>((E24-F24)/E24)*100</f>
        <v>96.386906784460308</v>
      </c>
      <c r="H24">
        <v>6000</v>
      </c>
      <c r="I24" s="881">
        <f>H24</f>
        <v>6000</v>
      </c>
      <c r="J24" s="881">
        <f>H25</f>
        <v>70</v>
      </c>
      <c r="K24" s="893">
        <f>((I24-J24)/I24)*100</f>
        <v>98.833333333333329</v>
      </c>
      <c r="L24" s="131">
        <v>2560</v>
      </c>
      <c r="M24" s="881">
        <f>L24</f>
        <v>2560</v>
      </c>
      <c r="N24" s="881">
        <f>L25</f>
        <v>86</v>
      </c>
      <c r="O24" s="895">
        <f>((M24-N24)/M24)*100</f>
        <v>96.640625</v>
      </c>
      <c r="P24" s="131">
        <v>480</v>
      </c>
      <c r="Q24" s="881">
        <f>P24</f>
        <v>480</v>
      </c>
      <c r="R24" s="897">
        <f>P25</f>
        <v>43</v>
      </c>
      <c r="S24" s="881">
        <f>((Q24-R24)/Q24)*100</f>
        <v>91.041666666666671</v>
      </c>
      <c r="U24" s="881">
        <f>T24</f>
        <v>0</v>
      </c>
      <c r="V24" s="881">
        <f>T25</f>
        <v>677</v>
      </c>
      <c r="W24" s="899">
        <f>R24/V24</f>
        <v>6.3515509601181686E-2</v>
      </c>
      <c r="X24" s="901">
        <v>24</v>
      </c>
      <c r="Y24" s="904">
        <f>(E24/X24)*24</f>
        <v>8829</v>
      </c>
      <c r="Z24" s="907">
        <f>Y24/1000</f>
        <v>8.8290000000000006</v>
      </c>
      <c r="AA24" s="910"/>
      <c r="AC24" s="864">
        <v>77</v>
      </c>
      <c r="AD24" s="653">
        <v>8829</v>
      </c>
      <c r="AE24" s="653">
        <v>319</v>
      </c>
      <c r="AF24" s="653">
        <v>6000</v>
      </c>
      <c r="AG24" s="653">
        <v>70</v>
      </c>
      <c r="AH24" s="653">
        <v>2560</v>
      </c>
      <c r="AI24" s="653">
        <v>86</v>
      </c>
      <c r="AJ24" s="653">
        <v>480</v>
      </c>
      <c r="AK24" s="653">
        <v>43</v>
      </c>
      <c r="AL24" s="653">
        <v>0</v>
      </c>
      <c r="AM24" s="653">
        <v>677</v>
      </c>
      <c r="AN24" s="653">
        <v>6.3515509601181686E-2</v>
      </c>
      <c r="AO24" s="653">
        <v>24</v>
      </c>
      <c r="AP24" s="653">
        <v>8829</v>
      </c>
      <c r="AQ24" s="653">
        <v>8.8290000000000006</v>
      </c>
      <c r="AR24" s="865"/>
    </row>
    <row r="25" spans="2:44" ht="17" thickBot="1" x14ac:dyDescent="0.25">
      <c r="B25" s="890"/>
      <c r="C25" s="130" t="s">
        <v>151</v>
      </c>
      <c r="D25">
        <v>319</v>
      </c>
      <c r="E25" s="882"/>
      <c r="F25" s="882"/>
      <c r="G25" s="892"/>
      <c r="H25">
        <v>70</v>
      </c>
      <c r="I25" s="882"/>
      <c r="J25" s="882"/>
      <c r="K25" s="894"/>
      <c r="L25">
        <v>86</v>
      </c>
      <c r="M25" s="882"/>
      <c r="N25" s="882"/>
      <c r="O25" s="896"/>
      <c r="P25">
        <v>43</v>
      </c>
      <c r="Q25" s="882"/>
      <c r="R25" s="898"/>
      <c r="S25" s="882"/>
      <c r="T25">
        <v>677</v>
      </c>
      <c r="U25" s="882"/>
      <c r="V25" s="882"/>
      <c r="W25" s="900"/>
      <c r="X25" s="902"/>
      <c r="Y25" s="905"/>
      <c r="Z25" s="912"/>
      <c r="AA25" s="910"/>
      <c r="AC25" s="864"/>
      <c r="AD25" s="653"/>
      <c r="AE25" s="653"/>
      <c r="AF25" s="653"/>
      <c r="AG25" s="653"/>
      <c r="AH25" s="653"/>
      <c r="AI25" s="653"/>
      <c r="AJ25" s="653"/>
      <c r="AK25" s="653"/>
      <c r="AL25" s="653"/>
      <c r="AM25" s="653"/>
      <c r="AN25" s="653"/>
      <c r="AO25" s="653"/>
      <c r="AP25" s="653"/>
      <c r="AQ25" s="653"/>
      <c r="AR25" s="865"/>
    </row>
    <row r="26" spans="2:44" ht="17" thickBot="1" x14ac:dyDescent="0.25">
      <c r="B26" s="889">
        <v>84</v>
      </c>
      <c r="C26" s="129" t="s">
        <v>145</v>
      </c>
      <c r="D26" s="131">
        <v>8237</v>
      </c>
      <c r="E26" s="881">
        <f>D26</f>
        <v>8237</v>
      </c>
      <c r="F26" s="881">
        <f>D27</f>
        <v>168</v>
      </c>
      <c r="G26" s="891">
        <f>((E26-F26)/E26)*100</f>
        <v>97.960422483914044</v>
      </c>
      <c r="H26">
        <v>6250</v>
      </c>
      <c r="I26" s="881">
        <f>H26</f>
        <v>6250</v>
      </c>
      <c r="J26" s="881">
        <f>H27</f>
        <v>135</v>
      </c>
      <c r="K26" s="893">
        <f>((I26-J26)/I26)*100</f>
        <v>97.84</v>
      </c>
      <c r="L26" s="131">
        <v>1394</v>
      </c>
      <c r="M26" s="881">
        <f>L26</f>
        <v>1394</v>
      </c>
      <c r="N26" s="881">
        <f>L27</f>
        <v>42</v>
      </c>
      <c r="O26" s="895">
        <f>((M26-N26)/M26)*100</f>
        <v>96.987087517934</v>
      </c>
      <c r="P26" s="131">
        <v>219</v>
      </c>
      <c r="Q26" s="881">
        <f>P26</f>
        <v>219</v>
      </c>
      <c r="R26" s="897">
        <f>P27</f>
        <v>55</v>
      </c>
      <c r="S26" s="881">
        <f>((Q26-R26)/Q26)*100</f>
        <v>74.885844748858446</v>
      </c>
      <c r="T26">
        <v>832</v>
      </c>
      <c r="U26" s="881">
        <f>T26</f>
        <v>832</v>
      </c>
      <c r="V26" s="881">
        <f>T27</f>
        <v>774</v>
      </c>
      <c r="W26" s="899">
        <f>R26/V26</f>
        <v>7.10594315245478E-2</v>
      </c>
      <c r="X26" s="901">
        <v>20</v>
      </c>
      <c r="Y26" s="904">
        <f>(E26/X26)*24</f>
        <v>9884.4000000000015</v>
      </c>
      <c r="Z26" s="907">
        <f>Y26/1000</f>
        <v>9.8844000000000012</v>
      </c>
      <c r="AA26" s="910"/>
      <c r="AC26" s="864">
        <v>84</v>
      </c>
      <c r="AD26" s="653">
        <v>8237</v>
      </c>
      <c r="AE26" s="653">
        <v>168</v>
      </c>
      <c r="AF26" s="653">
        <v>6250</v>
      </c>
      <c r="AG26" s="653">
        <v>135</v>
      </c>
      <c r="AH26" s="653">
        <v>1394</v>
      </c>
      <c r="AI26" s="653">
        <v>42</v>
      </c>
      <c r="AJ26" s="653">
        <v>219</v>
      </c>
      <c r="AK26" s="653">
        <v>55</v>
      </c>
      <c r="AL26" s="653">
        <v>832</v>
      </c>
      <c r="AM26" s="653">
        <v>774</v>
      </c>
      <c r="AN26" s="653">
        <v>7.10594315245478E-2</v>
      </c>
      <c r="AO26" s="653">
        <v>20</v>
      </c>
      <c r="AP26" s="653">
        <v>9884.4000000000015</v>
      </c>
      <c r="AQ26" s="653">
        <v>9.8844000000000012</v>
      </c>
      <c r="AR26" s="865"/>
    </row>
    <row r="27" spans="2:44" ht="17" thickBot="1" x14ac:dyDescent="0.25">
      <c r="B27" s="890"/>
      <c r="C27" s="130" t="s">
        <v>151</v>
      </c>
      <c r="D27">
        <v>168</v>
      </c>
      <c r="E27" s="882"/>
      <c r="F27" s="882"/>
      <c r="G27" s="892"/>
      <c r="H27">
        <v>135</v>
      </c>
      <c r="I27" s="882"/>
      <c r="J27" s="882"/>
      <c r="K27" s="894"/>
      <c r="L27">
        <v>42</v>
      </c>
      <c r="M27" s="882"/>
      <c r="N27" s="882"/>
      <c r="O27" s="896"/>
      <c r="P27">
        <v>55</v>
      </c>
      <c r="Q27" s="882"/>
      <c r="R27" s="898"/>
      <c r="S27" s="882"/>
      <c r="T27">
        <v>774</v>
      </c>
      <c r="U27" s="882"/>
      <c r="V27" s="882"/>
      <c r="W27" s="900"/>
      <c r="X27" s="902"/>
      <c r="Y27" s="905"/>
      <c r="Z27" s="912"/>
      <c r="AA27" s="910"/>
      <c r="AC27" s="864"/>
      <c r="AD27" s="653"/>
      <c r="AE27" s="653"/>
      <c r="AF27" s="653"/>
      <c r="AG27" s="653"/>
      <c r="AH27" s="653"/>
      <c r="AI27" s="653"/>
      <c r="AJ27" s="653"/>
      <c r="AK27" s="653"/>
      <c r="AL27" s="653"/>
      <c r="AM27" s="653"/>
      <c r="AN27" s="653"/>
      <c r="AO27" s="653"/>
      <c r="AP27" s="653"/>
      <c r="AQ27" s="653"/>
      <c r="AR27" s="865"/>
    </row>
    <row r="28" spans="2:44" ht="17" thickBot="1" x14ac:dyDescent="0.25">
      <c r="B28" s="889">
        <v>91</v>
      </c>
      <c r="C28" s="129" t="s">
        <v>145</v>
      </c>
      <c r="D28">
        <v>32375</v>
      </c>
      <c r="E28" s="881">
        <f>D28</f>
        <v>32375</v>
      </c>
      <c r="F28" s="881">
        <f>D29</f>
        <v>125</v>
      </c>
      <c r="G28" s="891">
        <f>((E28-F28)/E28)*100</f>
        <v>99.613899613899619</v>
      </c>
      <c r="H28">
        <v>20500</v>
      </c>
      <c r="I28" s="881">
        <f>H28</f>
        <v>20500</v>
      </c>
      <c r="J28" s="881">
        <f>H29</f>
        <v>25</v>
      </c>
      <c r="K28" s="893">
        <f>((I28-J28)/I28)*100</f>
        <v>99.878048780487802</v>
      </c>
      <c r="L28">
        <v>8228</v>
      </c>
      <c r="M28" s="881">
        <f>L28</f>
        <v>8228</v>
      </c>
      <c r="N28" s="881">
        <f>L29</f>
        <v>48</v>
      </c>
      <c r="O28" s="895">
        <f>((M28-N28)/M28)*100</f>
        <v>99.41662615459407</v>
      </c>
      <c r="P28">
        <v>638</v>
      </c>
      <c r="Q28" s="881">
        <f>P28</f>
        <v>638</v>
      </c>
      <c r="R28" s="897">
        <f>P29</f>
        <v>29</v>
      </c>
      <c r="S28" s="881">
        <f>((Q28-R28)/Q28)*100</f>
        <v>95.454545454545453</v>
      </c>
      <c r="T28">
        <v>914</v>
      </c>
      <c r="U28" s="881">
        <f>T28</f>
        <v>914</v>
      </c>
      <c r="V28" s="881">
        <f>T29</f>
        <v>736</v>
      </c>
      <c r="W28" s="899">
        <f>R28/V28</f>
        <v>3.940217391304348E-2</v>
      </c>
      <c r="X28" s="901">
        <v>20</v>
      </c>
      <c r="Y28" s="904">
        <f>(E28/X28)*24</f>
        <v>38850</v>
      </c>
      <c r="Z28" s="907">
        <f>Y28/1000</f>
        <v>38.85</v>
      </c>
      <c r="AA28" s="910"/>
      <c r="AC28" s="864">
        <v>91</v>
      </c>
      <c r="AD28" s="653">
        <v>32375</v>
      </c>
      <c r="AE28" s="653">
        <v>125</v>
      </c>
      <c r="AF28" s="653">
        <v>20500</v>
      </c>
      <c r="AG28" s="653">
        <v>25</v>
      </c>
      <c r="AH28" s="653">
        <v>8228</v>
      </c>
      <c r="AI28" s="653">
        <v>48</v>
      </c>
      <c r="AJ28" s="653">
        <v>638</v>
      </c>
      <c r="AK28" s="653">
        <v>29</v>
      </c>
      <c r="AL28" s="653">
        <v>914</v>
      </c>
      <c r="AM28" s="653">
        <v>736</v>
      </c>
      <c r="AN28" s="653">
        <v>3.940217391304348E-2</v>
      </c>
      <c r="AO28" s="653">
        <v>20</v>
      </c>
      <c r="AP28" s="653">
        <v>38850</v>
      </c>
      <c r="AQ28" s="653">
        <v>38.85</v>
      </c>
      <c r="AR28" s="865"/>
    </row>
    <row r="29" spans="2:44" ht="17" thickBot="1" x14ac:dyDescent="0.25">
      <c r="B29" s="890"/>
      <c r="C29" s="130" t="s">
        <v>151</v>
      </c>
      <c r="D29">
        <v>125</v>
      </c>
      <c r="E29" s="882"/>
      <c r="F29" s="882"/>
      <c r="G29" s="892"/>
      <c r="H29">
        <v>25</v>
      </c>
      <c r="I29" s="882"/>
      <c r="J29" s="882"/>
      <c r="K29" s="894"/>
      <c r="L29">
        <v>48</v>
      </c>
      <c r="M29" s="882"/>
      <c r="N29" s="882"/>
      <c r="O29" s="896"/>
      <c r="P29">
        <v>29</v>
      </c>
      <c r="Q29" s="882"/>
      <c r="R29" s="898"/>
      <c r="S29" s="882"/>
      <c r="T29">
        <v>736</v>
      </c>
      <c r="U29" s="882"/>
      <c r="V29" s="882"/>
      <c r="W29" s="900"/>
      <c r="X29" s="902"/>
      <c r="Y29" s="905"/>
      <c r="Z29" s="912"/>
      <c r="AA29" s="910"/>
      <c r="AC29" s="864"/>
      <c r="AD29" s="653"/>
      <c r="AE29" s="653"/>
      <c r="AF29" s="653"/>
      <c r="AG29" s="653"/>
      <c r="AH29" s="653"/>
      <c r="AI29" s="653"/>
      <c r="AJ29" s="653"/>
      <c r="AK29" s="653"/>
      <c r="AL29" s="653"/>
      <c r="AM29" s="653"/>
      <c r="AN29" s="653"/>
      <c r="AO29" s="653"/>
      <c r="AP29" s="653"/>
      <c r="AQ29" s="653"/>
      <c r="AR29" s="865"/>
    </row>
    <row r="30" spans="2:44" ht="17" thickBot="1" x14ac:dyDescent="0.25">
      <c r="B30" s="889">
        <v>98</v>
      </c>
      <c r="C30" s="129" t="s">
        <v>145</v>
      </c>
      <c r="D30">
        <v>17903</v>
      </c>
      <c r="E30" s="881">
        <f>D30</f>
        <v>17903</v>
      </c>
      <c r="F30" s="881">
        <f>D31</f>
        <v>168</v>
      </c>
      <c r="G30" s="891">
        <f>((E30-F30)/E30)*100</f>
        <v>99.061609786069369</v>
      </c>
      <c r="H30">
        <v>9250</v>
      </c>
      <c r="I30" s="881">
        <f>H30</f>
        <v>9250</v>
      </c>
      <c r="J30" s="881">
        <f>H31</f>
        <v>45</v>
      </c>
      <c r="K30" s="893">
        <f>((I30-J30)/I30)*100</f>
        <v>99.513513513513516</v>
      </c>
      <c r="L30">
        <v>2458</v>
      </c>
      <c r="M30" s="881">
        <f>L30</f>
        <v>2458</v>
      </c>
      <c r="N30" s="881">
        <f>L31</f>
        <v>45</v>
      </c>
      <c r="O30" s="895">
        <f>((M30-N30)/M30)*100</f>
        <v>98.169243287225385</v>
      </c>
      <c r="P30">
        <v>1006</v>
      </c>
      <c r="Q30" s="881">
        <f>P30</f>
        <v>1006</v>
      </c>
      <c r="R30" s="897">
        <f>P31</f>
        <v>37</v>
      </c>
      <c r="S30" s="881">
        <f>((Q30-R30)/Q30)*100</f>
        <v>96.322067594433406</v>
      </c>
      <c r="T30">
        <v>1387</v>
      </c>
      <c r="U30" s="881">
        <f>T30</f>
        <v>1387</v>
      </c>
      <c r="V30" s="881">
        <f>T31</f>
        <v>928</v>
      </c>
      <c r="W30" s="899">
        <f>R30/V30</f>
        <v>3.9870689655172417E-2</v>
      </c>
      <c r="X30" s="901">
        <v>15</v>
      </c>
      <c r="Y30" s="904">
        <f>(E30/X30)*24</f>
        <v>28644.799999999999</v>
      </c>
      <c r="Z30" s="907">
        <f>Y30/1000</f>
        <v>28.6448</v>
      </c>
      <c r="AA30" s="910"/>
      <c r="AC30" s="864">
        <v>98</v>
      </c>
      <c r="AD30" s="653">
        <v>17903</v>
      </c>
      <c r="AE30" s="653">
        <v>168</v>
      </c>
      <c r="AF30" s="653">
        <v>9250</v>
      </c>
      <c r="AG30" s="653">
        <v>45</v>
      </c>
      <c r="AH30" s="653">
        <v>2458</v>
      </c>
      <c r="AI30" s="653">
        <v>45</v>
      </c>
      <c r="AJ30" s="653">
        <v>1006</v>
      </c>
      <c r="AK30" s="653">
        <v>37</v>
      </c>
      <c r="AL30" s="653">
        <v>1387</v>
      </c>
      <c r="AM30" s="653">
        <v>928</v>
      </c>
      <c r="AN30" s="653">
        <v>3.9870689655172417E-2</v>
      </c>
      <c r="AO30" s="653">
        <v>15</v>
      </c>
      <c r="AP30" s="653">
        <v>28644.799999999999</v>
      </c>
      <c r="AQ30" s="653">
        <v>28.6448</v>
      </c>
      <c r="AR30" s="865"/>
    </row>
    <row r="31" spans="2:44" ht="17" thickBot="1" x14ac:dyDescent="0.25">
      <c r="B31" s="890"/>
      <c r="C31" s="130" t="s">
        <v>151</v>
      </c>
      <c r="D31">
        <v>168</v>
      </c>
      <c r="E31" s="882"/>
      <c r="F31" s="882"/>
      <c r="G31" s="892"/>
      <c r="H31">
        <v>45</v>
      </c>
      <c r="I31" s="882"/>
      <c r="J31" s="882"/>
      <c r="K31" s="894"/>
      <c r="L31">
        <v>45</v>
      </c>
      <c r="M31" s="882"/>
      <c r="N31" s="882"/>
      <c r="O31" s="896"/>
      <c r="P31">
        <v>37</v>
      </c>
      <c r="Q31" s="882"/>
      <c r="R31" s="898"/>
      <c r="S31" s="882"/>
      <c r="T31">
        <v>928</v>
      </c>
      <c r="U31" s="882"/>
      <c r="V31" s="882"/>
      <c r="W31" s="900"/>
      <c r="X31" s="902"/>
      <c r="Y31" s="905"/>
      <c r="Z31" s="912"/>
      <c r="AA31" s="910"/>
      <c r="AC31" s="864"/>
      <c r="AD31" s="653"/>
      <c r="AE31" s="653"/>
      <c r="AF31" s="653"/>
      <c r="AG31" s="653"/>
      <c r="AH31" s="653"/>
      <c r="AI31" s="653"/>
      <c r="AJ31" s="653"/>
      <c r="AK31" s="653"/>
      <c r="AL31" s="653"/>
      <c r="AM31" s="653"/>
      <c r="AN31" s="653"/>
      <c r="AO31" s="653"/>
      <c r="AP31" s="653"/>
      <c r="AQ31" s="653"/>
      <c r="AR31" s="865"/>
    </row>
    <row r="32" spans="2:44" ht="17" thickBot="1" x14ac:dyDescent="0.25">
      <c r="B32" s="889">
        <v>105</v>
      </c>
      <c r="C32" s="129" t="s">
        <v>145</v>
      </c>
      <c r="D32">
        <v>7374</v>
      </c>
      <c r="E32" s="881">
        <f>D32</f>
        <v>7374</v>
      </c>
      <c r="F32" s="881">
        <f>D33</f>
        <v>205</v>
      </c>
      <c r="G32" s="891">
        <f>((E32-F32)/E32)*100</f>
        <v>97.219962028749663</v>
      </c>
      <c r="H32">
        <v>3500</v>
      </c>
      <c r="I32" s="881">
        <f>H32</f>
        <v>3500</v>
      </c>
      <c r="J32" s="881">
        <f>H33</f>
        <v>60</v>
      </c>
      <c r="K32" s="893">
        <f>((I32-J32)/I32)*100</f>
        <v>98.285714285714292</v>
      </c>
      <c r="L32">
        <v>752</v>
      </c>
      <c r="M32" s="881">
        <f>L32</f>
        <v>752</v>
      </c>
      <c r="N32" s="881">
        <f>L33</f>
        <v>116</v>
      </c>
      <c r="O32" s="895">
        <f>((M32-N32)/M32)*100</f>
        <v>84.574468085106375</v>
      </c>
      <c r="P32">
        <v>165</v>
      </c>
      <c r="Q32" s="881">
        <f>P32</f>
        <v>165</v>
      </c>
      <c r="R32" s="897">
        <f>P33</f>
        <v>165</v>
      </c>
      <c r="S32" s="881">
        <f>((Q32-R32)/Q32)*100</f>
        <v>0</v>
      </c>
      <c r="T32">
        <v>1280</v>
      </c>
      <c r="U32" s="881">
        <f>T32</f>
        <v>1280</v>
      </c>
      <c r="V32" s="881">
        <f>T33</f>
        <v>1221</v>
      </c>
      <c r="W32" s="899">
        <f>R32/V32</f>
        <v>0.13513513513513514</v>
      </c>
      <c r="X32" s="901">
        <v>15</v>
      </c>
      <c r="Y32" s="904">
        <f>(E32/X32)*24</f>
        <v>11798.400000000001</v>
      </c>
      <c r="Z32" s="907">
        <f>Y32/1000</f>
        <v>11.798400000000001</v>
      </c>
      <c r="AA32" s="910"/>
      <c r="AC32" s="866">
        <v>105</v>
      </c>
      <c r="AD32" s="860">
        <v>7374</v>
      </c>
      <c r="AE32" s="860">
        <v>205</v>
      </c>
      <c r="AF32" s="860">
        <v>3500</v>
      </c>
      <c r="AG32" s="860">
        <v>60</v>
      </c>
      <c r="AH32" s="860">
        <v>752</v>
      </c>
      <c r="AI32" s="860">
        <v>116</v>
      </c>
      <c r="AJ32" s="860">
        <v>165</v>
      </c>
      <c r="AK32" s="860">
        <v>165</v>
      </c>
      <c r="AL32" s="860">
        <v>1280</v>
      </c>
      <c r="AM32" s="860">
        <v>1221</v>
      </c>
      <c r="AN32" s="860">
        <v>0.13513513513513514</v>
      </c>
      <c r="AO32" s="860">
        <v>15</v>
      </c>
      <c r="AP32" s="860">
        <v>11798.400000000001</v>
      </c>
      <c r="AQ32" s="860">
        <v>11.798400000000001</v>
      </c>
      <c r="AR32" s="867"/>
    </row>
    <row r="33" spans="2:44" ht="17" thickBot="1" x14ac:dyDescent="0.25">
      <c r="B33" s="890"/>
      <c r="C33" s="130" t="s">
        <v>151</v>
      </c>
      <c r="D33" s="132">
        <v>205</v>
      </c>
      <c r="E33" s="882"/>
      <c r="F33" s="882"/>
      <c r="G33" s="892"/>
      <c r="H33" s="132">
        <v>60</v>
      </c>
      <c r="I33" s="882"/>
      <c r="J33" s="882"/>
      <c r="K33" s="894"/>
      <c r="L33" s="132">
        <v>116</v>
      </c>
      <c r="M33" s="882"/>
      <c r="N33" s="882"/>
      <c r="O33" s="896"/>
      <c r="P33" s="132">
        <v>165</v>
      </c>
      <c r="Q33" s="882"/>
      <c r="R33" s="898"/>
      <c r="S33" s="882"/>
      <c r="T33" s="132">
        <v>1221</v>
      </c>
      <c r="U33" s="882"/>
      <c r="V33" s="882"/>
      <c r="W33" s="900"/>
      <c r="X33" s="903"/>
      <c r="Y33" s="906"/>
      <c r="Z33" s="908"/>
      <c r="AA33" s="911"/>
      <c r="AC33" s="653"/>
      <c r="AD33" s="653"/>
      <c r="AE33" s="653"/>
      <c r="AF33" s="653"/>
      <c r="AG33" s="653"/>
      <c r="AH33" s="653"/>
      <c r="AI33" s="653"/>
      <c r="AJ33" s="653"/>
      <c r="AK33" s="653"/>
      <c r="AL33" s="653"/>
      <c r="AM33" s="653"/>
      <c r="AN33" s="653"/>
      <c r="AO33" s="653"/>
      <c r="AP33" s="653"/>
      <c r="AQ33" s="653"/>
      <c r="AR33" s="653"/>
    </row>
  </sheetData>
  <mergeCells count="287">
    <mergeCell ref="Y32:Y33"/>
    <mergeCell ref="K32:K33"/>
    <mergeCell ref="M32:M33"/>
    <mergeCell ref="N32:N33"/>
    <mergeCell ref="O32:O33"/>
    <mergeCell ref="Q32:Q33"/>
    <mergeCell ref="R32:R33"/>
    <mergeCell ref="Q28:Q29"/>
    <mergeCell ref="R28:R29"/>
    <mergeCell ref="W30:W31"/>
    <mergeCell ref="X30:X31"/>
    <mergeCell ref="Y30:Y31"/>
    <mergeCell ref="K28:K29"/>
    <mergeCell ref="M28:M29"/>
    <mergeCell ref="N28:N29"/>
    <mergeCell ref="O28:O29"/>
    <mergeCell ref="Z30:Z31"/>
    <mergeCell ref="B32:B33"/>
    <mergeCell ref="E32:E33"/>
    <mergeCell ref="F32:F33"/>
    <mergeCell ref="G32:G33"/>
    <mergeCell ref="I32:I33"/>
    <mergeCell ref="J32:J33"/>
    <mergeCell ref="O30:O31"/>
    <mergeCell ref="Q30:Q31"/>
    <mergeCell ref="R30:R31"/>
    <mergeCell ref="S30:S31"/>
    <mergeCell ref="U30:U31"/>
    <mergeCell ref="V30:V31"/>
    <mergeCell ref="Z32:Z33"/>
    <mergeCell ref="S32:S33"/>
    <mergeCell ref="U32:U33"/>
    <mergeCell ref="V32:V33"/>
    <mergeCell ref="W32:W33"/>
    <mergeCell ref="X32:X33"/>
    <mergeCell ref="B30:B31"/>
    <mergeCell ref="E30:E31"/>
    <mergeCell ref="F30:F31"/>
    <mergeCell ref="G30:G31"/>
    <mergeCell ref="I30:I31"/>
    <mergeCell ref="J30:J31"/>
    <mergeCell ref="K30:K31"/>
    <mergeCell ref="M30:M31"/>
    <mergeCell ref="N30:N31"/>
    <mergeCell ref="Z26:Z27"/>
    <mergeCell ref="B28:B29"/>
    <mergeCell ref="E28:E29"/>
    <mergeCell ref="F28:F29"/>
    <mergeCell ref="G28:G29"/>
    <mergeCell ref="I28:I29"/>
    <mergeCell ref="J28:J29"/>
    <mergeCell ref="O26:O27"/>
    <mergeCell ref="Q26:Q27"/>
    <mergeCell ref="R26:R27"/>
    <mergeCell ref="S26:S27"/>
    <mergeCell ref="U26:U27"/>
    <mergeCell ref="V26:V27"/>
    <mergeCell ref="Z28:Z29"/>
    <mergeCell ref="S28:S29"/>
    <mergeCell ref="U28:U29"/>
    <mergeCell ref="V28:V29"/>
    <mergeCell ref="W28:W29"/>
    <mergeCell ref="X28:X29"/>
    <mergeCell ref="Y28:Y29"/>
    <mergeCell ref="X24:X25"/>
    <mergeCell ref="Y24:Y25"/>
    <mergeCell ref="K24:K25"/>
    <mergeCell ref="M24:M25"/>
    <mergeCell ref="N24:N25"/>
    <mergeCell ref="O24:O25"/>
    <mergeCell ref="Q24:Q25"/>
    <mergeCell ref="R24:R25"/>
    <mergeCell ref="W26:W27"/>
    <mergeCell ref="X26:X27"/>
    <mergeCell ref="Y26:Y27"/>
    <mergeCell ref="B26:B27"/>
    <mergeCell ref="E26:E27"/>
    <mergeCell ref="F26:F27"/>
    <mergeCell ref="G26:G27"/>
    <mergeCell ref="I26:I27"/>
    <mergeCell ref="J26:J27"/>
    <mergeCell ref="K26:K27"/>
    <mergeCell ref="M26:M27"/>
    <mergeCell ref="N26:N27"/>
    <mergeCell ref="O20:O21"/>
    <mergeCell ref="Q20:Q21"/>
    <mergeCell ref="R20:R21"/>
    <mergeCell ref="W22:W23"/>
    <mergeCell ref="X22:X23"/>
    <mergeCell ref="Y22:Y23"/>
    <mergeCell ref="Z22:Z23"/>
    <mergeCell ref="B24:B25"/>
    <mergeCell ref="E24:E25"/>
    <mergeCell ref="F24:F25"/>
    <mergeCell ref="G24:G25"/>
    <mergeCell ref="I24:I25"/>
    <mergeCell ref="J24:J25"/>
    <mergeCell ref="O22:O23"/>
    <mergeCell ref="Q22:Q23"/>
    <mergeCell ref="R22:R23"/>
    <mergeCell ref="S22:S23"/>
    <mergeCell ref="U22:U23"/>
    <mergeCell ref="V22:V23"/>
    <mergeCell ref="Z24:Z25"/>
    <mergeCell ref="S24:S25"/>
    <mergeCell ref="U24:U25"/>
    <mergeCell ref="V24:V25"/>
    <mergeCell ref="W24:W25"/>
    <mergeCell ref="B22:B23"/>
    <mergeCell ref="E22:E23"/>
    <mergeCell ref="F22:F23"/>
    <mergeCell ref="G22:G23"/>
    <mergeCell ref="I22:I23"/>
    <mergeCell ref="J22:J23"/>
    <mergeCell ref="K22:K23"/>
    <mergeCell ref="M22:M23"/>
    <mergeCell ref="N22:N23"/>
    <mergeCell ref="Y18:Y19"/>
    <mergeCell ref="Z18:Z19"/>
    <mergeCell ref="B20:B21"/>
    <mergeCell ref="E20:E21"/>
    <mergeCell ref="F20:F21"/>
    <mergeCell ref="G20:G21"/>
    <mergeCell ref="I20:I21"/>
    <mergeCell ref="J20:J21"/>
    <mergeCell ref="O18:O19"/>
    <mergeCell ref="Q18:Q19"/>
    <mergeCell ref="R18:R19"/>
    <mergeCell ref="S18:S19"/>
    <mergeCell ref="U18:U19"/>
    <mergeCell ref="V18:V19"/>
    <mergeCell ref="Z20:Z21"/>
    <mergeCell ref="S20:S21"/>
    <mergeCell ref="U20:U21"/>
    <mergeCell ref="V20:V21"/>
    <mergeCell ref="W20:W21"/>
    <mergeCell ref="X20:X21"/>
    <mergeCell ref="Y20:Y21"/>
    <mergeCell ref="K20:K21"/>
    <mergeCell ref="M20:M21"/>
    <mergeCell ref="N20:N21"/>
    <mergeCell ref="Z16:Z17"/>
    <mergeCell ref="B18:B19"/>
    <mergeCell ref="E18:E19"/>
    <mergeCell ref="F18:F19"/>
    <mergeCell ref="G18:G19"/>
    <mergeCell ref="I18:I19"/>
    <mergeCell ref="J18:J19"/>
    <mergeCell ref="K18:K19"/>
    <mergeCell ref="M18:M19"/>
    <mergeCell ref="N18:N19"/>
    <mergeCell ref="S16:S17"/>
    <mergeCell ref="U16:U17"/>
    <mergeCell ref="V16:V17"/>
    <mergeCell ref="W16:W17"/>
    <mergeCell ref="X16:X17"/>
    <mergeCell ref="Y16:Y17"/>
    <mergeCell ref="K16:K17"/>
    <mergeCell ref="M16:M17"/>
    <mergeCell ref="N16:N17"/>
    <mergeCell ref="O16:O17"/>
    <mergeCell ref="Q16:Q17"/>
    <mergeCell ref="R16:R17"/>
    <mergeCell ref="W18:W19"/>
    <mergeCell ref="X18:X19"/>
    <mergeCell ref="B16:B17"/>
    <mergeCell ref="E16:E17"/>
    <mergeCell ref="F16:F17"/>
    <mergeCell ref="G16:G17"/>
    <mergeCell ref="I16:I17"/>
    <mergeCell ref="J16:J17"/>
    <mergeCell ref="O14:O15"/>
    <mergeCell ref="Q14:Q15"/>
    <mergeCell ref="R14:R15"/>
    <mergeCell ref="O12:O13"/>
    <mergeCell ref="Q12:Q13"/>
    <mergeCell ref="R12:R13"/>
    <mergeCell ref="B12:B13"/>
    <mergeCell ref="E12:E13"/>
    <mergeCell ref="W14:W15"/>
    <mergeCell ref="X14:X15"/>
    <mergeCell ref="Y14:Y15"/>
    <mergeCell ref="Z14:Z15"/>
    <mergeCell ref="S14:S15"/>
    <mergeCell ref="U14:U15"/>
    <mergeCell ref="V14:V15"/>
    <mergeCell ref="B14:B15"/>
    <mergeCell ref="E14:E15"/>
    <mergeCell ref="F14:F15"/>
    <mergeCell ref="G14:G15"/>
    <mergeCell ref="I14:I15"/>
    <mergeCell ref="J14:J15"/>
    <mergeCell ref="K14:K15"/>
    <mergeCell ref="M14:M15"/>
    <mergeCell ref="N14:N15"/>
    <mergeCell ref="Q10:Q11"/>
    <mergeCell ref="R10:R11"/>
    <mergeCell ref="S10:S11"/>
    <mergeCell ref="Y8:Y9"/>
    <mergeCell ref="Z8:Z9"/>
    <mergeCell ref="F12:F13"/>
    <mergeCell ref="G12:G13"/>
    <mergeCell ref="I12:I13"/>
    <mergeCell ref="J12:J13"/>
    <mergeCell ref="U10:U11"/>
    <mergeCell ref="V10:V11"/>
    <mergeCell ref="W10:W11"/>
    <mergeCell ref="X10:X11"/>
    <mergeCell ref="Y10:Y11"/>
    <mergeCell ref="Z12:Z13"/>
    <mergeCell ref="S12:S13"/>
    <mergeCell ref="U12:U13"/>
    <mergeCell ref="V12:V13"/>
    <mergeCell ref="W12:W13"/>
    <mergeCell ref="X12:X13"/>
    <mergeCell ref="Y12:Y13"/>
    <mergeCell ref="K12:K13"/>
    <mergeCell ref="M12:M13"/>
    <mergeCell ref="N12:N13"/>
    <mergeCell ref="AA8:AA33"/>
    <mergeCell ref="B10:B11"/>
    <mergeCell ref="E10:E11"/>
    <mergeCell ref="F10:F11"/>
    <mergeCell ref="G10:G11"/>
    <mergeCell ref="I10:I11"/>
    <mergeCell ref="J10:J11"/>
    <mergeCell ref="K10:K11"/>
    <mergeCell ref="R8:R9"/>
    <mergeCell ref="S8:S9"/>
    <mergeCell ref="U8:U9"/>
    <mergeCell ref="V8:V9"/>
    <mergeCell ref="W8:W9"/>
    <mergeCell ref="X8:X9"/>
    <mergeCell ref="J8:J9"/>
    <mergeCell ref="K8:K9"/>
    <mergeCell ref="M8:M9"/>
    <mergeCell ref="N8:N9"/>
    <mergeCell ref="O8:O9"/>
    <mergeCell ref="Q8:Q9"/>
    <mergeCell ref="Z10:Z11"/>
    <mergeCell ref="M10:M11"/>
    <mergeCell ref="N10:N11"/>
    <mergeCell ref="O10:O11"/>
    <mergeCell ref="B8:B9"/>
    <mergeCell ref="E8:E9"/>
    <mergeCell ref="F8:F9"/>
    <mergeCell ref="G8:G9"/>
    <mergeCell ref="I8:I9"/>
    <mergeCell ref="N6:N7"/>
    <mergeCell ref="O6:O7"/>
    <mergeCell ref="Q6:Q7"/>
    <mergeCell ref="R6:R7"/>
    <mergeCell ref="W6:W7"/>
    <mergeCell ref="X6:X7"/>
    <mergeCell ref="Y6:Y7"/>
    <mergeCell ref="Z6:Z7"/>
    <mergeCell ref="S6:S7"/>
    <mergeCell ref="U6:U7"/>
    <mergeCell ref="F4:F5"/>
    <mergeCell ref="G4:G5"/>
    <mergeCell ref="I4:I5"/>
    <mergeCell ref="J4:J5"/>
    <mergeCell ref="Z4:Z5"/>
    <mergeCell ref="AA4:AA7"/>
    <mergeCell ref="B6:B7"/>
    <mergeCell ref="E6:E7"/>
    <mergeCell ref="F6:F7"/>
    <mergeCell ref="G6:G7"/>
    <mergeCell ref="I6:I7"/>
    <mergeCell ref="J6:J7"/>
    <mergeCell ref="K6:K7"/>
    <mergeCell ref="M6:M7"/>
    <mergeCell ref="S4:S5"/>
    <mergeCell ref="U4:U5"/>
    <mergeCell ref="V4:V5"/>
    <mergeCell ref="W4:W5"/>
    <mergeCell ref="X4:X5"/>
    <mergeCell ref="Y4:Y5"/>
    <mergeCell ref="K4:K5"/>
    <mergeCell ref="M4:M5"/>
    <mergeCell ref="N4:N5"/>
    <mergeCell ref="O4:O5"/>
    <mergeCell ref="Q4:Q5"/>
    <mergeCell ref="R4:R5"/>
    <mergeCell ref="B4:B5"/>
    <mergeCell ref="E4:E5"/>
    <mergeCell ref="V6:V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11236-E921-E841-BF62-7818EC375C82}">
  <dimension ref="A1:ANF3733"/>
  <sheetViews>
    <sheetView topLeftCell="FE1" workbookViewId="0">
      <selection activeCell="AL125" sqref="AL125"/>
    </sheetView>
  </sheetViews>
  <sheetFormatPr baseColWidth="10" defaultColWidth="8.83203125" defaultRowHeight="16" x14ac:dyDescent="0.2"/>
  <cols>
    <col min="1" max="1" width="11.83203125" customWidth="1"/>
    <col min="2" max="2" width="24.6640625" style="29" customWidth="1"/>
    <col min="3" max="3" width="26.5" style="643" customWidth="1"/>
    <col min="4" max="4" width="15.33203125" bestFit="1" customWidth="1"/>
    <col min="5" max="5" width="17.33203125" bestFit="1" customWidth="1"/>
    <col min="6" max="6" width="14.83203125" style="61" bestFit="1" customWidth="1"/>
    <col min="7" max="8" width="12.83203125" customWidth="1"/>
    <col min="9" max="9" width="16.1640625" bestFit="1" customWidth="1"/>
    <col min="10" max="12" width="12.83203125" customWidth="1"/>
    <col min="13" max="13" width="14.5" bestFit="1" customWidth="1"/>
    <col min="14" max="14" width="12.83203125" customWidth="1"/>
    <col min="15" max="15" width="12.6640625" customWidth="1"/>
    <col min="16" max="16" width="12.83203125" customWidth="1"/>
    <col min="17" max="17" width="12.6640625" customWidth="1"/>
    <col min="18" max="18" width="12.83203125" customWidth="1"/>
    <col min="19" max="19" width="20.1640625" bestFit="1" customWidth="1"/>
    <col min="20" max="26" width="12.83203125" customWidth="1"/>
    <col min="27" max="27" width="13.1640625" bestFit="1" customWidth="1"/>
    <col min="28" max="28" width="12.83203125" customWidth="1"/>
    <col min="29" max="29" width="12.5" customWidth="1"/>
    <col min="30" max="36" width="12.83203125" customWidth="1"/>
    <col min="37" max="37" width="12.6640625" customWidth="1"/>
    <col min="38" max="45" width="12.83203125" customWidth="1"/>
    <col min="46" max="46" width="16.1640625" bestFit="1" customWidth="1"/>
    <col min="47" max="56" width="12.83203125" customWidth="1"/>
    <col min="57" max="57" width="13" customWidth="1"/>
    <col min="58" max="65" width="12.83203125" customWidth="1"/>
    <col min="66" max="66" width="12.5" customWidth="1"/>
    <col min="67" max="73" width="13" customWidth="1"/>
    <col min="74" max="74" width="12.83203125" customWidth="1"/>
    <col min="75" max="83" width="13" customWidth="1"/>
    <col min="84" max="84" width="12.6640625" customWidth="1"/>
    <col min="85" max="105" width="13" customWidth="1"/>
    <col min="106" max="106" width="12.83203125" customWidth="1"/>
    <col min="107" max="107" width="12.6640625" customWidth="1"/>
    <col min="108" max="116" width="12.83203125" customWidth="1"/>
    <col min="117" max="117" width="12.6640625" customWidth="1"/>
    <col min="118" max="126" width="12.83203125" customWidth="1"/>
    <col min="127" max="127" width="12.6640625" customWidth="1"/>
    <col min="128" max="136" width="12.83203125" customWidth="1"/>
    <col min="137" max="137" width="12.6640625" customWidth="1"/>
    <col min="138" max="146" width="12.83203125" customWidth="1"/>
    <col min="147" max="147" width="12.6640625" customWidth="1"/>
    <col min="148" max="156" width="12.83203125" customWidth="1"/>
    <col min="157" max="157" width="12.6640625" customWidth="1"/>
    <col min="158" max="166" width="12.83203125" customWidth="1"/>
    <col min="167" max="167" width="12.6640625" customWidth="1"/>
    <col min="168" max="176" width="12.83203125" customWidth="1"/>
    <col min="177" max="177" width="12.6640625" customWidth="1"/>
    <col min="178" max="178" width="12.33203125" bestFit="1" customWidth="1"/>
    <col min="179" max="186" width="12.83203125" customWidth="1"/>
    <col min="187" max="187" width="12.6640625" customWidth="1"/>
    <col min="188" max="196" width="12.83203125" customWidth="1"/>
    <col min="197" max="197" width="12.6640625" customWidth="1"/>
    <col min="198" max="205" width="12.83203125" customWidth="1"/>
    <col min="206" max="235" width="8.83203125" style="2"/>
  </cols>
  <sheetData>
    <row r="1" spans="1:1046" ht="20" x14ac:dyDescent="0.25">
      <c r="A1" s="1" t="s">
        <v>0</v>
      </c>
      <c r="B1" s="3"/>
      <c r="C1" s="2"/>
      <c r="D1" s="2"/>
      <c r="E1" s="4"/>
      <c r="F1" s="138" t="s">
        <v>1</v>
      </c>
      <c r="G1" s="139">
        <f>AVERAGE(J9,N9)</f>
        <v>1.1440000000000001</v>
      </c>
      <c r="H1" s="140" t="s">
        <v>2</v>
      </c>
      <c r="I1" s="141">
        <f>AVERAGE(J71,N71)</f>
        <v>74.556543874630876</v>
      </c>
      <c r="J1" s="6" t="s">
        <v>3</v>
      </c>
      <c r="K1" s="6">
        <f>AVERAGE(J52,N52)</f>
        <v>95.480081244518288</v>
      </c>
      <c r="L1" s="2"/>
      <c r="M1" s="2"/>
      <c r="N1" s="2"/>
      <c r="O1" s="4"/>
      <c r="P1" s="138" t="s">
        <v>1</v>
      </c>
      <c r="Q1" s="139">
        <f>AVERAGE(P9,T9,X9)</f>
        <v>1.1117575757575757</v>
      </c>
      <c r="R1" s="140" t="s">
        <v>2</v>
      </c>
      <c r="S1" s="141">
        <f>AVERAGE(P71,T71,X71)</f>
        <v>70.86391744370404</v>
      </c>
      <c r="T1" s="2" t="s">
        <v>3</v>
      </c>
      <c r="U1" s="6">
        <f>AVERAGE(P52,T52,X52)</f>
        <v>80.433455433455464</v>
      </c>
      <c r="V1" s="2"/>
      <c r="W1" s="2"/>
      <c r="X1" s="2"/>
      <c r="Y1" s="4"/>
      <c r="Z1" s="140" t="s">
        <v>2</v>
      </c>
      <c r="AA1" s="141">
        <f>AVERAGE(T52,X52,AB52)</f>
        <v>75.457875457875502</v>
      </c>
      <c r="AB1" s="138" t="s">
        <v>1</v>
      </c>
      <c r="AC1" s="139">
        <f>AVERAGE(T9,X9,AB9)</f>
        <v>1.0389090909090908</v>
      </c>
      <c r="AD1" s="2"/>
      <c r="AE1" s="2"/>
      <c r="AF1" s="2"/>
      <c r="AG1" s="6"/>
      <c r="AH1" s="2"/>
      <c r="AI1" s="7"/>
      <c r="AJ1" s="2"/>
      <c r="AK1" s="2"/>
      <c r="AL1" s="2"/>
      <c r="AM1" s="2"/>
      <c r="AN1" s="2"/>
      <c r="AO1" s="2"/>
      <c r="AP1" s="140" t="s">
        <v>2</v>
      </c>
      <c r="AQ1" s="141">
        <f>AVERAGE(AJ71,AN71,AR71)</f>
        <v>75.543638635346881</v>
      </c>
      <c r="AR1" s="138" t="s">
        <v>1</v>
      </c>
      <c r="AS1" s="142">
        <f>AVERAGE(AJ9,AN9,AR9)</f>
        <v>1.3561212121212121</v>
      </c>
      <c r="AT1" s="143"/>
      <c r="AU1" s="144"/>
      <c r="AV1" s="144"/>
      <c r="AW1" s="144"/>
      <c r="AX1" s="2" t="s">
        <v>4</v>
      </c>
      <c r="AY1" s="6">
        <f>AVERAGE(AT71,AX71,BB71,BD71,BH71,BL71,BN71)</f>
        <v>77.114709512545943</v>
      </c>
      <c r="AZ1" s="140" t="s">
        <v>2</v>
      </c>
      <c r="BA1" s="141">
        <f>AVERAGE(AT71,AX71,BB71)</f>
        <v>79.143785031753524</v>
      </c>
      <c r="BB1" s="145" t="s">
        <v>1</v>
      </c>
      <c r="BC1" s="146">
        <f>AVERAGE(AT9,AX9,BB9)</f>
        <v>0.70486111111111116</v>
      </c>
      <c r="BD1" s="2"/>
      <c r="BE1" s="2"/>
      <c r="BF1" s="144"/>
      <c r="BG1" s="144"/>
      <c r="BH1" s="2"/>
      <c r="BI1" s="2"/>
      <c r="BJ1" s="140" t="s">
        <v>2</v>
      </c>
      <c r="BK1" s="141">
        <f>AVERAGE(BD71,BH71,BL71)</f>
        <v>76.682296081776215</v>
      </c>
      <c r="BL1" s="145" t="s">
        <v>1</v>
      </c>
      <c r="BM1" s="146">
        <f>AVERAGE(BD9,BH9,BL9)</f>
        <v>0.77347222222222223</v>
      </c>
      <c r="BN1" s="918"/>
      <c r="BO1" s="919"/>
      <c r="BP1" s="2"/>
      <c r="BQ1" s="2"/>
      <c r="BR1" s="2" t="s">
        <v>5</v>
      </c>
      <c r="BS1" s="147" t="s">
        <v>6</v>
      </c>
      <c r="BT1" s="148">
        <f>(BT2/(BS2+BT2))*100</f>
        <v>25</v>
      </c>
      <c r="BU1" s="148" t="s">
        <v>7</v>
      </c>
      <c r="BV1" s="145" t="s">
        <v>1</v>
      </c>
      <c r="BW1" s="146">
        <f>AVERAGE(BN9,BR9,BV9)</f>
        <v>0.84</v>
      </c>
      <c r="BX1" s="149">
        <f>AVERAGE(BC1,BM1,BW1,CG1)</f>
        <v>0.75635416666666666</v>
      </c>
      <c r="BY1" s="1"/>
      <c r="BZ1" s="1"/>
      <c r="CA1" s="1"/>
      <c r="CB1" s="150" t="s">
        <v>8</v>
      </c>
      <c r="CC1" s="151"/>
      <c r="CD1" s="140" t="s">
        <v>2</v>
      </c>
      <c r="CE1" s="141">
        <f>AVERAGE(BX71,CB71,CF71,CH71)</f>
        <v>78.744841866490106</v>
      </c>
      <c r="CF1" s="145" t="s">
        <v>1</v>
      </c>
      <c r="CG1" s="146">
        <f>AVERAGE(BX9,CB9)</f>
        <v>0.70708333333333329</v>
      </c>
      <c r="CH1" s="1"/>
      <c r="CI1" s="152"/>
      <c r="CJ1" s="153">
        <f>AVERAGE(CL71,CP71,CR71,CV71)</f>
        <v>78.952163086273657</v>
      </c>
      <c r="CK1" s="1"/>
      <c r="CL1" s="2"/>
      <c r="CM1" s="2"/>
      <c r="CN1" s="140" t="s">
        <v>2</v>
      </c>
      <c r="CO1" s="141">
        <f>AVERAGE(CL71,CP71)</f>
        <v>80.416305288909726</v>
      </c>
      <c r="CP1" s="154" t="s">
        <v>1</v>
      </c>
      <c r="CQ1" s="155">
        <f>AVERAGE(CL9,CP9)</f>
        <v>1.9204166666666667</v>
      </c>
      <c r="CR1" s="1"/>
      <c r="CS1" s="152"/>
      <c r="CT1" s="1"/>
      <c r="CU1" s="1"/>
      <c r="CV1" s="2" t="s">
        <v>3</v>
      </c>
      <c r="CW1" s="6">
        <f>AVERAGE(CR52,CV52,CZ52)</f>
        <v>90.4739761187368</v>
      </c>
      <c r="CX1" s="140" t="s">
        <v>2</v>
      </c>
      <c r="CY1" s="141">
        <f>AVERAGE(CR71,CV71,CZ71)</f>
        <v>78.346872471010542</v>
      </c>
      <c r="CZ1" s="154" t="s">
        <v>1</v>
      </c>
      <c r="DA1" s="155">
        <f>AVERAGE(CR9,CV9)</f>
        <v>1.7625000000000002</v>
      </c>
      <c r="DB1" s="138" t="s">
        <v>1</v>
      </c>
      <c r="DC1" s="139">
        <f>AVERAGE(DB9,DF9,DJ9)</f>
        <v>2.1808333333333332</v>
      </c>
      <c r="DD1" s="140" t="s">
        <v>2</v>
      </c>
      <c r="DE1" s="141">
        <f>AVERAGE(DB71,DF71,DJ71)</f>
        <v>78.677729713873575</v>
      </c>
      <c r="DF1" s="2"/>
      <c r="DG1" s="2"/>
      <c r="DH1" s="2"/>
      <c r="DI1" s="2"/>
      <c r="DJ1" s="2"/>
      <c r="DK1" s="4"/>
      <c r="DL1" s="138" t="s">
        <v>1</v>
      </c>
      <c r="DM1" s="139">
        <f>AVERAGE(DL9,DP9,DT9)</f>
        <v>1.9752777777777781</v>
      </c>
      <c r="DN1" s="140" t="s">
        <v>2</v>
      </c>
      <c r="DO1" s="141">
        <f>AVERAGE(DL71,DP71,DT71)</f>
        <v>77.730061999671648</v>
      </c>
      <c r="DP1" s="2"/>
      <c r="DQ1" s="2"/>
      <c r="DR1" s="2"/>
      <c r="DS1" s="2"/>
      <c r="DT1" s="2"/>
      <c r="DU1" s="4"/>
      <c r="DV1" s="138" t="s">
        <v>1</v>
      </c>
      <c r="DW1" s="139">
        <f>AVERAGE(DV9,DZ9,ED9)</f>
        <v>3.2000000000000006</v>
      </c>
      <c r="DX1" s="140" t="s">
        <v>2</v>
      </c>
      <c r="DY1" s="141">
        <f>AVERAGE(DV71,DZ71,ED71)</f>
        <v>82.709893554726477</v>
      </c>
      <c r="DZ1" s="2" t="s">
        <v>3</v>
      </c>
      <c r="EA1" s="9">
        <f>AVERAGE(DV52,DZ52,ED52)</f>
        <v>95.732054750928953</v>
      </c>
      <c r="EB1" s="9">
        <f>AVERAGE(EA1,EK1,EU1,FE1)</f>
        <v>94.857355156531156</v>
      </c>
      <c r="EC1" s="2"/>
      <c r="ED1" s="2"/>
      <c r="EE1" s="4"/>
      <c r="EF1" s="138" t="s">
        <v>1</v>
      </c>
      <c r="EG1" s="139">
        <f>AVERAGE(EF9,EJ9,EN9)</f>
        <v>3.6403703703703703</v>
      </c>
      <c r="EH1" s="140" t="s">
        <v>2</v>
      </c>
      <c r="EI1" s="141">
        <f>AVERAGE(EF71,EJ71,EN71)</f>
        <v>85.255795066950796</v>
      </c>
      <c r="EJ1" s="2" t="s">
        <v>3</v>
      </c>
      <c r="EK1" s="9">
        <f>AVERAGE(EF52,EJ52,EN52)</f>
        <v>96.058096199407714</v>
      </c>
      <c r="EL1" s="2"/>
      <c r="EM1" s="2"/>
      <c r="EN1" s="2"/>
      <c r="EO1" s="4"/>
      <c r="EP1" s="138" t="s">
        <v>1</v>
      </c>
      <c r="EQ1" s="139">
        <f>AVERAGE(EP9,ET9,EX9)</f>
        <v>4.8929629629629625</v>
      </c>
      <c r="ER1" s="140" t="s">
        <v>2</v>
      </c>
      <c r="ES1" s="141">
        <f>AVERAGE(EP71,ET71,EX71)</f>
        <v>88.127396956189315</v>
      </c>
      <c r="ET1" s="2" t="s">
        <v>3</v>
      </c>
      <c r="EU1" s="9">
        <f>AVERAGE(EP52,ET52,EX52)</f>
        <v>94.16572399196825</v>
      </c>
      <c r="EV1" s="2"/>
      <c r="EW1" s="2"/>
      <c r="EX1" s="2"/>
      <c r="EY1" s="4"/>
      <c r="EZ1" s="138" t="s">
        <v>1</v>
      </c>
      <c r="FA1" s="139">
        <f>AVERAGE(EZ9,FD9,FH9)</f>
        <v>4.6474074074074077</v>
      </c>
      <c r="FB1" s="140" t="s">
        <v>2</v>
      </c>
      <c r="FC1" s="141">
        <f>AVERAGE(EZ71,FD71,FH71)</f>
        <v>86.015191544513186</v>
      </c>
      <c r="FD1" s="2" t="s">
        <v>3</v>
      </c>
      <c r="FE1" s="9">
        <f>AVERAGE(EZ52,FD52,FH52)</f>
        <v>93.47354568381968</v>
      </c>
      <c r="FF1" s="2"/>
      <c r="FG1" s="2"/>
      <c r="FH1" s="2"/>
      <c r="FI1" s="4"/>
      <c r="FJ1" s="138" t="s">
        <v>1</v>
      </c>
      <c r="FK1" s="139">
        <f>AVERAGE(FJ9,FN9,FR9)</f>
        <v>4.7122222222222225</v>
      </c>
      <c r="FL1" s="140" t="s">
        <v>2</v>
      </c>
      <c r="FM1" s="141">
        <f>AVERAGE(FJ71,FN71,FR71)</f>
        <v>83.760764504197638</v>
      </c>
      <c r="FN1" s="2"/>
      <c r="FO1" s="2"/>
      <c r="FP1" s="2"/>
      <c r="FQ1" s="2"/>
      <c r="FR1" s="2"/>
      <c r="FS1" s="4"/>
      <c r="FT1" s="138" t="s">
        <v>1</v>
      </c>
      <c r="FU1" s="139">
        <f>AVERAGE(FT9,FX9,GB9)</f>
        <v>8.0511111111111102</v>
      </c>
      <c r="FV1" s="140" t="s">
        <v>2</v>
      </c>
      <c r="FW1" s="141">
        <f>AVERAGE(FT71,FX71,GB71)</f>
        <v>89.858095379261897</v>
      </c>
      <c r="FX1" s="2"/>
      <c r="FY1" s="2"/>
      <c r="FZ1" s="2"/>
      <c r="GA1" s="2"/>
      <c r="GB1" s="2"/>
      <c r="GC1" s="4"/>
      <c r="GD1" s="138" t="s">
        <v>1</v>
      </c>
      <c r="GE1" s="139">
        <f>AVERAGE(GD9,GH9,GL9)</f>
        <v>6.6338888888888894</v>
      </c>
      <c r="GF1" s="140" t="s">
        <v>2</v>
      </c>
      <c r="GG1" s="141">
        <f>AVERAGE(GD71,GH71,GL71)</f>
        <v>86.496489370086081</v>
      </c>
      <c r="GH1" s="2"/>
      <c r="GI1" s="2"/>
      <c r="GJ1" s="2"/>
      <c r="GK1" s="2"/>
      <c r="GL1" s="2"/>
      <c r="GM1" s="4"/>
      <c r="GN1" s="138" t="s">
        <v>1</v>
      </c>
      <c r="GO1" s="139">
        <f>AVERAGE(GN9,GR9,GV9)</f>
        <v>3.5536111111111111</v>
      </c>
      <c r="GP1" s="140" t="s">
        <v>2</v>
      </c>
      <c r="GQ1" s="141">
        <f>AVERAGE(GN71,GR71,GV71)</f>
        <v>81.542207221584803</v>
      </c>
      <c r="GR1" s="2"/>
      <c r="GS1" s="2"/>
      <c r="GT1" s="2"/>
      <c r="GU1" s="2"/>
      <c r="GV1" s="2"/>
      <c r="GW1" s="4"/>
    </row>
    <row r="2" spans="1:1046" x14ac:dyDescent="0.2">
      <c r="A2" s="2"/>
      <c r="B2" s="2"/>
      <c r="C2" s="2"/>
      <c r="D2" s="2"/>
      <c r="E2" s="7"/>
      <c r="F2" s="156" t="s">
        <v>9</v>
      </c>
      <c r="G2" s="157">
        <f>AVERAGE(G1,Q1,AI1,AS1)</f>
        <v>1.2039595959595959</v>
      </c>
      <c r="H2" s="158"/>
      <c r="I2" s="157">
        <f>AVERAGE(I1,S1,AG1,AQ1)</f>
        <v>73.654699984560594</v>
      </c>
      <c r="J2" s="10"/>
      <c r="K2" s="159">
        <f>AVERAGE(K1,U1,AG2,AQ2)</f>
        <v>88.608861986529789</v>
      </c>
      <c r="L2" s="10"/>
      <c r="M2" s="10"/>
      <c r="N2" s="10"/>
      <c r="O2" s="4"/>
      <c r="P2" s="2"/>
      <c r="Q2" s="2"/>
      <c r="R2" s="10"/>
      <c r="S2" s="2"/>
      <c r="T2" s="2"/>
      <c r="U2" s="2"/>
      <c r="V2" s="2"/>
      <c r="W2" s="2"/>
      <c r="X2" s="2"/>
      <c r="Y2" s="4"/>
      <c r="Z2" s="2" t="s">
        <v>3</v>
      </c>
      <c r="AA2" s="6">
        <f>AVERAGE(T52,X52,AB52)</f>
        <v>75.457875457875502</v>
      </c>
      <c r="AB2" s="10"/>
      <c r="AC2" s="2"/>
      <c r="AD2" s="2"/>
      <c r="AE2" s="2"/>
      <c r="AF2" s="2"/>
      <c r="AG2" s="6"/>
      <c r="AH2" s="10"/>
      <c r="AI2" s="4"/>
      <c r="AJ2" s="79"/>
      <c r="AK2" s="2"/>
      <c r="AL2" s="2"/>
      <c r="AM2" s="2"/>
      <c r="AN2" s="2"/>
      <c r="AO2" s="2"/>
      <c r="AP2" s="2" t="s">
        <v>3</v>
      </c>
      <c r="AQ2" s="6">
        <f>AVERAGE(AJ52,AN52,AR52)</f>
        <v>89.913049281615585</v>
      </c>
      <c r="AR2" s="2"/>
      <c r="AS2" s="4"/>
      <c r="AT2" s="2" t="s">
        <v>10</v>
      </c>
      <c r="AU2" s="6">
        <f>AVERAGE(BC1,BM1,BW1,CG1)</f>
        <v>0.75635416666666666</v>
      </c>
      <c r="AV2" s="2"/>
      <c r="AW2" s="2"/>
      <c r="AX2" s="2"/>
      <c r="AZ2" s="160" t="s">
        <v>11</v>
      </c>
      <c r="BA2" s="161">
        <f>AVERAGE(BA1,BK1,BW2,CE1)</f>
        <v>77.947799491588341</v>
      </c>
      <c r="BB2" s="162"/>
      <c r="BC2" s="163">
        <f>AVERAGE(BC1,BM1,BW1,CG2)</f>
        <v>0.77984374999999995</v>
      </c>
      <c r="BD2" s="1"/>
      <c r="BE2" s="2"/>
      <c r="BF2" s="2"/>
      <c r="BG2" s="2"/>
      <c r="BH2" s="2"/>
      <c r="BI2" s="2"/>
      <c r="BJ2" s="2" t="s">
        <v>12</v>
      </c>
      <c r="BK2" s="6">
        <f>AVERAGE(BR71,BV71,BX71,CB71)</f>
        <v>77.204776200718214</v>
      </c>
      <c r="BL2" s="2"/>
      <c r="BM2" s="4"/>
      <c r="BN2" s="1"/>
      <c r="BO2" s="2"/>
      <c r="BP2" s="2"/>
      <c r="BQ2" s="2"/>
      <c r="BR2" s="2"/>
      <c r="BS2" s="148">
        <v>3</v>
      </c>
      <c r="BT2" s="148">
        <v>1</v>
      </c>
      <c r="BU2" s="138"/>
      <c r="BV2" s="140" t="s">
        <v>2</v>
      </c>
      <c r="BW2" s="141">
        <f>AVERAGE(BN71,BR71,BV71)</f>
        <v>77.220274986333536</v>
      </c>
      <c r="BX2" s="1"/>
      <c r="BY2" s="2"/>
      <c r="BZ2" s="1"/>
      <c r="CA2" s="2"/>
      <c r="CB2" s="2"/>
      <c r="CC2" s="1"/>
      <c r="CD2" s="2" t="s">
        <v>13</v>
      </c>
      <c r="CE2" s="6">
        <f>AVERAGE(CF71,CH71)</f>
        <v>82.74818218742783</v>
      </c>
      <c r="CF2" s="2"/>
      <c r="CG2" s="7">
        <f>AVERAGE(BX9,CB9,CF9,CH9)</f>
        <v>0.80104166666666665</v>
      </c>
      <c r="CH2" s="1"/>
      <c r="CI2" s="152"/>
      <c r="CJ2" s="153">
        <f>AVERAGE(CL71,CP71)</f>
        <v>80.416305288909726</v>
      </c>
      <c r="CK2" s="10" t="s">
        <v>14</v>
      </c>
      <c r="CL2" s="2"/>
      <c r="CM2" s="1"/>
      <c r="CN2" s="1"/>
      <c r="CO2" s="164">
        <f>AVERAGE(CO1,CY1,DE1,DO1)</f>
        <v>78.792742368366376</v>
      </c>
      <c r="CP2" s="2"/>
      <c r="CQ2" s="7">
        <f>AVERAGE(CQ1,DA1,DC1,DM1)</f>
        <v>1.9597569444444445</v>
      </c>
      <c r="CR2" s="10"/>
      <c r="CS2" s="2"/>
      <c r="CT2" s="1"/>
      <c r="CU2" s="2"/>
      <c r="CV2" s="10"/>
      <c r="CW2" s="2"/>
      <c r="CX2" s="10"/>
      <c r="CY2" s="2"/>
      <c r="CZ2" s="10"/>
      <c r="DA2" s="4"/>
      <c r="DB2" s="1"/>
      <c r="DC2" s="1"/>
      <c r="DD2" s="2" t="s">
        <v>3</v>
      </c>
      <c r="DE2" s="9">
        <f>AVERAGE(DB52,DF52,DJ52)</f>
        <v>91.11894082795402</v>
      </c>
      <c r="DF2" s="2"/>
      <c r="DG2" s="2"/>
      <c r="DH2" s="2"/>
      <c r="DI2" s="2"/>
      <c r="DJ2" s="2"/>
      <c r="DK2" s="4"/>
      <c r="DL2" s="2"/>
      <c r="DM2" s="2"/>
      <c r="DN2" s="10" t="s">
        <v>3</v>
      </c>
      <c r="DO2" s="9">
        <f>AVERAGE(DL52,DP52,DT52)</f>
        <v>89.013533520077587</v>
      </c>
      <c r="DP2" s="2"/>
      <c r="DQ2" s="2"/>
      <c r="DR2" s="2"/>
      <c r="DS2" s="2"/>
      <c r="DT2" s="2"/>
      <c r="DU2" s="4"/>
      <c r="DV2" s="2" t="s">
        <v>15</v>
      </c>
      <c r="DW2" s="6">
        <f>AVERAGE(DW1,EG1,EQ1,FA1)</f>
        <v>4.0951851851851853</v>
      </c>
      <c r="DX2" s="10"/>
      <c r="DY2" s="164">
        <f>AVERAGE(DY1,EI1,ES1,FC1)</f>
        <v>85.527069280594944</v>
      </c>
      <c r="DZ2" s="2"/>
      <c r="EA2" s="2"/>
      <c r="EB2" s="2"/>
      <c r="EC2" s="2"/>
      <c r="ED2" s="2"/>
      <c r="EE2" s="4"/>
      <c r="EF2" s="2"/>
      <c r="EG2" s="2"/>
      <c r="EH2" s="10"/>
      <c r="EI2" s="2"/>
      <c r="EJ2" s="2"/>
      <c r="EK2" s="2"/>
      <c r="EL2" s="2"/>
      <c r="EM2" s="2"/>
      <c r="EN2" s="2"/>
      <c r="EO2" s="4"/>
      <c r="EP2" s="2"/>
      <c r="EQ2" s="2"/>
      <c r="ER2" s="10"/>
      <c r="ES2" s="2"/>
      <c r="ET2" s="2"/>
      <c r="EU2" s="2"/>
      <c r="EV2" s="2"/>
      <c r="EW2" s="2"/>
      <c r="EX2" s="2"/>
      <c r="EY2" s="4"/>
      <c r="EZ2" s="2"/>
      <c r="FA2" s="2"/>
      <c r="FB2" s="10"/>
      <c r="FC2" s="2"/>
      <c r="FD2" s="2"/>
      <c r="FE2" s="2"/>
      <c r="FF2" s="2"/>
      <c r="FG2" s="2"/>
      <c r="FH2" s="2"/>
      <c r="FI2" s="4"/>
      <c r="FJ2" s="2"/>
      <c r="FK2" s="161">
        <f>AVERAGE(FK1,FU1,GE1,GO1)</f>
        <v>5.737708333333333</v>
      </c>
      <c r="FL2" s="10"/>
      <c r="FM2" s="164">
        <f>AVERAGE(FM1,FW1,GG1,GQ1)</f>
        <v>85.414389118782609</v>
      </c>
      <c r="FN2" s="2"/>
      <c r="FO2" s="2"/>
      <c r="FP2" s="2"/>
      <c r="FQ2" s="2"/>
      <c r="FR2" s="2"/>
      <c r="FS2" s="4"/>
      <c r="FT2" s="2"/>
      <c r="FU2" s="2"/>
      <c r="FV2" s="10"/>
      <c r="FW2" s="2"/>
      <c r="FX2" s="2"/>
      <c r="FY2" s="2"/>
      <c r="FZ2" s="2"/>
      <c r="GA2" s="2"/>
      <c r="GB2" s="2"/>
      <c r="GC2" s="4"/>
      <c r="GD2" s="2"/>
      <c r="GE2" s="2"/>
      <c r="GF2" s="10"/>
      <c r="GG2" s="2"/>
      <c r="GH2" s="2"/>
      <c r="GI2" s="2"/>
      <c r="GJ2" s="2"/>
      <c r="GK2" s="2"/>
      <c r="GL2" s="2"/>
      <c r="GM2" s="4"/>
      <c r="GN2" s="2"/>
      <c r="GO2" s="2"/>
      <c r="GP2" s="10"/>
      <c r="GQ2" s="2"/>
      <c r="GR2" s="2"/>
      <c r="GS2" s="2"/>
      <c r="GT2" s="2"/>
      <c r="GU2" s="2"/>
      <c r="GV2" s="2"/>
      <c r="GW2" s="4"/>
    </row>
    <row r="3" spans="1:1046" x14ac:dyDescent="0.2">
      <c r="A3" s="1"/>
      <c r="B3" s="165"/>
      <c r="C3" s="11"/>
      <c r="D3" s="11"/>
      <c r="E3" s="12"/>
      <c r="F3" s="13"/>
      <c r="G3" s="10"/>
      <c r="H3" s="11"/>
      <c r="I3" s="11"/>
      <c r="J3" s="10"/>
      <c r="K3" s="10"/>
      <c r="L3" s="10"/>
      <c r="M3" s="10"/>
      <c r="N3" s="10"/>
      <c r="O3" s="4"/>
      <c r="P3" s="13"/>
      <c r="Q3" s="10"/>
      <c r="R3" s="11"/>
      <c r="S3" s="11"/>
      <c r="T3" s="13"/>
      <c r="U3" s="10"/>
      <c r="V3" s="11"/>
      <c r="W3" s="11"/>
      <c r="X3" s="13"/>
      <c r="Y3" s="14"/>
      <c r="Z3" s="15"/>
      <c r="AA3" s="10"/>
      <c r="AB3" s="11"/>
      <c r="AC3" s="2"/>
      <c r="AD3" s="10"/>
      <c r="AE3" s="2"/>
      <c r="AF3" s="2"/>
      <c r="AG3" s="2"/>
      <c r="AH3" s="10"/>
      <c r="AI3" s="16"/>
      <c r="AJ3" s="10"/>
      <c r="AK3" s="10"/>
      <c r="AL3" s="166"/>
      <c r="AM3" s="1"/>
      <c r="AN3" s="10"/>
      <c r="AO3" s="1"/>
      <c r="AP3" s="2"/>
      <c r="AQ3" s="2"/>
      <c r="AR3" s="10"/>
      <c r="AS3" s="16"/>
      <c r="AT3" s="10"/>
      <c r="AU3" s="2"/>
      <c r="AV3" s="2"/>
      <c r="AW3" s="2"/>
      <c r="AX3" s="2"/>
      <c r="AY3" s="2"/>
      <c r="AZ3" s="2" t="s">
        <v>3</v>
      </c>
      <c r="BA3" s="6">
        <f>AVERAGE(AT52,AX52,BB52)</f>
        <v>86.456416164638867</v>
      </c>
      <c r="BB3" s="17">
        <f>AVERAGE(BA3,BK3,BW3,CE3)</f>
        <v>85.037730443523543</v>
      </c>
      <c r="BC3" s="16"/>
      <c r="BD3" s="10"/>
      <c r="BE3" s="10"/>
      <c r="BF3" s="2"/>
      <c r="BG3" s="2"/>
      <c r="BH3" s="10"/>
      <c r="BI3" s="10"/>
      <c r="BJ3" s="2" t="s">
        <v>3</v>
      </c>
      <c r="BK3" s="6">
        <f>AVERAGE(BD52,BH52,BL52)</f>
        <v>78.855089420023774</v>
      </c>
      <c r="BL3" s="10"/>
      <c r="BM3" s="16"/>
      <c r="BN3" s="10"/>
      <c r="BO3" s="2"/>
      <c r="BP3" s="2"/>
      <c r="BQ3" s="2"/>
      <c r="BR3" s="2"/>
      <c r="BS3" s="2"/>
      <c r="BT3" s="2"/>
      <c r="BU3" s="2"/>
      <c r="BV3" s="10" t="s">
        <v>3</v>
      </c>
      <c r="BW3" s="18">
        <f>AVERAGE(BN52,BR52,BV52)</f>
        <v>91.516135170294049</v>
      </c>
      <c r="BX3" s="10"/>
      <c r="BY3" s="2"/>
      <c r="BZ3" s="2"/>
      <c r="CA3" s="2"/>
      <c r="CB3" s="2"/>
      <c r="CC3" s="2"/>
      <c r="CD3" s="2" t="s">
        <v>3</v>
      </c>
      <c r="CE3" s="6">
        <f>AVERAGE(BX52,CB52,CF52,CH52)</f>
        <v>83.323281019137482</v>
      </c>
      <c r="CF3" s="10"/>
      <c r="CG3" s="16"/>
      <c r="CH3" s="10"/>
      <c r="CI3" s="2"/>
      <c r="CJ3" s="2"/>
      <c r="CK3" s="2" t="s">
        <v>16</v>
      </c>
      <c r="CL3" s="2"/>
      <c r="CM3" s="2"/>
      <c r="CN3" s="2" t="s">
        <v>3</v>
      </c>
      <c r="CO3" s="6">
        <f>AVERAGE(CL52,CP52)</f>
        <v>87.310102839994101</v>
      </c>
      <c r="CP3" s="17">
        <f>AVERAGE(CO3,CW1,DE2,DO2)</f>
        <v>89.479138326690631</v>
      </c>
      <c r="CQ3" s="16"/>
      <c r="CR3" s="10"/>
      <c r="CS3" s="2"/>
      <c r="CT3" s="2"/>
      <c r="CU3" s="2"/>
      <c r="CV3" s="2"/>
      <c r="CW3" s="2"/>
      <c r="CX3" s="2"/>
      <c r="CY3" s="2"/>
      <c r="CZ3" s="10"/>
      <c r="DA3" s="16"/>
      <c r="DB3" s="13"/>
      <c r="DC3" s="10"/>
      <c r="DD3" s="11"/>
      <c r="DE3" s="11"/>
      <c r="DF3" s="13"/>
      <c r="DG3" s="10"/>
      <c r="DH3" s="11"/>
      <c r="DI3" s="11"/>
      <c r="DJ3" s="13"/>
      <c r="DK3" s="14"/>
      <c r="DL3" s="13"/>
      <c r="DM3" s="10"/>
      <c r="DN3" s="11"/>
      <c r="DO3" s="11"/>
      <c r="DP3" s="13"/>
      <c r="DQ3" s="10"/>
      <c r="DR3" s="11"/>
      <c r="DS3" s="11"/>
      <c r="DT3" s="13"/>
      <c r="DU3" s="14"/>
      <c r="DV3" s="13"/>
      <c r="DW3" s="10"/>
      <c r="DX3" s="11"/>
      <c r="DY3" s="11"/>
      <c r="DZ3" s="13"/>
      <c r="EA3" s="10"/>
      <c r="EB3" s="11"/>
      <c r="EC3" s="11"/>
      <c r="ED3" s="13"/>
      <c r="EE3" s="14"/>
      <c r="EF3" s="13"/>
      <c r="EG3" s="10"/>
      <c r="EH3" s="11"/>
      <c r="EI3" s="11"/>
      <c r="EJ3" s="13"/>
      <c r="EK3" s="10"/>
      <c r="EL3" s="11"/>
      <c r="EM3" s="11"/>
      <c r="EN3" s="13"/>
      <c r="EO3" s="14"/>
      <c r="EP3" s="13"/>
      <c r="EQ3" s="10"/>
      <c r="ER3" s="11"/>
      <c r="ES3" s="11"/>
      <c r="ET3" s="13"/>
      <c r="EU3" s="10"/>
      <c r="EV3" s="11"/>
      <c r="EW3" s="11"/>
      <c r="EX3" s="13"/>
      <c r="EY3" s="14"/>
      <c r="EZ3" s="13"/>
      <c r="FA3" s="10"/>
      <c r="FB3" s="11"/>
      <c r="FC3" s="11"/>
      <c r="FD3" s="13"/>
      <c r="FE3" s="10"/>
      <c r="FF3" s="11"/>
      <c r="FG3" s="11"/>
      <c r="FH3" s="13"/>
      <c r="FI3" s="14"/>
      <c r="FJ3" s="13"/>
      <c r="FK3" s="10"/>
      <c r="FL3" s="11"/>
      <c r="FM3" s="11"/>
      <c r="FN3" s="920" t="s">
        <v>17</v>
      </c>
      <c r="FO3" s="920"/>
      <c r="FP3" s="11"/>
      <c r="FQ3" s="11"/>
      <c r="FR3" s="13"/>
      <c r="FS3" s="14"/>
      <c r="FT3" s="13"/>
      <c r="FU3" s="10"/>
      <c r="FV3" s="11"/>
      <c r="FW3" s="11"/>
      <c r="FX3" s="13"/>
      <c r="FY3" s="10"/>
      <c r="FZ3" s="11"/>
      <c r="GA3" s="11"/>
      <c r="GB3" s="13"/>
      <c r="GC3" s="14"/>
      <c r="GD3" s="13"/>
      <c r="GE3" s="10"/>
      <c r="GF3" s="11"/>
      <c r="GG3" s="11"/>
      <c r="GH3" s="13"/>
      <c r="GI3" s="10"/>
      <c r="GJ3" s="11"/>
      <c r="GK3" s="11"/>
      <c r="GL3" s="13"/>
      <c r="GM3" s="14"/>
      <c r="GN3" s="13"/>
      <c r="GO3" s="10"/>
      <c r="GP3" s="11"/>
      <c r="GQ3" s="11"/>
      <c r="GR3" s="13"/>
      <c r="GS3" s="10"/>
      <c r="GT3" s="11"/>
      <c r="GU3" s="11"/>
      <c r="GV3" s="13"/>
      <c r="GW3" s="14"/>
    </row>
    <row r="4" spans="1:1046" s="187" customFormat="1" ht="15" x14ac:dyDescent="0.2">
      <c r="A4" s="167" t="s">
        <v>18</v>
      </c>
      <c r="B4" s="168"/>
      <c r="C4" s="169" t="s">
        <v>19</v>
      </c>
      <c r="D4" s="170" t="s">
        <v>20</v>
      </c>
      <c r="E4" s="171">
        <v>42883</v>
      </c>
      <c r="F4" s="172" t="s">
        <v>21</v>
      </c>
      <c r="G4" s="173">
        <v>42884</v>
      </c>
      <c r="H4" s="174" t="s">
        <v>22</v>
      </c>
      <c r="I4" s="175">
        <v>42885</v>
      </c>
      <c r="J4" s="174" t="s">
        <v>23</v>
      </c>
      <c r="K4" s="175">
        <v>42886</v>
      </c>
      <c r="L4" s="176" t="s">
        <v>24</v>
      </c>
      <c r="M4" s="173">
        <v>42887</v>
      </c>
      <c r="N4" s="174" t="s">
        <v>25</v>
      </c>
      <c r="O4" s="171">
        <v>42888</v>
      </c>
      <c r="P4" s="176" t="s">
        <v>21</v>
      </c>
      <c r="Q4" s="175">
        <v>42891</v>
      </c>
      <c r="R4" s="174" t="s">
        <v>22</v>
      </c>
      <c r="S4" s="175">
        <v>42892</v>
      </c>
      <c r="T4" s="176" t="s">
        <v>23</v>
      </c>
      <c r="U4" s="175">
        <v>42893</v>
      </c>
      <c r="V4" s="174" t="s">
        <v>24</v>
      </c>
      <c r="W4" s="175">
        <v>42894</v>
      </c>
      <c r="X4" s="174" t="s">
        <v>25</v>
      </c>
      <c r="Y4" s="171">
        <v>42895</v>
      </c>
      <c r="Z4" s="170" t="s">
        <v>21</v>
      </c>
      <c r="AA4" s="173">
        <v>42898</v>
      </c>
      <c r="AB4" s="177" t="s">
        <v>22</v>
      </c>
      <c r="AC4" s="175">
        <v>42899</v>
      </c>
      <c r="AD4" s="177" t="s">
        <v>23</v>
      </c>
      <c r="AE4" s="175">
        <v>42900</v>
      </c>
      <c r="AF4" s="177" t="s">
        <v>24</v>
      </c>
      <c r="AG4" s="175">
        <v>42901</v>
      </c>
      <c r="AH4" s="174" t="s">
        <v>25</v>
      </c>
      <c r="AI4" s="171">
        <v>42902</v>
      </c>
      <c r="AJ4" s="170" t="s">
        <v>21</v>
      </c>
      <c r="AK4" s="173">
        <v>42905</v>
      </c>
      <c r="AL4" s="177" t="s">
        <v>22</v>
      </c>
      <c r="AM4" s="175">
        <v>42906</v>
      </c>
      <c r="AN4" s="177" t="s">
        <v>23</v>
      </c>
      <c r="AO4" s="175">
        <v>42907</v>
      </c>
      <c r="AP4" s="177" t="s">
        <v>24</v>
      </c>
      <c r="AQ4" s="175">
        <v>42908</v>
      </c>
      <c r="AR4" s="170" t="s">
        <v>25</v>
      </c>
      <c r="AS4" s="171">
        <v>42909</v>
      </c>
      <c r="AT4" s="170" t="s">
        <v>21</v>
      </c>
      <c r="AU4" s="178" t="s">
        <v>26</v>
      </c>
      <c r="AV4" s="170" t="s">
        <v>22</v>
      </c>
      <c r="AW4" s="178" t="s">
        <v>27</v>
      </c>
      <c r="AX4" s="177" t="s">
        <v>23</v>
      </c>
      <c r="AY4" s="178" t="s">
        <v>28</v>
      </c>
      <c r="AZ4" s="177" t="s">
        <v>24</v>
      </c>
      <c r="BA4" s="178" t="s">
        <v>29</v>
      </c>
      <c r="BB4" s="170" t="s">
        <v>25</v>
      </c>
      <c r="BC4" s="179" t="s">
        <v>30</v>
      </c>
      <c r="BD4" s="170" t="s">
        <v>21</v>
      </c>
      <c r="BE4" s="180">
        <v>42801</v>
      </c>
      <c r="BF4" s="181" t="s">
        <v>22</v>
      </c>
      <c r="BG4" s="180">
        <v>42832</v>
      </c>
      <c r="BH4" s="182" t="s">
        <v>23</v>
      </c>
      <c r="BI4" s="180">
        <v>42862</v>
      </c>
      <c r="BJ4" s="182" t="s">
        <v>24</v>
      </c>
      <c r="BK4" s="178">
        <v>42893</v>
      </c>
      <c r="BL4" s="170" t="s">
        <v>25</v>
      </c>
      <c r="BM4" s="179" t="s">
        <v>31</v>
      </c>
      <c r="BN4" s="170" t="s">
        <v>21</v>
      </c>
      <c r="BO4" s="183">
        <v>43015</v>
      </c>
      <c r="BP4" s="177" t="s">
        <v>22</v>
      </c>
      <c r="BQ4" s="178">
        <v>43046</v>
      </c>
      <c r="BR4" s="170" t="s">
        <v>23</v>
      </c>
      <c r="BS4" s="183">
        <v>43076</v>
      </c>
      <c r="BT4" s="177" t="s">
        <v>24</v>
      </c>
      <c r="BU4" s="184" t="s">
        <v>32</v>
      </c>
      <c r="BV4" s="170" t="s">
        <v>25</v>
      </c>
      <c r="BW4" s="185" t="s">
        <v>33</v>
      </c>
      <c r="BX4" s="170" t="s">
        <v>21</v>
      </c>
      <c r="BY4" s="183" t="s">
        <v>34</v>
      </c>
      <c r="BZ4" s="177" t="s">
        <v>22</v>
      </c>
      <c r="CA4" s="184" t="s">
        <v>35</v>
      </c>
      <c r="CB4" s="170" t="s">
        <v>23</v>
      </c>
      <c r="CC4" s="183" t="s">
        <v>36</v>
      </c>
      <c r="CD4" s="177" t="s">
        <v>24</v>
      </c>
      <c r="CE4" s="184" t="s">
        <v>37</v>
      </c>
      <c r="CF4" s="170" t="s">
        <v>25</v>
      </c>
      <c r="CG4" s="185" t="s">
        <v>38</v>
      </c>
      <c r="CH4" s="170" t="s">
        <v>21</v>
      </c>
      <c r="CI4" s="183" t="s">
        <v>39</v>
      </c>
      <c r="CJ4" s="177" t="s">
        <v>22</v>
      </c>
      <c r="CK4" s="184" t="s">
        <v>40</v>
      </c>
      <c r="CL4" s="170" t="s">
        <v>23</v>
      </c>
      <c r="CM4" s="183" t="s">
        <v>41</v>
      </c>
      <c r="CN4" s="177" t="s">
        <v>24</v>
      </c>
      <c r="CO4" s="184" t="s">
        <v>42</v>
      </c>
      <c r="CP4" s="170" t="s">
        <v>25</v>
      </c>
      <c r="CQ4" s="185" t="s">
        <v>43</v>
      </c>
      <c r="CR4" s="170" t="s">
        <v>21</v>
      </c>
      <c r="CS4" s="183" t="s">
        <v>44</v>
      </c>
      <c r="CT4" s="170" t="s">
        <v>22</v>
      </c>
      <c r="CU4" s="183">
        <v>42743</v>
      </c>
      <c r="CV4" s="170" t="s">
        <v>23</v>
      </c>
      <c r="CW4" s="183">
        <v>42774</v>
      </c>
      <c r="CX4" s="170" t="s">
        <v>24</v>
      </c>
      <c r="CY4" s="183">
        <v>42802</v>
      </c>
      <c r="CZ4" s="170" t="s">
        <v>25</v>
      </c>
      <c r="DA4" s="179">
        <v>42833</v>
      </c>
      <c r="DB4" s="176" t="s">
        <v>21</v>
      </c>
      <c r="DC4" s="183">
        <v>42924</v>
      </c>
      <c r="DD4" s="174" t="s">
        <v>22</v>
      </c>
      <c r="DE4" s="183">
        <v>42955</v>
      </c>
      <c r="DF4" s="176" t="s">
        <v>23</v>
      </c>
      <c r="DG4" s="183">
        <v>42986</v>
      </c>
      <c r="DH4" s="174" t="s">
        <v>24</v>
      </c>
      <c r="DI4" s="183">
        <v>43016</v>
      </c>
      <c r="DJ4" s="170" t="s">
        <v>25</v>
      </c>
      <c r="DK4" s="179">
        <v>43047</v>
      </c>
      <c r="DL4" s="176" t="s">
        <v>21</v>
      </c>
      <c r="DM4" s="183" t="s">
        <v>45</v>
      </c>
      <c r="DN4" s="174" t="s">
        <v>22</v>
      </c>
      <c r="DO4" s="175" t="s">
        <v>46</v>
      </c>
      <c r="DP4" s="176" t="s">
        <v>23</v>
      </c>
      <c r="DQ4" s="175" t="s">
        <v>47</v>
      </c>
      <c r="DR4" s="174" t="s">
        <v>24</v>
      </c>
      <c r="DS4" s="175" t="s">
        <v>48</v>
      </c>
      <c r="DT4" s="170" t="s">
        <v>25</v>
      </c>
      <c r="DU4" s="185" t="s">
        <v>49</v>
      </c>
      <c r="DV4" s="176" t="s">
        <v>21</v>
      </c>
      <c r="DW4" s="183" t="s">
        <v>50</v>
      </c>
      <c r="DX4" s="174" t="s">
        <v>22</v>
      </c>
      <c r="DY4" s="175" t="s">
        <v>51</v>
      </c>
      <c r="DZ4" s="176" t="s">
        <v>23</v>
      </c>
      <c r="EA4" s="175" t="s">
        <v>52</v>
      </c>
      <c r="EB4" s="174" t="s">
        <v>24</v>
      </c>
      <c r="EC4" s="175" t="s">
        <v>53</v>
      </c>
      <c r="ED4" s="170" t="s">
        <v>25</v>
      </c>
      <c r="EE4" s="185" t="s">
        <v>54</v>
      </c>
      <c r="EF4" s="176" t="s">
        <v>21</v>
      </c>
      <c r="EG4" s="183" t="s">
        <v>55</v>
      </c>
      <c r="EH4" s="174" t="s">
        <v>22</v>
      </c>
      <c r="EI4" s="175" t="s">
        <v>56</v>
      </c>
      <c r="EJ4" s="176" t="s">
        <v>23</v>
      </c>
      <c r="EK4" s="175" t="s">
        <v>57</v>
      </c>
      <c r="EL4" s="174" t="s">
        <v>24</v>
      </c>
      <c r="EM4" s="175" t="s">
        <v>58</v>
      </c>
      <c r="EN4" s="170" t="s">
        <v>25</v>
      </c>
      <c r="EO4" s="179">
        <v>42744</v>
      </c>
      <c r="EP4" s="176" t="s">
        <v>21</v>
      </c>
      <c r="EQ4" s="183">
        <v>42834</v>
      </c>
      <c r="ER4" s="174" t="s">
        <v>22</v>
      </c>
      <c r="ES4" s="183">
        <v>42864</v>
      </c>
      <c r="ET4" s="176" t="s">
        <v>23</v>
      </c>
      <c r="EU4" s="183">
        <v>42895</v>
      </c>
      <c r="EV4" s="174" t="s">
        <v>24</v>
      </c>
      <c r="EW4" s="183">
        <v>42925</v>
      </c>
      <c r="EX4" s="170" t="s">
        <v>25</v>
      </c>
      <c r="EY4" s="179">
        <v>42956</v>
      </c>
      <c r="EZ4" s="176" t="s">
        <v>21</v>
      </c>
      <c r="FA4" s="183">
        <v>43048</v>
      </c>
      <c r="FB4" s="174" t="s">
        <v>22</v>
      </c>
      <c r="FC4" s="183">
        <v>43078</v>
      </c>
      <c r="FD4" s="174" t="s">
        <v>23</v>
      </c>
      <c r="FE4" s="178" t="s">
        <v>59</v>
      </c>
      <c r="FF4" s="176" t="s">
        <v>24</v>
      </c>
      <c r="FG4" s="183" t="s">
        <v>60</v>
      </c>
      <c r="FH4" s="170" t="s">
        <v>25</v>
      </c>
      <c r="FI4" s="179" t="s">
        <v>61</v>
      </c>
      <c r="FJ4" s="176" t="s">
        <v>21</v>
      </c>
      <c r="FK4" s="183" t="s">
        <v>62</v>
      </c>
      <c r="FL4" s="174" t="s">
        <v>22</v>
      </c>
      <c r="FM4" s="175" t="s">
        <v>63</v>
      </c>
      <c r="FN4" s="176" t="s">
        <v>23</v>
      </c>
      <c r="FO4" s="175" t="s">
        <v>64</v>
      </c>
      <c r="FP4" s="174" t="s">
        <v>24</v>
      </c>
      <c r="FQ4" s="175" t="s">
        <v>65</v>
      </c>
      <c r="FR4" s="170" t="s">
        <v>25</v>
      </c>
      <c r="FS4" s="179" t="s">
        <v>66</v>
      </c>
      <c r="FT4" s="176" t="s">
        <v>21</v>
      </c>
      <c r="FU4" s="183" t="s">
        <v>67</v>
      </c>
      <c r="FV4" s="174" t="s">
        <v>22</v>
      </c>
      <c r="FW4" s="175" t="s">
        <v>68</v>
      </c>
      <c r="FX4" s="176" t="s">
        <v>23</v>
      </c>
      <c r="FY4" s="175" t="s">
        <v>69</v>
      </c>
      <c r="FZ4" s="174" t="s">
        <v>24</v>
      </c>
      <c r="GA4" s="175" t="s">
        <v>70</v>
      </c>
      <c r="GB4" s="170" t="s">
        <v>25</v>
      </c>
      <c r="GC4" s="179" t="s">
        <v>71</v>
      </c>
      <c r="GD4" s="176" t="s">
        <v>21</v>
      </c>
      <c r="GE4" s="183">
        <v>42776</v>
      </c>
      <c r="GF4" s="174" t="s">
        <v>22</v>
      </c>
      <c r="GG4" s="183">
        <v>42804</v>
      </c>
      <c r="GH4" s="176" t="s">
        <v>23</v>
      </c>
      <c r="GI4" s="183">
        <v>42835</v>
      </c>
      <c r="GJ4" s="174" t="s">
        <v>24</v>
      </c>
      <c r="GK4" s="183">
        <v>42865</v>
      </c>
      <c r="GL4" s="170" t="s">
        <v>25</v>
      </c>
      <c r="GM4" s="179">
        <v>42896</v>
      </c>
      <c r="GN4" s="176" t="s">
        <v>21</v>
      </c>
      <c r="GO4" s="183">
        <v>42988</v>
      </c>
      <c r="GP4" s="174" t="s">
        <v>22</v>
      </c>
      <c r="GQ4" s="183">
        <v>43018</v>
      </c>
      <c r="GR4" s="176" t="s">
        <v>23</v>
      </c>
      <c r="GS4" s="183">
        <v>43049</v>
      </c>
      <c r="GT4" s="174" t="s">
        <v>24</v>
      </c>
      <c r="GU4" s="183">
        <v>43079</v>
      </c>
      <c r="GV4" s="170" t="s">
        <v>25</v>
      </c>
      <c r="GW4" s="179" t="s">
        <v>72</v>
      </c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86"/>
      <c r="IC4" s="186"/>
      <c r="ID4" s="186"/>
      <c r="IE4" s="186"/>
      <c r="IF4" s="186"/>
      <c r="IG4" s="186"/>
      <c r="IH4" s="186"/>
      <c r="II4" s="186"/>
      <c r="IJ4" s="186"/>
      <c r="IK4" s="186"/>
      <c r="IL4" s="186"/>
      <c r="IM4" s="186"/>
      <c r="IN4" s="186"/>
      <c r="IO4" s="186"/>
      <c r="IP4" s="186"/>
      <c r="IQ4" s="186"/>
      <c r="IR4" s="186"/>
      <c r="IS4" s="186"/>
      <c r="IT4" s="186"/>
      <c r="IU4" s="186"/>
      <c r="IV4" s="186"/>
      <c r="IW4" s="186"/>
      <c r="IX4" s="186"/>
      <c r="IY4" s="186"/>
      <c r="IZ4" s="186"/>
      <c r="JA4" s="186"/>
      <c r="JB4" s="186"/>
      <c r="JC4" s="186"/>
      <c r="JD4" s="186"/>
      <c r="JE4" s="186"/>
      <c r="JF4" s="186"/>
      <c r="JG4" s="186"/>
      <c r="JH4" s="186"/>
      <c r="JI4" s="186"/>
      <c r="JJ4" s="186"/>
      <c r="JK4" s="186"/>
      <c r="JL4" s="186"/>
      <c r="JM4" s="186"/>
      <c r="JN4" s="186"/>
      <c r="JO4" s="186"/>
      <c r="JP4" s="186"/>
      <c r="JQ4" s="186"/>
      <c r="JR4" s="186"/>
      <c r="JS4" s="186"/>
      <c r="JT4" s="186"/>
      <c r="JU4" s="186"/>
      <c r="JV4" s="186"/>
      <c r="JW4" s="186"/>
      <c r="JX4" s="186"/>
      <c r="JY4" s="186"/>
      <c r="JZ4" s="186"/>
      <c r="KA4" s="186"/>
      <c r="KB4" s="186"/>
      <c r="KC4" s="186"/>
      <c r="KD4" s="186"/>
      <c r="KE4" s="186"/>
      <c r="KF4" s="186"/>
      <c r="KG4" s="186"/>
      <c r="KH4" s="186"/>
      <c r="KI4" s="186"/>
      <c r="KJ4" s="186"/>
      <c r="KK4" s="186"/>
      <c r="KL4" s="186"/>
      <c r="KM4" s="186"/>
      <c r="KN4" s="186"/>
      <c r="KO4" s="186"/>
      <c r="KP4" s="186"/>
      <c r="KQ4" s="186"/>
      <c r="KR4" s="186"/>
      <c r="KS4" s="186"/>
      <c r="KT4" s="186"/>
      <c r="KU4" s="186"/>
      <c r="KV4" s="186"/>
      <c r="KW4" s="186"/>
      <c r="KX4" s="186"/>
      <c r="KY4" s="186"/>
      <c r="KZ4" s="186"/>
      <c r="LA4" s="186"/>
      <c r="LB4" s="186"/>
      <c r="LC4" s="186"/>
      <c r="LD4" s="186"/>
      <c r="LE4" s="186"/>
      <c r="LF4" s="186"/>
      <c r="LG4" s="186"/>
      <c r="LH4" s="186"/>
      <c r="LI4" s="186"/>
      <c r="LJ4" s="186"/>
      <c r="LK4" s="186"/>
      <c r="LL4" s="186"/>
      <c r="LM4" s="186"/>
      <c r="LN4" s="186"/>
      <c r="LO4" s="186"/>
      <c r="LP4" s="186"/>
      <c r="LQ4" s="186"/>
      <c r="LR4" s="186"/>
      <c r="LS4" s="186"/>
      <c r="LT4" s="186"/>
      <c r="LU4" s="186"/>
      <c r="LV4" s="186"/>
      <c r="LW4" s="186"/>
      <c r="LX4" s="186"/>
      <c r="LY4" s="186"/>
      <c r="LZ4" s="186"/>
      <c r="MA4" s="186"/>
      <c r="MB4" s="186"/>
      <c r="MC4" s="186"/>
      <c r="MD4" s="186"/>
      <c r="ME4" s="186"/>
      <c r="MF4" s="186"/>
      <c r="MG4" s="186"/>
      <c r="MH4" s="186"/>
      <c r="MI4" s="186"/>
      <c r="MJ4" s="186"/>
      <c r="MK4" s="186"/>
      <c r="ML4" s="186"/>
      <c r="MM4" s="186"/>
      <c r="MN4" s="186"/>
      <c r="MO4" s="186"/>
      <c r="MP4" s="186"/>
      <c r="MQ4" s="186"/>
      <c r="MR4" s="186"/>
      <c r="MS4" s="186"/>
      <c r="MT4" s="186"/>
      <c r="MU4" s="186"/>
      <c r="MV4" s="186"/>
      <c r="MW4" s="186"/>
      <c r="MX4" s="186"/>
      <c r="MY4" s="186"/>
      <c r="MZ4" s="186"/>
      <c r="NA4" s="186"/>
      <c r="NB4" s="186"/>
      <c r="NC4" s="186"/>
      <c r="ND4" s="186"/>
      <c r="NE4" s="186"/>
      <c r="NF4" s="186"/>
      <c r="NG4" s="186"/>
      <c r="NH4" s="186"/>
      <c r="NI4" s="186"/>
      <c r="NJ4" s="186"/>
      <c r="NK4" s="186"/>
      <c r="NL4" s="186"/>
      <c r="NM4" s="186"/>
      <c r="NN4" s="186"/>
      <c r="NO4" s="186"/>
      <c r="NP4" s="186"/>
      <c r="NQ4" s="186"/>
      <c r="NR4" s="186"/>
      <c r="NS4" s="186"/>
      <c r="NT4" s="186"/>
      <c r="NU4" s="186"/>
      <c r="NV4" s="186"/>
      <c r="NW4" s="186"/>
      <c r="NX4" s="186"/>
      <c r="NY4" s="186"/>
      <c r="NZ4" s="186"/>
      <c r="OA4" s="186"/>
      <c r="OB4" s="186"/>
      <c r="OC4" s="186"/>
      <c r="OD4" s="186"/>
      <c r="OE4" s="186"/>
      <c r="OF4" s="186"/>
      <c r="OG4" s="186"/>
      <c r="OH4" s="186"/>
      <c r="OI4" s="186"/>
      <c r="OJ4" s="186"/>
      <c r="OK4" s="186"/>
      <c r="OL4" s="186"/>
      <c r="OM4" s="186"/>
      <c r="ON4" s="186"/>
      <c r="OO4" s="186"/>
      <c r="OP4" s="186"/>
      <c r="OQ4" s="186"/>
      <c r="OR4" s="186"/>
      <c r="OS4" s="186"/>
      <c r="OT4" s="186"/>
      <c r="OU4" s="186"/>
      <c r="OV4" s="186"/>
      <c r="OW4" s="186"/>
      <c r="OX4" s="186"/>
      <c r="OY4" s="186"/>
      <c r="OZ4" s="186"/>
      <c r="PA4" s="186"/>
      <c r="PB4" s="186"/>
      <c r="PC4" s="186"/>
      <c r="PD4" s="186"/>
      <c r="PE4" s="186"/>
      <c r="PF4" s="186"/>
      <c r="PG4" s="186"/>
      <c r="PH4" s="186"/>
      <c r="PI4" s="186"/>
      <c r="PJ4" s="186"/>
      <c r="PK4" s="186"/>
      <c r="PL4" s="186"/>
      <c r="PM4" s="186"/>
      <c r="PN4" s="186"/>
      <c r="PO4" s="186"/>
      <c r="PP4" s="186"/>
      <c r="PQ4" s="186"/>
      <c r="PR4" s="186"/>
      <c r="PS4" s="186"/>
      <c r="PT4" s="186"/>
      <c r="PU4" s="186"/>
      <c r="PV4" s="186"/>
      <c r="PW4" s="186"/>
      <c r="PX4" s="186"/>
      <c r="PY4" s="186"/>
      <c r="PZ4" s="186"/>
      <c r="QA4" s="186"/>
      <c r="QB4" s="186"/>
      <c r="QC4" s="186"/>
      <c r="QD4" s="186"/>
      <c r="QE4" s="186"/>
      <c r="QF4" s="186"/>
      <c r="QG4" s="186"/>
      <c r="QH4" s="186"/>
      <c r="QI4" s="186"/>
      <c r="QJ4" s="186"/>
      <c r="QK4" s="186"/>
      <c r="QL4" s="186"/>
      <c r="QM4" s="186"/>
      <c r="QN4" s="186"/>
      <c r="QO4" s="186"/>
      <c r="QP4" s="186"/>
      <c r="QQ4" s="186"/>
      <c r="QR4" s="186"/>
      <c r="QS4" s="186"/>
      <c r="QT4" s="186"/>
      <c r="QU4" s="186"/>
      <c r="QV4" s="186"/>
      <c r="QW4" s="186"/>
      <c r="QX4" s="186"/>
      <c r="QY4" s="186"/>
      <c r="QZ4" s="186"/>
      <c r="RA4" s="186"/>
      <c r="RB4" s="186"/>
      <c r="RC4" s="186"/>
      <c r="RD4" s="186"/>
      <c r="RE4" s="186"/>
      <c r="RF4" s="186"/>
      <c r="RG4" s="186"/>
      <c r="RH4" s="186"/>
      <c r="RI4" s="186"/>
      <c r="RJ4" s="186"/>
      <c r="RK4" s="186"/>
      <c r="RL4" s="186"/>
      <c r="RM4" s="186"/>
      <c r="RN4" s="186"/>
      <c r="RO4" s="186"/>
      <c r="RP4" s="186"/>
      <c r="RQ4" s="186"/>
      <c r="RR4" s="186"/>
      <c r="RS4" s="186"/>
      <c r="RT4" s="186"/>
      <c r="RU4" s="186"/>
      <c r="RV4" s="186"/>
      <c r="RW4" s="186"/>
      <c r="RX4" s="186"/>
      <c r="RY4" s="186"/>
      <c r="RZ4" s="186"/>
      <c r="SA4" s="186"/>
      <c r="SB4" s="186"/>
      <c r="SC4" s="186"/>
      <c r="SD4" s="186"/>
      <c r="SE4" s="186"/>
      <c r="SF4" s="186"/>
      <c r="SG4" s="186"/>
      <c r="SH4" s="186"/>
      <c r="SI4" s="186"/>
      <c r="SJ4" s="186"/>
      <c r="SK4" s="186"/>
      <c r="SL4" s="186"/>
      <c r="SM4" s="186"/>
      <c r="SN4" s="186"/>
      <c r="SO4" s="186"/>
      <c r="SP4" s="186"/>
      <c r="SQ4" s="186"/>
      <c r="SR4" s="186"/>
      <c r="SS4" s="186"/>
      <c r="ST4" s="186"/>
      <c r="SU4" s="186"/>
      <c r="SV4" s="186"/>
      <c r="SW4" s="186"/>
      <c r="SX4" s="186"/>
      <c r="SY4" s="186"/>
      <c r="SZ4" s="186"/>
      <c r="TA4" s="186"/>
      <c r="TB4" s="186"/>
      <c r="TC4" s="186"/>
      <c r="TD4" s="186"/>
      <c r="TE4" s="186"/>
      <c r="TF4" s="186"/>
      <c r="TG4" s="186"/>
      <c r="TH4" s="186"/>
      <c r="TI4" s="186"/>
      <c r="TJ4" s="186"/>
      <c r="TK4" s="186"/>
      <c r="TL4" s="186"/>
      <c r="TM4" s="186"/>
      <c r="TN4" s="186"/>
      <c r="TO4" s="186"/>
      <c r="TP4" s="186"/>
      <c r="TQ4" s="186"/>
      <c r="TR4" s="186"/>
      <c r="TS4" s="186"/>
      <c r="TT4" s="186"/>
      <c r="TU4" s="186"/>
      <c r="TV4" s="186"/>
      <c r="TW4" s="186"/>
      <c r="TX4" s="186"/>
      <c r="TY4" s="186"/>
      <c r="TZ4" s="186"/>
      <c r="UA4" s="186"/>
      <c r="UB4" s="186"/>
      <c r="UC4" s="186"/>
      <c r="UD4" s="186"/>
      <c r="UE4" s="186"/>
      <c r="UF4" s="186"/>
      <c r="UG4" s="186"/>
      <c r="UH4" s="186"/>
      <c r="UI4" s="186"/>
      <c r="UJ4" s="186"/>
      <c r="UK4" s="186"/>
      <c r="UL4" s="186"/>
      <c r="UM4" s="186"/>
      <c r="UN4" s="186"/>
      <c r="UO4" s="186"/>
      <c r="UP4" s="186"/>
      <c r="UQ4" s="186"/>
      <c r="UR4" s="186"/>
      <c r="US4" s="186"/>
      <c r="UT4" s="186"/>
      <c r="UU4" s="186"/>
      <c r="UV4" s="186"/>
      <c r="UW4" s="186"/>
      <c r="UX4" s="186"/>
      <c r="UY4" s="186"/>
      <c r="UZ4" s="186"/>
      <c r="VA4" s="186"/>
      <c r="VB4" s="186"/>
      <c r="VC4" s="186"/>
      <c r="VD4" s="186"/>
      <c r="VE4" s="186"/>
      <c r="VF4" s="186"/>
      <c r="VG4" s="186"/>
      <c r="VH4" s="186"/>
      <c r="VI4" s="186"/>
      <c r="VJ4" s="186"/>
      <c r="VK4" s="186"/>
      <c r="VL4" s="186"/>
      <c r="VM4" s="186"/>
      <c r="VN4" s="186"/>
      <c r="VO4" s="186"/>
      <c r="VP4" s="186"/>
      <c r="VQ4" s="186"/>
      <c r="VR4" s="186"/>
      <c r="VS4" s="186"/>
      <c r="VT4" s="186"/>
      <c r="VU4" s="186"/>
      <c r="VV4" s="186"/>
      <c r="VW4" s="186"/>
      <c r="VX4" s="186"/>
      <c r="VY4" s="186"/>
      <c r="VZ4" s="186"/>
      <c r="WA4" s="186"/>
      <c r="WB4" s="186"/>
      <c r="WC4" s="186"/>
      <c r="WD4" s="186"/>
      <c r="WE4" s="186"/>
      <c r="WF4" s="186"/>
      <c r="WG4" s="186"/>
      <c r="WH4" s="186"/>
      <c r="WI4" s="186"/>
      <c r="WJ4" s="186"/>
      <c r="WK4" s="186"/>
      <c r="WL4" s="186"/>
      <c r="WM4" s="186"/>
      <c r="WN4" s="186"/>
      <c r="WO4" s="186"/>
      <c r="WP4" s="186"/>
      <c r="WQ4" s="186"/>
      <c r="WR4" s="186"/>
      <c r="WS4" s="186"/>
      <c r="WT4" s="186"/>
      <c r="WU4" s="186"/>
      <c r="WV4" s="186"/>
      <c r="WW4" s="186"/>
      <c r="WX4" s="186"/>
      <c r="WY4" s="186"/>
      <c r="WZ4" s="186"/>
      <c r="XA4" s="186"/>
      <c r="XB4" s="186"/>
      <c r="XC4" s="186"/>
      <c r="XD4" s="186"/>
      <c r="XE4" s="186"/>
      <c r="XF4" s="186"/>
      <c r="XG4" s="186"/>
      <c r="XH4" s="186"/>
      <c r="XI4" s="186"/>
      <c r="XJ4" s="186"/>
      <c r="XK4" s="186"/>
      <c r="XL4" s="186"/>
      <c r="XM4" s="186"/>
      <c r="XN4" s="186"/>
      <c r="XO4" s="186"/>
      <c r="XP4" s="186"/>
      <c r="XQ4" s="186"/>
      <c r="XR4" s="186"/>
      <c r="XS4" s="186"/>
      <c r="XT4" s="186"/>
      <c r="XU4" s="186"/>
      <c r="XV4" s="186"/>
      <c r="XW4" s="186"/>
      <c r="XX4" s="186"/>
      <c r="XY4" s="186"/>
      <c r="XZ4" s="186"/>
      <c r="YA4" s="186"/>
      <c r="YB4" s="186"/>
      <c r="YC4" s="186"/>
      <c r="YD4" s="186"/>
      <c r="YE4" s="186"/>
      <c r="YF4" s="186"/>
      <c r="YG4" s="186"/>
      <c r="YH4" s="186"/>
      <c r="YI4" s="186"/>
      <c r="YJ4" s="186"/>
      <c r="YK4" s="186"/>
      <c r="YL4" s="186"/>
      <c r="YM4" s="186"/>
      <c r="YN4" s="186"/>
      <c r="YO4" s="186"/>
      <c r="YP4" s="186"/>
      <c r="YQ4" s="186"/>
      <c r="YR4" s="186"/>
      <c r="YS4" s="186"/>
      <c r="YT4" s="186"/>
      <c r="YU4" s="186"/>
      <c r="YV4" s="186"/>
      <c r="YW4" s="186"/>
      <c r="YX4" s="186"/>
      <c r="YY4" s="186"/>
      <c r="YZ4" s="186"/>
      <c r="ZA4" s="186"/>
      <c r="ZB4" s="186"/>
      <c r="ZC4" s="186"/>
      <c r="ZD4" s="186"/>
      <c r="ZE4" s="186"/>
      <c r="ZF4" s="186"/>
      <c r="ZG4" s="186"/>
      <c r="ZH4" s="186"/>
      <c r="ZI4" s="186"/>
      <c r="ZJ4" s="186"/>
      <c r="ZK4" s="186"/>
      <c r="ZL4" s="186"/>
      <c r="ZM4" s="186"/>
      <c r="ZN4" s="186"/>
      <c r="ZO4" s="186"/>
      <c r="ZP4" s="186"/>
      <c r="ZQ4" s="186"/>
      <c r="ZR4" s="186"/>
      <c r="ZS4" s="186"/>
      <c r="ZT4" s="186"/>
      <c r="ZU4" s="186"/>
      <c r="ZV4" s="186"/>
      <c r="ZW4" s="186"/>
      <c r="ZX4" s="186"/>
      <c r="ZY4" s="186"/>
      <c r="ZZ4" s="186"/>
      <c r="AAA4" s="186"/>
      <c r="AAB4" s="186"/>
      <c r="AAC4" s="186"/>
      <c r="AAD4" s="186"/>
      <c r="AAE4" s="186"/>
      <c r="AAF4" s="186"/>
      <c r="AAG4" s="186"/>
      <c r="AAH4" s="186"/>
      <c r="AAI4" s="186"/>
      <c r="AAJ4" s="186"/>
      <c r="AAK4" s="186"/>
      <c r="AAL4" s="186"/>
      <c r="AAM4" s="186"/>
      <c r="AAN4" s="186"/>
      <c r="AAO4" s="186"/>
      <c r="AAP4" s="186"/>
      <c r="AAQ4" s="186"/>
      <c r="AAR4" s="186"/>
      <c r="AAS4" s="186"/>
      <c r="AAT4" s="186"/>
      <c r="AAU4" s="186"/>
      <c r="AAV4" s="186"/>
      <c r="AAW4" s="186"/>
      <c r="AAX4" s="186"/>
      <c r="AAY4" s="186"/>
      <c r="AAZ4" s="186"/>
      <c r="ABA4" s="186"/>
      <c r="ABB4" s="186"/>
      <c r="ABC4" s="186"/>
      <c r="ABD4" s="186"/>
      <c r="ABE4" s="186"/>
      <c r="ABF4" s="186"/>
      <c r="ABG4" s="186"/>
      <c r="ABH4" s="186"/>
      <c r="ABI4" s="186"/>
      <c r="ABJ4" s="186"/>
      <c r="ABK4" s="186"/>
      <c r="ABL4" s="186"/>
      <c r="ABM4" s="186"/>
      <c r="ABN4" s="186"/>
      <c r="ABO4" s="186"/>
      <c r="ABP4" s="186"/>
      <c r="ABQ4" s="186"/>
      <c r="ABR4" s="186"/>
      <c r="ABS4" s="186"/>
      <c r="ABT4" s="186"/>
      <c r="ABU4" s="186"/>
      <c r="ABV4" s="186"/>
      <c r="ABW4" s="186"/>
      <c r="ABX4" s="186"/>
      <c r="ABY4" s="186"/>
      <c r="ABZ4" s="186"/>
      <c r="ACA4" s="186"/>
      <c r="ACB4" s="186"/>
      <c r="ACC4" s="186"/>
      <c r="ACD4" s="186"/>
      <c r="ACE4" s="186"/>
      <c r="ACF4" s="186"/>
      <c r="ACG4" s="186"/>
      <c r="ACH4" s="186"/>
      <c r="ACI4" s="186"/>
      <c r="ACJ4" s="186"/>
      <c r="ACK4" s="186"/>
      <c r="ACL4" s="186"/>
      <c r="ACM4" s="186"/>
      <c r="ACN4" s="186"/>
      <c r="ACO4" s="186"/>
      <c r="ACP4" s="186"/>
      <c r="ACQ4" s="186"/>
      <c r="ACR4" s="186"/>
      <c r="ACS4" s="186"/>
      <c r="ACT4" s="186"/>
      <c r="ACU4" s="186"/>
      <c r="ACV4" s="186"/>
      <c r="ACW4" s="186"/>
      <c r="ACX4" s="186"/>
      <c r="ACY4" s="186"/>
      <c r="ACZ4" s="186"/>
      <c r="ADA4" s="186"/>
      <c r="ADB4" s="186"/>
      <c r="ADC4" s="186"/>
      <c r="ADD4" s="186"/>
      <c r="ADE4" s="186"/>
      <c r="ADF4" s="186"/>
      <c r="ADG4" s="186"/>
      <c r="ADH4" s="186"/>
      <c r="ADI4" s="186"/>
      <c r="ADJ4" s="186"/>
      <c r="ADK4" s="186"/>
      <c r="ADL4" s="186"/>
      <c r="ADM4" s="186"/>
      <c r="ADN4" s="186"/>
      <c r="ADO4" s="186"/>
      <c r="ADP4" s="186"/>
      <c r="ADQ4" s="186"/>
      <c r="ADR4" s="186"/>
      <c r="ADS4" s="186"/>
      <c r="ADT4" s="186"/>
      <c r="ADU4" s="186"/>
      <c r="ADV4" s="186"/>
      <c r="ADW4" s="186"/>
      <c r="ADX4" s="186"/>
      <c r="ADY4" s="186"/>
      <c r="ADZ4" s="186"/>
      <c r="AEA4" s="186"/>
      <c r="AEB4" s="186"/>
      <c r="AEC4" s="186"/>
      <c r="AED4" s="186"/>
      <c r="AEE4" s="186"/>
      <c r="AEF4" s="186"/>
      <c r="AEG4" s="186"/>
      <c r="AEH4" s="186"/>
      <c r="AEI4" s="186"/>
      <c r="AEJ4" s="186"/>
      <c r="AEK4" s="186"/>
      <c r="AEL4" s="186"/>
      <c r="AEM4" s="186"/>
      <c r="AEN4" s="186"/>
      <c r="AEO4" s="186"/>
      <c r="AEP4" s="186"/>
      <c r="AEQ4" s="186"/>
      <c r="AER4" s="186"/>
      <c r="AES4" s="186"/>
      <c r="AET4" s="186"/>
      <c r="AEU4" s="186"/>
      <c r="AEV4" s="186"/>
      <c r="AEW4" s="186"/>
      <c r="AEX4" s="186"/>
      <c r="AEY4" s="186"/>
      <c r="AEZ4" s="186"/>
      <c r="AFA4" s="186"/>
      <c r="AFB4" s="186"/>
      <c r="AFC4" s="186"/>
      <c r="AFD4" s="186"/>
      <c r="AFE4" s="186"/>
      <c r="AFF4" s="186"/>
      <c r="AFG4" s="186"/>
      <c r="AFH4" s="186"/>
      <c r="AFI4" s="186"/>
      <c r="AFJ4" s="186"/>
      <c r="AFK4" s="186"/>
      <c r="AFL4" s="186"/>
      <c r="AFM4" s="186"/>
      <c r="AFN4" s="186"/>
      <c r="AFO4" s="186"/>
      <c r="AFP4" s="186"/>
      <c r="AFQ4" s="186"/>
      <c r="AFR4" s="186"/>
      <c r="AFS4" s="186"/>
      <c r="AFT4" s="186"/>
      <c r="AFU4" s="186"/>
      <c r="AFV4" s="186"/>
      <c r="AFW4" s="186"/>
      <c r="AFX4" s="186"/>
      <c r="AFY4" s="186"/>
      <c r="AFZ4" s="186"/>
      <c r="AGA4" s="186"/>
      <c r="AGB4" s="186"/>
      <c r="AGC4" s="186"/>
      <c r="AGD4" s="186"/>
      <c r="AGE4" s="186"/>
      <c r="AGF4" s="186"/>
      <c r="AGG4" s="186"/>
      <c r="AGH4" s="186"/>
      <c r="AGI4" s="186"/>
      <c r="AGJ4" s="186"/>
      <c r="AGK4" s="186"/>
      <c r="AGL4" s="186"/>
      <c r="AGM4" s="186"/>
      <c r="AGN4" s="186"/>
      <c r="AGO4" s="186"/>
      <c r="AGP4" s="186"/>
      <c r="AGQ4" s="186"/>
      <c r="AGR4" s="186"/>
      <c r="AGS4" s="186"/>
      <c r="AGT4" s="186"/>
      <c r="AGU4" s="186"/>
      <c r="AGV4" s="186"/>
      <c r="AGW4" s="186"/>
      <c r="AGX4" s="186"/>
      <c r="AGY4" s="186"/>
      <c r="AGZ4" s="186"/>
      <c r="AHA4" s="186"/>
      <c r="AHB4" s="186"/>
      <c r="AHC4" s="186"/>
      <c r="AHD4" s="186"/>
      <c r="AHE4" s="186"/>
      <c r="AHF4" s="186"/>
      <c r="AHG4" s="186"/>
      <c r="AHH4" s="186"/>
      <c r="AHI4" s="186"/>
      <c r="AHJ4" s="186"/>
      <c r="AHK4" s="186"/>
      <c r="AHL4" s="186"/>
      <c r="AHM4" s="186"/>
      <c r="AHN4" s="186"/>
      <c r="AHO4" s="186"/>
      <c r="AHP4" s="186"/>
      <c r="AHQ4" s="186"/>
      <c r="AHR4" s="186"/>
      <c r="AHS4" s="186"/>
      <c r="AHT4" s="186"/>
      <c r="AHU4" s="186"/>
      <c r="AHV4" s="186"/>
      <c r="AHW4" s="186"/>
      <c r="AHX4" s="186"/>
      <c r="AHY4" s="186"/>
      <c r="AHZ4" s="186"/>
      <c r="AIA4" s="186"/>
      <c r="AIB4" s="186"/>
      <c r="AIC4" s="186"/>
      <c r="AID4" s="186"/>
      <c r="AIE4" s="186"/>
      <c r="AIF4" s="186"/>
      <c r="AIG4" s="186"/>
      <c r="AIH4" s="186"/>
      <c r="AII4" s="186"/>
      <c r="AIJ4" s="186"/>
      <c r="AIK4" s="186"/>
      <c r="AIL4" s="186"/>
      <c r="AIM4" s="186"/>
      <c r="AIN4" s="186"/>
      <c r="AIO4" s="186"/>
      <c r="AIP4" s="186"/>
      <c r="AIQ4" s="186"/>
      <c r="AIR4" s="186"/>
      <c r="AIS4" s="186"/>
      <c r="AIT4" s="186"/>
      <c r="AIU4" s="186"/>
      <c r="AIV4" s="186"/>
      <c r="AIW4" s="186"/>
      <c r="AIX4" s="186"/>
      <c r="AIY4" s="186"/>
      <c r="AIZ4" s="186"/>
      <c r="AJA4" s="186"/>
      <c r="AJB4" s="186"/>
      <c r="AJC4" s="186"/>
      <c r="AJD4" s="186"/>
      <c r="AJE4" s="186"/>
      <c r="AJF4" s="186"/>
      <c r="AJG4" s="186"/>
      <c r="AJH4" s="186"/>
      <c r="AJI4" s="186"/>
      <c r="AJJ4" s="186"/>
      <c r="AJK4" s="186"/>
      <c r="AJL4" s="186"/>
      <c r="AJM4" s="186"/>
      <c r="AJN4" s="186"/>
      <c r="AJO4" s="186"/>
      <c r="AJP4" s="186"/>
      <c r="AJQ4" s="186"/>
      <c r="AJR4" s="186"/>
      <c r="AJS4" s="186"/>
      <c r="AJT4" s="186"/>
      <c r="AJU4" s="186"/>
      <c r="AJV4" s="186"/>
      <c r="AJW4" s="186"/>
      <c r="AJX4" s="186"/>
      <c r="AJY4" s="186"/>
      <c r="AJZ4" s="186"/>
      <c r="AKA4" s="186"/>
      <c r="AKB4" s="186"/>
      <c r="AKC4" s="186"/>
      <c r="AKD4" s="186"/>
      <c r="AKE4" s="186"/>
      <c r="AKF4" s="186"/>
      <c r="AKG4" s="186"/>
      <c r="AKH4" s="186"/>
      <c r="AKI4" s="186"/>
      <c r="AKJ4" s="186"/>
      <c r="AKK4" s="186"/>
      <c r="AKL4" s="186"/>
      <c r="AKM4" s="186"/>
      <c r="AKN4" s="186"/>
      <c r="AKO4" s="186"/>
      <c r="AKP4" s="186"/>
      <c r="AKQ4" s="186"/>
      <c r="AKR4" s="186"/>
      <c r="AKS4" s="186"/>
      <c r="AKT4" s="186"/>
      <c r="AKU4" s="186"/>
      <c r="AKV4" s="186"/>
      <c r="AKW4" s="186"/>
      <c r="AKX4" s="186"/>
      <c r="AKY4" s="186"/>
      <c r="AKZ4" s="186"/>
      <c r="ALA4" s="186"/>
      <c r="ALB4" s="186"/>
      <c r="ALC4" s="186"/>
      <c r="ALD4" s="186"/>
      <c r="ALE4" s="186"/>
      <c r="ALF4" s="186"/>
      <c r="ALG4" s="186"/>
      <c r="ALH4" s="186"/>
      <c r="ALI4" s="186"/>
      <c r="ALJ4" s="186"/>
      <c r="ALK4" s="186"/>
      <c r="ALL4" s="186"/>
      <c r="ALM4" s="186"/>
      <c r="ALN4" s="186"/>
      <c r="ALO4" s="186"/>
      <c r="ALP4" s="186"/>
      <c r="ALQ4" s="186"/>
      <c r="ALR4" s="186"/>
      <c r="ALS4" s="186"/>
      <c r="ALT4" s="186"/>
      <c r="ALU4" s="186"/>
      <c r="ALV4" s="186"/>
      <c r="ALW4" s="186"/>
      <c r="ALX4" s="186"/>
      <c r="ALY4" s="186"/>
      <c r="ALZ4" s="186"/>
      <c r="AMA4" s="186"/>
      <c r="AMB4" s="186"/>
      <c r="AMC4" s="186"/>
      <c r="AMD4" s="186"/>
      <c r="AME4" s="186"/>
      <c r="AMF4" s="186"/>
      <c r="AMG4" s="186"/>
      <c r="AMH4" s="186"/>
      <c r="AMI4" s="186"/>
      <c r="AMJ4" s="186"/>
      <c r="AMK4" s="186"/>
      <c r="AML4" s="186"/>
      <c r="AMM4" s="186"/>
      <c r="AMN4" s="186"/>
      <c r="AMO4" s="186"/>
      <c r="AMP4" s="186"/>
      <c r="AMQ4" s="186"/>
      <c r="AMR4" s="186"/>
      <c r="AMS4" s="186"/>
      <c r="AMT4" s="186"/>
      <c r="AMU4" s="186"/>
      <c r="AMV4" s="186"/>
      <c r="AMW4" s="186"/>
      <c r="AMX4" s="186"/>
      <c r="AMY4" s="186"/>
      <c r="AMZ4" s="186"/>
      <c r="ANA4" s="186"/>
      <c r="ANB4" s="186"/>
      <c r="ANC4" s="186"/>
      <c r="AND4" s="186"/>
      <c r="ANE4" s="186"/>
      <c r="ANF4" s="186"/>
    </row>
    <row r="5" spans="1:1046" s="190" customFormat="1" ht="15" x14ac:dyDescent="0.2">
      <c r="A5" s="188">
        <v>2000</v>
      </c>
      <c r="B5" s="1"/>
      <c r="C5" s="189" t="s">
        <v>73</v>
      </c>
      <c r="D5" s="913">
        <v>0</v>
      </c>
      <c r="E5" s="921"/>
      <c r="F5" s="917">
        <v>1</v>
      </c>
      <c r="G5" s="914"/>
      <c r="H5" s="913">
        <v>2</v>
      </c>
      <c r="I5" s="914"/>
      <c r="J5" s="913">
        <v>3</v>
      </c>
      <c r="K5" s="914"/>
      <c r="L5" s="913">
        <v>4</v>
      </c>
      <c r="M5" s="914"/>
      <c r="N5" s="915">
        <v>5</v>
      </c>
      <c r="O5" s="916"/>
      <c r="P5" s="917">
        <v>8</v>
      </c>
      <c r="Q5" s="914"/>
      <c r="R5" s="913">
        <v>9</v>
      </c>
      <c r="S5" s="914"/>
      <c r="T5" s="913">
        <v>10</v>
      </c>
      <c r="U5" s="914"/>
      <c r="V5" s="913">
        <v>11</v>
      </c>
      <c r="W5" s="914"/>
      <c r="X5" s="915">
        <v>12</v>
      </c>
      <c r="Y5" s="916"/>
      <c r="Z5" s="917">
        <v>15</v>
      </c>
      <c r="AA5" s="917"/>
      <c r="AB5" s="913">
        <v>16</v>
      </c>
      <c r="AC5" s="914"/>
      <c r="AD5" s="913">
        <v>17</v>
      </c>
      <c r="AE5" s="914"/>
      <c r="AF5" s="913">
        <v>18</v>
      </c>
      <c r="AG5" s="914"/>
      <c r="AH5" s="915">
        <v>19</v>
      </c>
      <c r="AI5" s="916"/>
      <c r="AJ5" s="917">
        <v>22</v>
      </c>
      <c r="AK5" s="917"/>
      <c r="AL5" s="913">
        <v>23</v>
      </c>
      <c r="AM5" s="914"/>
      <c r="AN5" s="913">
        <v>24</v>
      </c>
      <c r="AO5" s="914"/>
      <c r="AP5" s="913">
        <v>25</v>
      </c>
      <c r="AQ5" s="914"/>
      <c r="AR5" s="917">
        <v>26</v>
      </c>
      <c r="AS5" s="921"/>
      <c r="AT5" s="917">
        <v>29</v>
      </c>
      <c r="AU5" s="914"/>
      <c r="AV5" s="917">
        <v>30</v>
      </c>
      <c r="AW5" s="914"/>
      <c r="AX5" s="913">
        <v>31</v>
      </c>
      <c r="AY5" s="917"/>
      <c r="AZ5" s="913">
        <v>32</v>
      </c>
      <c r="BA5" s="914"/>
      <c r="BB5" s="917">
        <v>33</v>
      </c>
      <c r="BC5" s="921"/>
      <c r="BD5" s="917">
        <v>36</v>
      </c>
      <c r="BE5" s="914"/>
      <c r="BF5" s="917">
        <v>37</v>
      </c>
      <c r="BG5" s="914"/>
      <c r="BH5" s="913">
        <v>38</v>
      </c>
      <c r="BI5" s="917"/>
      <c r="BJ5" s="913">
        <v>39</v>
      </c>
      <c r="BK5" s="914"/>
      <c r="BL5" s="917">
        <v>40</v>
      </c>
      <c r="BM5" s="921"/>
      <c r="BN5" s="917">
        <v>43</v>
      </c>
      <c r="BO5" s="917"/>
      <c r="BP5" s="913">
        <v>44</v>
      </c>
      <c r="BQ5" s="914"/>
      <c r="BR5" s="917">
        <v>45</v>
      </c>
      <c r="BS5" s="917"/>
      <c r="BT5" s="913">
        <v>46</v>
      </c>
      <c r="BU5" s="914"/>
      <c r="BV5" s="917">
        <v>47</v>
      </c>
      <c r="BW5" s="921"/>
      <c r="BX5" s="917">
        <v>50</v>
      </c>
      <c r="BY5" s="917"/>
      <c r="BZ5" s="913">
        <v>51</v>
      </c>
      <c r="CA5" s="914"/>
      <c r="CB5" s="917">
        <v>52</v>
      </c>
      <c r="CC5" s="917"/>
      <c r="CD5" s="913">
        <v>53</v>
      </c>
      <c r="CE5" s="914"/>
      <c r="CF5" s="917">
        <v>54</v>
      </c>
      <c r="CG5" s="921"/>
      <c r="CH5" s="917">
        <v>57</v>
      </c>
      <c r="CI5" s="917"/>
      <c r="CJ5" s="913">
        <v>58</v>
      </c>
      <c r="CK5" s="914"/>
      <c r="CL5" s="917">
        <v>59</v>
      </c>
      <c r="CM5" s="917"/>
      <c r="CN5" s="913">
        <v>60</v>
      </c>
      <c r="CO5" s="914"/>
      <c r="CP5" s="917">
        <v>61</v>
      </c>
      <c r="CQ5" s="921"/>
      <c r="CR5" s="917">
        <v>64</v>
      </c>
      <c r="CS5" s="917"/>
      <c r="CT5" s="917">
        <v>65</v>
      </c>
      <c r="CU5" s="917"/>
      <c r="CV5" s="917">
        <v>66</v>
      </c>
      <c r="CW5" s="917"/>
      <c r="CX5" s="917">
        <v>67</v>
      </c>
      <c r="CY5" s="917"/>
      <c r="CZ5" s="917">
        <v>68</v>
      </c>
      <c r="DA5" s="921"/>
      <c r="DB5" s="917">
        <v>71</v>
      </c>
      <c r="DC5" s="914"/>
      <c r="DD5" s="913">
        <v>72</v>
      </c>
      <c r="DE5" s="914"/>
      <c r="DF5" s="913">
        <v>73</v>
      </c>
      <c r="DG5" s="914"/>
      <c r="DH5" s="913">
        <v>74</v>
      </c>
      <c r="DI5" s="914"/>
      <c r="DJ5" s="917">
        <v>75</v>
      </c>
      <c r="DK5" s="921"/>
      <c r="DL5" s="917">
        <v>78</v>
      </c>
      <c r="DM5" s="914"/>
      <c r="DN5" s="913">
        <v>79</v>
      </c>
      <c r="DO5" s="914"/>
      <c r="DP5" s="913">
        <v>80</v>
      </c>
      <c r="DQ5" s="914"/>
      <c r="DR5" s="913">
        <v>81</v>
      </c>
      <c r="DS5" s="914"/>
      <c r="DT5" s="913">
        <v>82</v>
      </c>
      <c r="DU5" s="921"/>
      <c r="DV5" s="917">
        <v>85</v>
      </c>
      <c r="DW5" s="914"/>
      <c r="DX5" s="913">
        <v>86</v>
      </c>
      <c r="DY5" s="914"/>
      <c r="DZ5" s="913">
        <v>87</v>
      </c>
      <c r="EA5" s="914"/>
      <c r="EB5" s="913">
        <v>88</v>
      </c>
      <c r="EC5" s="914"/>
      <c r="ED5" s="917">
        <v>89</v>
      </c>
      <c r="EE5" s="921"/>
      <c r="EF5" s="917">
        <v>92</v>
      </c>
      <c r="EG5" s="914"/>
      <c r="EH5" s="913">
        <v>93</v>
      </c>
      <c r="EI5" s="914"/>
      <c r="EJ5" s="913">
        <v>94</v>
      </c>
      <c r="EK5" s="914"/>
      <c r="EL5" s="913">
        <v>95</v>
      </c>
      <c r="EM5" s="914"/>
      <c r="EN5" s="913">
        <v>96</v>
      </c>
      <c r="EO5" s="921"/>
      <c r="EP5" s="917">
        <v>99</v>
      </c>
      <c r="EQ5" s="914"/>
      <c r="ER5" s="913">
        <v>100</v>
      </c>
      <c r="ES5" s="914"/>
      <c r="ET5" s="913">
        <v>101</v>
      </c>
      <c r="EU5" s="914"/>
      <c r="EV5" s="913">
        <v>102</v>
      </c>
      <c r="EW5" s="914"/>
      <c r="EX5" s="917">
        <v>103</v>
      </c>
      <c r="EY5" s="921"/>
      <c r="EZ5" s="917">
        <v>106</v>
      </c>
      <c r="FA5" s="914"/>
      <c r="FB5" s="913">
        <v>107</v>
      </c>
      <c r="FC5" s="917"/>
      <c r="FD5" s="913">
        <v>108</v>
      </c>
      <c r="FE5" s="914"/>
      <c r="FF5" s="917">
        <v>109</v>
      </c>
      <c r="FG5" s="914"/>
      <c r="FH5" s="917">
        <v>110</v>
      </c>
      <c r="FI5" s="921"/>
      <c r="FJ5" s="917">
        <v>113</v>
      </c>
      <c r="FK5" s="914"/>
      <c r="FL5" s="913">
        <v>114</v>
      </c>
      <c r="FM5" s="914"/>
      <c r="FN5" s="913">
        <v>115</v>
      </c>
      <c r="FO5" s="914"/>
      <c r="FP5" s="913">
        <v>116</v>
      </c>
      <c r="FQ5" s="914"/>
      <c r="FR5" s="913">
        <v>117</v>
      </c>
      <c r="FS5" s="921"/>
      <c r="FT5" s="917">
        <v>120</v>
      </c>
      <c r="FU5" s="914"/>
      <c r="FV5" s="913">
        <v>121</v>
      </c>
      <c r="FW5" s="914"/>
      <c r="FX5" s="913">
        <v>122</v>
      </c>
      <c r="FY5" s="914"/>
      <c r="FZ5" s="913">
        <v>123</v>
      </c>
      <c r="GA5" s="914"/>
      <c r="GB5" s="913">
        <v>124</v>
      </c>
      <c r="GC5" s="921"/>
      <c r="GD5" s="917">
        <v>127</v>
      </c>
      <c r="GE5" s="914"/>
      <c r="GF5" s="913">
        <v>128</v>
      </c>
      <c r="GG5" s="914"/>
      <c r="GH5" s="913">
        <v>129</v>
      </c>
      <c r="GI5" s="914"/>
      <c r="GJ5" s="913">
        <v>130</v>
      </c>
      <c r="GK5" s="914"/>
      <c r="GL5" s="913">
        <v>131</v>
      </c>
      <c r="GM5" s="921"/>
      <c r="GN5" s="917">
        <v>134</v>
      </c>
      <c r="GO5" s="914"/>
      <c r="GP5" s="913">
        <v>135</v>
      </c>
      <c r="GQ5" s="914"/>
      <c r="GR5" s="913">
        <v>136</v>
      </c>
      <c r="GS5" s="914"/>
      <c r="GT5" s="913">
        <v>137</v>
      </c>
      <c r="GU5" s="914"/>
      <c r="GV5" s="917">
        <v>138</v>
      </c>
      <c r="GW5" s="92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86"/>
      <c r="IC5" s="186"/>
      <c r="ID5" s="186"/>
      <c r="IE5" s="186"/>
      <c r="IF5" s="186"/>
      <c r="IG5" s="186"/>
      <c r="IH5" s="186"/>
      <c r="II5" s="186"/>
      <c r="IJ5" s="186"/>
      <c r="IK5" s="186"/>
      <c r="IL5" s="186"/>
      <c r="IM5" s="186"/>
      <c r="IN5" s="186"/>
      <c r="IO5" s="186"/>
      <c r="IP5" s="186"/>
      <c r="IQ5" s="186"/>
      <c r="IR5" s="186"/>
      <c r="IS5" s="186"/>
      <c r="IT5" s="186"/>
      <c r="IU5" s="186"/>
      <c r="IV5" s="186"/>
      <c r="IW5" s="186"/>
      <c r="IX5" s="186"/>
      <c r="IY5" s="186"/>
      <c r="IZ5" s="186"/>
      <c r="JA5" s="186"/>
      <c r="JB5" s="186"/>
      <c r="JC5" s="186"/>
      <c r="JD5" s="186"/>
      <c r="JE5" s="186"/>
      <c r="JF5" s="186"/>
      <c r="JG5" s="186"/>
      <c r="JH5" s="186"/>
      <c r="JI5" s="186"/>
      <c r="JJ5" s="186"/>
      <c r="JK5" s="186"/>
      <c r="JL5" s="186"/>
      <c r="JM5" s="186"/>
      <c r="JN5" s="186"/>
      <c r="JO5" s="186"/>
      <c r="JP5" s="186"/>
      <c r="JQ5" s="186"/>
      <c r="JR5" s="186"/>
      <c r="JS5" s="186"/>
      <c r="JT5" s="186"/>
      <c r="JU5" s="186"/>
      <c r="JV5" s="186"/>
      <c r="JW5" s="186"/>
      <c r="JX5" s="186"/>
      <c r="JY5" s="186"/>
      <c r="JZ5" s="186"/>
      <c r="KA5" s="186"/>
      <c r="KB5" s="186"/>
      <c r="KC5" s="186"/>
      <c r="KD5" s="186"/>
      <c r="KE5" s="186"/>
      <c r="KF5" s="186"/>
      <c r="KG5" s="186"/>
      <c r="KH5" s="186"/>
      <c r="KI5" s="186"/>
      <c r="KJ5" s="186"/>
      <c r="KK5" s="186"/>
      <c r="KL5" s="186"/>
      <c r="KM5" s="186"/>
      <c r="KN5" s="186"/>
      <c r="KO5" s="186"/>
      <c r="KP5" s="186"/>
      <c r="KQ5" s="186"/>
      <c r="KR5" s="186"/>
      <c r="KS5" s="186"/>
      <c r="KT5" s="186"/>
      <c r="KU5" s="186"/>
      <c r="KV5" s="186"/>
      <c r="KW5" s="186"/>
      <c r="KX5" s="186"/>
      <c r="KY5" s="186"/>
      <c r="KZ5" s="186"/>
      <c r="LA5" s="186"/>
      <c r="LB5" s="186"/>
      <c r="LC5" s="186"/>
      <c r="LD5" s="186"/>
      <c r="LE5" s="186"/>
      <c r="LF5" s="186"/>
      <c r="LG5" s="186"/>
      <c r="LH5" s="186"/>
      <c r="LI5" s="186"/>
      <c r="LJ5" s="186"/>
      <c r="LK5" s="186"/>
      <c r="LL5" s="186"/>
      <c r="LM5" s="186"/>
      <c r="LN5" s="186"/>
      <c r="LO5" s="186"/>
      <c r="LP5" s="186"/>
      <c r="LQ5" s="186"/>
      <c r="LR5" s="186"/>
      <c r="LS5" s="186"/>
      <c r="LT5" s="186"/>
      <c r="LU5" s="186"/>
      <c r="LV5" s="186"/>
      <c r="LW5" s="186"/>
      <c r="LX5" s="186"/>
      <c r="LY5" s="186"/>
      <c r="LZ5" s="186"/>
      <c r="MA5" s="186"/>
      <c r="MB5" s="186"/>
      <c r="MC5" s="186"/>
      <c r="MD5" s="186"/>
      <c r="ME5" s="186"/>
      <c r="MF5" s="186"/>
      <c r="MG5" s="186"/>
      <c r="MH5" s="186"/>
      <c r="MI5" s="186"/>
      <c r="MJ5" s="186"/>
      <c r="MK5" s="186"/>
      <c r="ML5" s="186"/>
      <c r="MM5" s="186"/>
      <c r="MN5" s="186"/>
      <c r="MO5" s="186"/>
      <c r="MP5" s="186"/>
      <c r="MQ5" s="186"/>
      <c r="MR5" s="186"/>
      <c r="MS5" s="186"/>
      <c r="MT5" s="186"/>
      <c r="MU5" s="186"/>
      <c r="MV5" s="186"/>
      <c r="MW5" s="186"/>
      <c r="MX5" s="186"/>
      <c r="MY5" s="186"/>
      <c r="MZ5" s="186"/>
      <c r="NA5" s="186"/>
      <c r="NB5" s="186"/>
      <c r="NC5" s="186"/>
      <c r="ND5" s="186"/>
      <c r="NE5" s="186"/>
      <c r="NF5" s="186"/>
      <c r="NG5" s="186"/>
      <c r="NH5" s="186"/>
      <c r="NI5" s="186"/>
      <c r="NJ5" s="186"/>
      <c r="NK5" s="186"/>
      <c r="NL5" s="186"/>
      <c r="NM5" s="186"/>
      <c r="NN5" s="186"/>
      <c r="NO5" s="186"/>
      <c r="NP5" s="186"/>
      <c r="NQ5" s="186"/>
      <c r="NR5" s="186"/>
      <c r="NS5" s="186"/>
      <c r="NT5" s="186"/>
      <c r="NU5" s="186"/>
      <c r="NV5" s="186"/>
      <c r="NW5" s="186"/>
      <c r="NX5" s="186"/>
      <c r="NY5" s="186"/>
      <c r="NZ5" s="186"/>
      <c r="OA5" s="186"/>
      <c r="OB5" s="186"/>
      <c r="OC5" s="186"/>
      <c r="OD5" s="186"/>
      <c r="OE5" s="186"/>
      <c r="OF5" s="186"/>
      <c r="OG5" s="186"/>
      <c r="OH5" s="186"/>
      <c r="OI5" s="186"/>
      <c r="OJ5" s="186"/>
      <c r="OK5" s="186"/>
      <c r="OL5" s="186"/>
      <c r="OM5" s="186"/>
      <c r="ON5" s="186"/>
      <c r="OO5" s="186"/>
      <c r="OP5" s="186"/>
      <c r="OQ5" s="186"/>
      <c r="OR5" s="186"/>
      <c r="OS5" s="186"/>
      <c r="OT5" s="186"/>
      <c r="OU5" s="186"/>
      <c r="OV5" s="186"/>
      <c r="OW5" s="186"/>
      <c r="OX5" s="186"/>
      <c r="OY5" s="186"/>
      <c r="OZ5" s="186"/>
      <c r="PA5" s="186"/>
      <c r="PB5" s="186"/>
      <c r="PC5" s="186"/>
      <c r="PD5" s="186"/>
      <c r="PE5" s="186"/>
      <c r="PF5" s="186"/>
      <c r="PG5" s="186"/>
      <c r="PH5" s="186"/>
      <c r="PI5" s="186"/>
      <c r="PJ5" s="186"/>
      <c r="PK5" s="186"/>
      <c r="PL5" s="186"/>
      <c r="PM5" s="186"/>
      <c r="PN5" s="186"/>
      <c r="PO5" s="186"/>
      <c r="PP5" s="186"/>
      <c r="PQ5" s="186"/>
      <c r="PR5" s="186"/>
      <c r="PS5" s="186"/>
      <c r="PT5" s="186"/>
      <c r="PU5" s="186"/>
      <c r="PV5" s="186"/>
      <c r="PW5" s="186"/>
      <c r="PX5" s="186"/>
      <c r="PY5" s="186"/>
      <c r="PZ5" s="186"/>
      <c r="QA5" s="186"/>
      <c r="QB5" s="186"/>
      <c r="QC5" s="186"/>
      <c r="QD5" s="186"/>
      <c r="QE5" s="186"/>
      <c r="QF5" s="186"/>
      <c r="QG5" s="186"/>
      <c r="QH5" s="186"/>
      <c r="QI5" s="186"/>
      <c r="QJ5" s="186"/>
      <c r="QK5" s="186"/>
      <c r="QL5" s="186"/>
      <c r="QM5" s="186"/>
      <c r="QN5" s="186"/>
      <c r="QO5" s="186"/>
      <c r="QP5" s="186"/>
      <c r="QQ5" s="186"/>
      <c r="QR5" s="186"/>
      <c r="QS5" s="186"/>
      <c r="QT5" s="186"/>
      <c r="QU5" s="186"/>
      <c r="QV5" s="186"/>
      <c r="QW5" s="186"/>
      <c r="QX5" s="186"/>
      <c r="QY5" s="186"/>
      <c r="QZ5" s="186"/>
      <c r="RA5" s="186"/>
      <c r="RB5" s="186"/>
      <c r="RC5" s="186"/>
      <c r="RD5" s="186"/>
      <c r="RE5" s="186"/>
      <c r="RF5" s="186"/>
      <c r="RG5" s="186"/>
      <c r="RH5" s="186"/>
      <c r="RI5" s="186"/>
      <c r="RJ5" s="186"/>
      <c r="RK5" s="186"/>
      <c r="RL5" s="186"/>
      <c r="RM5" s="186"/>
      <c r="RN5" s="186"/>
      <c r="RO5" s="186"/>
      <c r="RP5" s="186"/>
      <c r="RQ5" s="186"/>
      <c r="RR5" s="186"/>
      <c r="RS5" s="186"/>
      <c r="RT5" s="186"/>
      <c r="RU5" s="186"/>
      <c r="RV5" s="186"/>
      <c r="RW5" s="186"/>
      <c r="RX5" s="186"/>
      <c r="RY5" s="186"/>
      <c r="RZ5" s="186"/>
      <c r="SA5" s="186"/>
      <c r="SB5" s="186"/>
      <c r="SC5" s="186"/>
      <c r="SD5" s="186"/>
      <c r="SE5" s="186"/>
      <c r="SF5" s="186"/>
      <c r="SG5" s="186"/>
      <c r="SH5" s="186"/>
      <c r="SI5" s="186"/>
      <c r="SJ5" s="186"/>
      <c r="SK5" s="186"/>
      <c r="SL5" s="186"/>
      <c r="SM5" s="186"/>
      <c r="SN5" s="186"/>
      <c r="SO5" s="186"/>
      <c r="SP5" s="186"/>
      <c r="SQ5" s="186"/>
      <c r="SR5" s="186"/>
      <c r="SS5" s="186"/>
      <c r="ST5" s="186"/>
      <c r="SU5" s="186"/>
      <c r="SV5" s="186"/>
      <c r="SW5" s="186"/>
      <c r="SX5" s="186"/>
      <c r="SY5" s="186"/>
      <c r="SZ5" s="186"/>
      <c r="TA5" s="186"/>
      <c r="TB5" s="186"/>
      <c r="TC5" s="186"/>
      <c r="TD5" s="186"/>
      <c r="TE5" s="186"/>
      <c r="TF5" s="186"/>
      <c r="TG5" s="186"/>
      <c r="TH5" s="186"/>
      <c r="TI5" s="186"/>
      <c r="TJ5" s="186"/>
      <c r="TK5" s="186"/>
      <c r="TL5" s="186"/>
      <c r="TM5" s="186"/>
      <c r="TN5" s="186"/>
      <c r="TO5" s="186"/>
      <c r="TP5" s="186"/>
      <c r="TQ5" s="186"/>
      <c r="TR5" s="186"/>
      <c r="TS5" s="186"/>
      <c r="TT5" s="186"/>
      <c r="TU5" s="186"/>
      <c r="TV5" s="186"/>
      <c r="TW5" s="186"/>
      <c r="TX5" s="186"/>
      <c r="TY5" s="186"/>
      <c r="TZ5" s="186"/>
      <c r="UA5" s="186"/>
      <c r="UB5" s="186"/>
      <c r="UC5" s="186"/>
      <c r="UD5" s="186"/>
      <c r="UE5" s="186"/>
      <c r="UF5" s="186"/>
      <c r="UG5" s="186"/>
      <c r="UH5" s="186"/>
      <c r="UI5" s="186"/>
      <c r="UJ5" s="186"/>
      <c r="UK5" s="186"/>
      <c r="UL5" s="186"/>
      <c r="UM5" s="186"/>
      <c r="UN5" s="186"/>
      <c r="UO5" s="186"/>
      <c r="UP5" s="186"/>
      <c r="UQ5" s="186"/>
      <c r="UR5" s="186"/>
      <c r="US5" s="186"/>
      <c r="UT5" s="186"/>
      <c r="UU5" s="186"/>
      <c r="UV5" s="186"/>
      <c r="UW5" s="186"/>
      <c r="UX5" s="186"/>
      <c r="UY5" s="186"/>
      <c r="UZ5" s="186"/>
      <c r="VA5" s="186"/>
      <c r="VB5" s="186"/>
      <c r="VC5" s="186"/>
      <c r="VD5" s="186"/>
      <c r="VE5" s="186"/>
      <c r="VF5" s="186"/>
      <c r="VG5" s="186"/>
      <c r="VH5" s="186"/>
      <c r="VI5" s="186"/>
      <c r="VJ5" s="186"/>
      <c r="VK5" s="186"/>
      <c r="VL5" s="186"/>
      <c r="VM5" s="186"/>
      <c r="VN5" s="186"/>
      <c r="VO5" s="186"/>
      <c r="VP5" s="186"/>
      <c r="VQ5" s="186"/>
      <c r="VR5" s="186"/>
      <c r="VS5" s="186"/>
      <c r="VT5" s="186"/>
      <c r="VU5" s="186"/>
      <c r="VV5" s="186"/>
      <c r="VW5" s="186"/>
      <c r="VX5" s="186"/>
      <c r="VY5" s="186"/>
      <c r="VZ5" s="186"/>
      <c r="WA5" s="186"/>
      <c r="WB5" s="186"/>
      <c r="WC5" s="186"/>
      <c r="WD5" s="186"/>
      <c r="WE5" s="186"/>
      <c r="WF5" s="186"/>
      <c r="WG5" s="186"/>
      <c r="WH5" s="186"/>
      <c r="WI5" s="186"/>
      <c r="WJ5" s="186"/>
      <c r="WK5" s="186"/>
      <c r="WL5" s="186"/>
      <c r="WM5" s="186"/>
      <c r="WN5" s="186"/>
      <c r="WO5" s="186"/>
      <c r="WP5" s="186"/>
      <c r="WQ5" s="186"/>
      <c r="WR5" s="186"/>
      <c r="WS5" s="186"/>
      <c r="WT5" s="186"/>
      <c r="WU5" s="186"/>
      <c r="WV5" s="186"/>
      <c r="WW5" s="186"/>
      <c r="WX5" s="186"/>
      <c r="WY5" s="186"/>
      <c r="WZ5" s="186"/>
      <c r="XA5" s="186"/>
      <c r="XB5" s="186"/>
      <c r="XC5" s="186"/>
      <c r="XD5" s="186"/>
      <c r="XE5" s="186"/>
      <c r="XF5" s="186"/>
      <c r="XG5" s="186"/>
      <c r="XH5" s="186"/>
      <c r="XI5" s="186"/>
      <c r="XJ5" s="186"/>
      <c r="XK5" s="186"/>
      <c r="XL5" s="186"/>
      <c r="XM5" s="186"/>
      <c r="XN5" s="186"/>
      <c r="XO5" s="186"/>
      <c r="XP5" s="186"/>
      <c r="XQ5" s="186"/>
      <c r="XR5" s="186"/>
      <c r="XS5" s="186"/>
      <c r="XT5" s="186"/>
      <c r="XU5" s="186"/>
      <c r="XV5" s="186"/>
      <c r="XW5" s="186"/>
      <c r="XX5" s="186"/>
      <c r="XY5" s="186"/>
      <c r="XZ5" s="186"/>
      <c r="YA5" s="186"/>
      <c r="YB5" s="186"/>
      <c r="YC5" s="186"/>
      <c r="YD5" s="186"/>
      <c r="YE5" s="186"/>
      <c r="YF5" s="186"/>
      <c r="YG5" s="186"/>
      <c r="YH5" s="186"/>
      <c r="YI5" s="186"/>
      <c r="YJ5" s="186"/>
      <c r="YK5" s="186"/>
      <c r="YL5" s="186"/>
      <c r="YM5" s="186"/>
      <c r="YN5" s="186"/>
      <c r="YO5" s="186"/>
      <c r="YP5" s="186"/>
      <c r="YQ5" s="186"/>
      <c r="YR5" s="186"/>
      <c r="YS5" s="186"/>
      <c r="YT5" s="186"/>
      <c r="YU5" s="186"/>
      <c r="YV5" s="186"/>
      <c r="YW5" s="186"/>
      <c r="YX5" s="186"/>
      <c r="YY5" s="186"/>
      <c r="YZ5" s="186"/>
      <c r="ZA5" s="186"/>
      <c r="ZB5" s="186"/>
      <c r="ZC5" s="186"/>
      <c r="ZD5" s="186"/>
      <c r="ZE5" s="186"/>
      <c r="ZF5" s="186"/>
      <c r="ZG5" s="186"/>
      <c r="ZH5" s="186"/>
      <c r="ZI5" s="186"/>
      <c r="ZJ5" s="186"/>
      <c r="ZK5" s="186"/>
      <c r="ZL5" s="186"/>
      <c r="ZM5" s="186"/>
      <c r="ZN5" s="186"/>
      <c r="ZO5" s="186"/>
      <c r="ZP5" s="186"/>
      <c r="ZQ5" s="186"/>
      <c r="ZR5" s="186"/>
      <c r="ZS5" s="186"/>
      <c r="ZT5" s="186"/>
      <c r="ZU5" s="186"/>
      <c r="ZV5" s="186"/>
      <c r="ZW5" s="186"/>
      <c r="ZX5" s="186"/>
      <c r="ZY5" s="186"/>
      <c r="ZZ5" s="186"/>
      <c r="AAA5" s="186"/>
      <c r="AAB5" s="186"/>
      <c r="AAC5" s="186"/>
      <c r="AAD5" s="186"/>
      <c r="AAE5" s="186"/>
      <c r="AAF5" s="186"/>
      <c r="AAG5" s="186"/>
      <c r="AAH5" s="186"/>
      <c r="AAI5" s="186"/>
      <c r="AAJ5" s="186"/>
      <c r="AAK5" s="186"/>
      <c r="AAL5" s="186"/>
      <c r="AAM5" s="186"/>
      <c r="AAN5" s="186"/>
      <c r="AAO5" s="186"/>
      <c r="AAP5" s="186"/>
      <c r="AAQ5" s="186"/>
      <c r="AAR5" s="186"/>
      <c r="AAS5" s="186"/>
      <c r="AAT5" s="186"/>
      <c r="AAU5" s="186"/>
      <c r="AAV5" s="186"/>
      <c r="AAW5" s="186"/>
      <c r="AAX5" s="186"/>
      <c r="AAY5" s="186"/>
      <c r="AAZ5" s="186"/>
      <c r="ABA5" s="186"/>
      <c r="ABB5" s="186"/>
      <c r="ABC5" s="186"/>
      <c r="ABD5" s="186"/>
      <c r="ABE5" s="186"/>
      <c r="ABF5" s="186"/>
      <c r="ABG5" s="186"/>
      <c r="ABH5" s="186"/>
      <c r="ABI5" s="186"/>
      <c r="ABJ5" s="186"/>
      <c r="ABK5" s="186"/>
      <c r="ABL5" s="186"/>
      <c r="ABM5" s="186"/>
      <c r="ABN5" s="186"/>
      <c r="ABO5" s="186"/>
      <c r="ABP5" s="186"/>
      <c r="ABQ5" s="186"/>
      <c r="ABR5" s="186"/>
      <c r="ABS5" s="186"/>
      <c r="ABT5" s="186"/>
      <c r="ABU5" s="186"/>
      <c r="ABV5" s="186"/>
      <c r="ABW5" s="186"/>
      <c r="ABX5" s="186"/>
      <c r="ABY5" s="186"/>
      <c r="ABZ5" s="186"/>
      <c r="ACA5" s="186"/>
      <c r="ACB5" s="186"/>
      <c r="ACC5" s="186"/>
      <c r="ACD5" s="186"/>
      <c r="ACE5" s="186"/>
      <c r="ACF5" s="186"/>
      <c r="ACG5" s="186"/>
      <c r="ACH5" s="186"/>
      <c r="ACI5" s="186"/>
      <c r="ACJ5" s="186"/>
      <c r="ACK5" s="186"/>
      <c r="ACL5" s="186"/>
      <c r="ACM5" s="186"/>
      <c r="ACN5" s="186"/>
      <c r="ACO5" s="186"/>
      <c r="ACP5" s="186"/>
      <c r="ACQ5" s="186"/>
      <c r="ACR5" s="186"/>
      <c r="ACS5" s="186"/>
      <c r="ACT5" s="186"/>
      <c r="ACU5" s="186"/>
      <c r="ACV5" s="186"/>
      <c r="ACW5" s="186"/>
      <c r="ACX5" s="186"/>
      <c r="ACY5" s="186"/>
      <c r="ACZ5" s="186"/>
      <c r="ADA5" s="186"/>
      <c r="ADB5" s="186"/>
      <c r="ADC5" s="186"/>
      <c r="ADD5" s="186"/>
      <c r="ADE5" s="186"/>
      <c r="ADF5" s="186"/>
      <c r="ADG5" s="186"/>
      <c r="ADH5" s="186"/>
      <c r="ADI5" s="186"/>
      <c r="ADJ5" s="186"/>
      <c r="ADK5" s="186"/>
      <c r="ADL5" s="186"/>
      <c r="ADM5" s="186"/>
      <c r="ADN5" s="186"/>
      <c r="ADO5" s="186"/>
      <c r="ADP5" s="186"/>
      <c r="ADQ5" s="186"/>
      <c r="ADR5" s="186"/>
      <c r="ADS5" s="186"/>
      <c r="ADT5" s="186"/>
      <c r="ADU5" s="186"/>
      <c r="ADV5" s="186"/>
      <c r="ADW5" s="186"/>
      <c r="ADX5" s="186"/>
      <c r="ADY5" s="186"/>
      <c r="ADZ5" s="186"/>
      <c r="AEA5" s="186"/>
      <c r="AEB5" s="186"/>
      <c r="AEC5" s="186"/>
      <c r="AED5" s="186"/>
      <c r="AEE5" s="186"/>
      <c r="AEF5" s="186"/>
      <c r="AEG5" s="186"/>
      <c r="AEH5" s="186"/>
      <c r="AEI5" s="186"/>
      <c r="AEJ5" s="186"/>
      <c r="AEK5" s="186"/>
      <c r="AEL5" s="186"/>
      <c r="AEM5" s="186"/>
      <c r="AEN5" s="186"/>
      <c r="AEO5" s="186"/>
      <c r="AEP5" s="186"/>
      <c r="AEQ5" s="186"/>
      <c r="AER5" s="186"/>
      <c r="AES5" s="186"/>
      <c r="AET5" s="186"/>
      <c r="AEU5" s="186"/>
      <c r="AEV5" s="186"/>
      <c r="AEW5" s="186"/>
      <c r="AEX5" s="186"/>
      <c r="AEY5" s="186"/>
      <c r="AEZ5" s="186"/>
      <c r="AFA5" s="186"/>
      <c r="AFB5" s="186"/>
      <c r="AFC5" s="186"/>
      <c r="AFD5" s="186"/>
      <c r="AFE5" s="186"/>
      <c r="AFF5" s="186"/>
      <c r="AFG5" s="186"/>
      <c r="AFH5" s="186"/>
      <c r="AFI5" s="186"/>
      <c r="AFJ5" s="186"/>
      <c r="AFK5" s="186"/>
      <c r="AFL5" s="186"/>
      <c r="AFM5" s="186"/>
      <c r="AFN5" s="186"/>
      <c r="AFO5" s="186"/>
      <c r="AFP5" s="186"/>
      <c r="AFQ5" s="186"/>
      <c r="AFR5" s="186"/>
      <c r="AFS5" s="186"/>
      <c r="AFT5" s="186"/>
      <c r="AFU5" s="186"/>
      <c r="AFV5" s="186"/>
      <c r="AFW5" s="186"/>
      <c r="AFX5" s="186"/>
      <c r="AFY5" s="186"/>
      <c r="AFZ5" s="186"/>
      <c r="AGA5" s="186"/>
      <c r="AGB5" s="186"/>
      <c r="AGC5" s="186"/>
      <c r="AGD5" s="186"/>
      <c r="AGE5" s="186"/>
      <c r="AGF5" s="186"/>
      <c r="AGG5" s="186"/>
      <c r="AGH5" s="186"/>
      <c r="AGI5" s="186"/>
      <c r="AGJ5" s="186"/>
      <c r="AGK5" s="186"/>
      <c r="AGL5" s="186"/>
      <c r="AGM5" s="186"/>
      <c r="AGN5" s="186"/>
      <c r="AGO5" s="186"/>
      <c r="AGP5" s="186"/>
      <c r="AGQ5" s="186"/>
      <c r="AGR5" s="186"/>
      <c r="AGS5" s="186"/>
      <c r="AGT5" s="186"/>
      <c r="AGU5" s="186"/>
      <c r="AGV5" s="186"/>
      <c r="AGW5" s="186"/>
      <c r="AGX5" s="186"/>
      <c r="AGY5" s="186"/>
      <c r="AGZ5" s="186"/>
      <c r="AHA5" s="186"/>
      <c r="AHB5" s="186"/>
      <c r="AHC5" s="186"/>
      <c r="AHD5" s="186"/>
      <c r="AHE5" s="186"/>
      <c r="AHF5" s="186"/>
      <c r="AHG5" s="186"/>
      <c r="AHH5" s="186"/>
      <c r="AHI5" s="186"/>
      <c r="AHJ5" s="186"/>
      <c r="AHK5" s="186"/>
      <c r="AHL5" s="186"/>
      <c r="AHM5" s="186"/>
      <c r="AHN5" s="186"/>
      <c r="AHO5" s="186"/>
      <c r="AHP5" s="186"/>
      <c r="AHQ5" s="186"/>
      <c r="AHR5" s="186"/>
      <c r="AHS5" s="186"/>
      <c r="AHT5" s="186"/>
      <c r="AHU5" s="186"/>
      <c r="AHV5" s="186"/>
      <c r="AHW5" s="186"/>
      <c r="AHX5" s="186"/>
      <c r="AHY5" s="186"/>
      <c r="AHZ5" s="186"/>
      <c r="AIA5" s="186"/>
      <c r="AIB5" s="186"/>
      <c r="AIC5" s="186"/>
      <c r="AID5" s="186"/>
      <c r="AIE5" s="186"/>
      <c r="AIF5" s="186"/>
      <c r="AIG5" s="186"/>
      <c r="AIH5" s="186"/>
      <c r="AII5" s="186"/>
      <c r="AIJ5" s="186"/>
      <c r="AIK5" s="186"/>
      <c r="AIL5" s="186"/>
      <c r="AIM5" s="186"/>
      <c r="AIN5" s="186"/>
      <c r="AIO5" s="186"/>
      <c r="AIP5" s="186"/>
      <c r="AIQ5" s="186"/>
      <c r="AIR5" s="186"/>
      <c r="AIS5" s="186"/>
      <c r="AIT5" s="186"/>
      <c r="AIU5" s="186"/>
      <c r="AIV5" s="186"/>
      <c r="AIW5" s="186"/>
      <c r="AIX5" s="186"/>
      <c r="AIY5" s="186"/>
      <c r="AIZ5" s="186"/>
      <c r="AJA5" s="186"/>
      <c r="AJB5" s="186"/>
      <c r="AJC5" s="186"/>
      <c r="AJD5" s="186"/>
      <c r="AJE5" s="186"/>
      <c r="AJF5" s="186"/>
      <c r="AJG5" s="186"/>
      <c r="AJH5" s="186"/>
      <c r="AJI5" s="186"/>
      <c r="AJJ5" s="186"/>
      <c r="AJK5" s="186"/>
      <c r="AJL5" s="186"/>
      <c r="AJM5" s="186"/>
      <c r="AJN5" s="186"/>
      <c r="AJO5" s="186"/>
      <c r="AJP5" s="186"/>
      <c r="AJQ5" s="186"/>
      <c r="AJR5" s="186"/>
      <c r="AJS5" s="186"/>
      <c r="AJT5" s="186"/>
      <c r="AJU5" s="186"/>
      <c r="AJV5" s="186"/>
      <c r="AJW5" s="186"/>
      <c r="AJX5" s="186"/>
      <c r="AJY5" s="186"/>
      <c r="AJZ5" s="186"/>
      <c r="AKA5" s="186"/>
      <c r="AKB5" s="186"/>
      <c r="AKC5" s="186"/>
      <c r="AKD5" s="186"/>
      <c r="AKE5" s="186"/>
      <c r="AKF5" s="186"/>
      <c r="AKG5" s="186"/>
      <c r="AKH5" s="186"/>
      <c r="AKI5" s="186"/>
      <c r="AKJ5" s="186"/>
      <c r="AKK5" s="186"/>
      <c r="AKL5" s="186"/>
      <c r="AKM5" s="186"/>
      <c r="AKN5" s="186"/>
      <c r="AKO5" s="186"/>
      <c r="AKP5" s="186"/>
      <c r="AKQ5" s="186"/>
      <c r="AKR5" s="186"/>
      <c r="AKS5" s="186"/>
      <c r="AKT5" s="186"/>
      <c r="AKU5" s="186"/>
      <c r="AKV5" s="186"/>
      <c r="AKW5" s="186"/>
      <c r="AKX5" s="186"/>
      <c r="AKY5" s="186"/>
      <c r="AKZ5" s="186"/>
      <c r="ALA5" s="186"/>
      <c r="ALB5" s="186"/>
      <c r="ALC5" s="186"/>
      <c r="ALD5" s="186"/>
      <c r="ALE5" s="186"/>
      <c r="ALF5" s="186"/>
      <c r="ALG5" s="186"/>
      <c r="ALH5" s="186"/>
      <c r="ALI5" s="186"/>
      <c r="ALJ5" s="186"/>
      <c r="ALK5" s="186"/>
      <c r="ALL5" s="186"/>
      <c r="ALM5" s="186"/>
      <c r="ALN5" s="186"/>
      <c r="ALO5" s="186"/>
      <c r="ALP5" s="186"/>
      <c r="ALQ5" s="186"/>
      <c r="ALR5" s="186"/>
      <c r="ALS5" s="186"/>
      <c r="ALT5" s="186"/>
      <c r="ALU5" s="186"/>
      <c r="ALV5" s="186"/>
      <c r="ALW5" s="186"/>
      <c r="ALX5" s="186"/>
      <c r="ALY5" s="186"/>
      <c r="ALZ5" s="186"/>
      <c r="AMA5" s="186"/>
      <c r="AMB5" s="186"/>
      <c r="AMC5" s="186"/>
      <c r="AMD5" s="186"/>
      <c r="AME5" s="186"/>
      <c r="AMF5" s="186"/>
      <c r="AMG5" s="186"/>
      <c r="AMH5" s="186"/>
      <c r="AMI5" s="186"/>
      <c r="AMJ5" s="186"/>
      <c r="AMK5" s="186"/>
      <c r="AML5" s="186"/>
      <c r="AMM5" s="186"/>
      <c r="AMN5" s="186"/>
      <c r="AMO5" s="186"/>
      <c r="AMP5" s="186"/>
      <c r="AMQ5" s="186"/>
      <c r="AMR5" s="186"/>
      <c r="AMS5" s="186"/>
      <c r="AMT5" s="186"/>
      <c r="AMU5" s="186"/>
      <c r="AMV5" s="186"/>
      <c r="AMW5" s="186"/>
      <c r="AMX5" s="186"/>
      <c r="AMY5" s="186"/>
      <c r="AMZ5" s="186"/>
      <c r="ANA5" s="186"/>
      <c r="ANB5" s="186"/>
      <c r="ANC5" s="186"/>
      <c r="AND5" s="186"/>
      <c r="ANE5" s="186"/>
      <c r="ANF5" s="186"/>
    </row>
    <row r="6" spans="1:1046" s="186" customFormat="1" ht="15" x14ac:dyDescent="0.2">
      <c r="A6" s="1"/>
      <c r="B6" s="191" t="s">
        <v>74</v>
      </c>
      <c r="C6" s="192" t="s">
        <v>75</v>
      </c>
      <c r="D6" s="922">
        <v>55</v>
      </c>
      <c r="E6" s="923"/>
      <c r="F6" s="924">
        <v>55</v>
      </c>
      <c r="G6" s="925"/>
      <c r="H6" s="922">
        <v>55</v>
      </c>
      <c r="I6" s="925"/>
      <c r="J6" s="922">
        <v>55</v>
      </c>
      <c r="K6" s="925"/>
      <c r="L6" s="922">
        <v>55</v>
      </c>
      <c r="M6" s="925"/>
      <c r="N6" s="922">
        <v>55</v>
      </c>
      <c r="O6" s="923"/>
      <c r="P6" s="924">
        <v>55</v>
      </c>
      <c r="Q6" s="925"/>
      <c r="R6" s="922">
        <v>55</v>
      </c>
      <c r="S6" s="925"/>
      <c r="T6" s="922">
        <v>55</v>
      </c>
      <c r="U6" s="925"/>
      <c r="V6" s="922">
        <v>55</v>
      </c>
      <c r="W6" s="925"/>
      <c r="X6" s="922">
        <v>55</v>
      </c>
      <c r="Y6" s="923"/>
      <c r="Z6" s="924">
        <v>55</v>
      </c>
      <c r="AA6" s="925"/>
      <c r="AB6" s="922">
        <v>55</v>
      </c>
      <c r="AC6" s="925"/>
      <c r="AD6" s="922">
        <v>55</v>
      </c>
      <c r="AE6" s="925"/>
      <c r="AF6" s="922">
        <v>55</v>
      </c>
      <c r="AG6" s="925"/>
      <c r="AH6" s="922">
        <v>55</v>
      </c>
      <c r="AI6" s="923"/>
      <c r="AJ6" s="924">
        <v>55</v>
      </c>
      <c r="AK6" s="924"/>
      <c r="AL6" s="926">
        <v>55</v>
      </c>
      <c r="AM6" s="927"/>
      <c r="AN6" s="924">
        <v>55</v>
      </c>
      <c r="AO6" s="924"/>
      <c r="AP6" s="922">
        <v>55</v>
      </c>
      <c r="AQ6" s="925"/>
      <c r="AR6" s="924">
        <v>55</v>
      </c>
      <c r="AS6" s="923"/>
      <c r="AT6" s="928">
        <v>96</v>
      </c>
      <c r="AU6" s="930"/>
      <c r="AV6" s="928">
        <v>96</v>
      </c>
      <c r="AW6" s="930"/>
      <c r="AX6" s="928">
        <v>96</v>
      </c>
      <c r="AY6" s="930"/>
      <c r="AZ6" s="928">
        <v>96</v>
      </c>
      <c r="BA6" s="930"/>
      <c r="BB6" s="928">
        <v>96</v>
      </c>
      <c r="BC6" s="929"/>
      <c r="BD6" s="928">
        <v>96</v>
      </c>
      <c r="BE6" s="930"/>
      <c r="BF6" s="928">
        <v>96</v>
      </c>
      <c r="BG6" s="930"/>
      <c r="BH6" s="928">
        <v>96</v>
      </c>
      <c r="BI6" s="930"/>
      <c r="BJ6" s="928">
        <v>96</v>
      </c>
      <c r="BK6" s="930"/>
      <c r="BL6" s="928">
        <v>96</v>
      </c>
      <c r="BM6" s="929"/>
      <c r="BN6" s="928">
        <v>96</v>
      </c>
      <c r="BO6" s="930"/>
      <c r="BP6" s="928">
        <v>96</v>
      </c>
      <c r="BQ6" s="930"/>
      <c r="BR6" s="928">
        <v>96</v>
      </c>
      <c r="BS6" s="930"/>
      <c r="BT6" s="928">
        <v>96</v>
      </c>
      <c r="BU6" s="930"/>
      <c r="BV6" s="928">
        <v>96</v>
      </c>
      <c r="BW6" s="929"/>
      <c r="BX6" s="928">
        <v>96</v>
      </c>
      <c r="BY6" s="930"/>
      <c r="BZ6" s="928">
        <v>96</v>
      </c>
      <c r="CA6" s="930"/>
      <c r="CB6" s="928">
        <v>96</v>
      </c>
      <c r="CC6" s="930"/>
      <c r="CD6" s="928">
        <v>96</v>
      </c>
      <c r="CE6" s="930"/>
      <c r="CF6" s="928">
        <v>96</v>
      </c>
      <c r="CG6" s="929"/>
      <c r="CH6" s="928">
        <v>96</v>
      </c>
      <c r="CI6" s="930"/>
      <c r="CJ6" s="931">
        <v>48</v>
      </c>
      <c r="CK6" s="932"/>
      <c r="CL6" s="931">
        <v>48</v>
      </c>
      <c r="CM6" s="932"/>
      <c r="CN6" s="931">
        <v>48</v>
      </c>
      <c r="CO6" s="932"/>
      <c r="CP6" s="934">
        <v>48</v>
      </c>
      <c r="CQ6" s="933"/>
      <c r="CR6" s="931">
        <v>48</v>
      </c>
      <c r="CS6" s="932"/>
      <c r="CT6" s="931">
        <v>48</v>
      </c>
      <c r="CU6" s="932"/>
      <c r="CV6" s="931">
        <v>48</v>
      </c>
      <c r="CW6" s="932"/>
      <c r="CX6" s="931">
        <v>48</v>
      </c>
      <c r="CY6" s="932"/>
      <c r="CZ6" s="931">
        <v>48</v>
      </c>
      <c r="DA6" s="933"/>
      <c r="DB6" s="931">
        <v>48</v>
      </c>
      <c r="DC6" s="932"/>
      <c r="DD6" s="931">
        <v>48</v>
      </c>
      <c r="DE6" s="932"/>
      <c r="DF6" s="931">
        <v>48</v>
      </c>
      <c r="DG6" s="932"/>
      <c r="DH6" s="931">
        <v>48</v>
      </c>
      <c r="DI6" s="932"/>
      <c r="DJ6" s="931">
        <v>48</v>
      </c>
      <c r="DK6" s="933"/>
      <c r="DL6" s="931">
        <v>48</v>
      </c>
      <c r="DM6" s="932"/>
      <c r="DN6" s="931">
        <v>48</v>
      </c>
      <c r="DO6" s="932"/>
      <c r="DP6" s="931">
        <v>48</v>
      </c>
      <c r="DQ6" s="932"/>
      <c r="DR6" s="931">
        <v>48</v>
      </c>
      <c r="DS6" s="932"/>
      <c r="DT6" s="934">
        <v>48</v>
      </c>
      <c r="DU6" s="933"/>
      <c r="DV6" s="935">
        <v>36</v>
      </c>
      <c r="DW6" s="936"/>
      <c r="DX6" s="935">
        <v>36</v>
      </c>
      <c r="DY6" s="936"/>
      <c r="DZ6" s="935">
        <v>36</v>
      </c>
      <c r="EA6" s="936"/>
      <c r="EB6" s="935">
        <v>36</v>
      </c>
      <c r="EC6" s="936"/>
      <c r="ED6" s="935">
        <v>36</v>
      </c>
      <c r="EE6" s="937"/>
      <c r="EF6" s="935">
        <v>36</v>
      </c>
      <c r="EG6" s="936"/>
      <c r="EH6" s="935">
        <v>36</v>
      </c>
      <c r="EI6" s="936"/>
      <c r="EJ6" s="935">
        <v>36</v>
      </c>
      <c r="EK6" s="936"/>
      <c r="EL6" s="935">
        <v>36</v>
      </c>
      <c r="EM6" s="936"/>
      <c r="EN6" s="946">
        <v>36</v>
      </c>
      <c r="EO6" s="937"/>
      <c r="EP6" s="935">
        <v>36</v>
      </c>
      <c r="EQ6" s="936"/>
      <c r="ER6" s="935">
        <v>36</v>
      </c>
      <c r="ES6" s="936"/>
      <c r="ET6" s="935">
        <v>36</v>
      </c>
      <c r="EU6" s="936"/>
      <c r="EV6" s="935">
        <v>36</v>
      </c>
      <c r="EW6" s="936"/>
      <c r="EX6" s="935">
        <v>36</v>
      </c>
      <c r="EY6" s="937"/>
      <c r="EZ6" s="935">
        <v>36</v>
      </c>
      <c r="FA6" s="936"/>
      <c r="FB6" s="935">
        <v>36</v>
      </c>
      <c r="FC6" s="935"/>
      <c r="FD6" s="946">
        <v>36</v>
      </c>
      <c r="FE6" s="936"/>
      <c r="FF6" s="935">
        <v>36</v>
      </c>
      <c r="FG6" s="936"/>
      <c r="FH6" s="946">
        <v>36</v>
      </c>
      <c r="FI6" s="937"/>
      <c r="FJ6" s="944">
        <v>24</v>
      </c>
      <c r="FK6" s="945"/>
      <c r="FL6" s="944">
        <v>24</v>
      </c>
      <c r="FM6" s="945"/>
      <c r="FN6" s="944">
        <v>24</v>
      </c>
      <c r="FO6" s="945"/>
      <c r="FP6" s="944">
        <v>24</v>
      </c>
      <c r="FQ6" s="945"/>
      <c r="FR6" s="938">
        <v>24</v>
      </c>
      <c r="FS6" s="939"/>
      <c r="FT6" s="944">
        <v>24</v>
      </c>
      <c r="FU6" s="945"/>
      <c r="FV6" s="944">
        <v>24</v>
      </c>
      <c r="FW6" s="945"/>
      <c r="FX6" s="944">
        <v>24</v>
      </c>
      <c r="FY6" s="945"/>
      <c r="FZ6" s="944">
        <v>24</v>
      </c>
      <c r="GA6" s="945"/>
      <c r="GB6" s="938">
        <v>24</v>
      </c>
      <c r="GC6" s="939"/>
      <c r="GD6" s="944">
        <v>24</v>
      </c>
      <c r="GE6" s="945"/>
      <c r="GF6" s="944">
        <v>24</v>
      </c>
      <c r="GG6" s="945"/>
      <c r="GH6" s="944">
        <v>24</v>
      </c>
      <c r="GI6" s="945"/>
      <c r="GJ6" s="944">
        <v>24</v>
      </c>
      <c r="GK6" s="945"/>
      <c r="GL6" s="938">
        <v>24</v>
      </c>
      <c r="GM6" s="939"/>
      <c r="GN6" s="944">
        <v>24</v>
      </c>
      <c r="GO6" s="945"/>
      <c r="GP6" s="944">
        <v>24</v>
      </c>
      <c r="GQ6" s="945"/>
      <c r="GR6" s="944">
        <v>24</v>
      </c>
      <c r="GS6" s="945"/>
      <c r="GT6" s="944">
        <v>24</v>
      </c>
      <c r="GU6" s="945"/>
      <c r="GV6" s="938">
        <v>24</v>
      </c>
      <c r="GW6" s="939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</row>
    <row r="7" spans="1:1046" s="186" customFormat="1" ht="15" x14ac:dyDescent="0.2">
      <c r="A7" s="2"/>
      <c r="B7" s="193"/>
      <c r="C7" s="194" t="s">
        <v>76</v>
      </c>
      <c r="D7" s="940">
        <f>$A$5/(D6*60)</f>
        <v>0.60606060606060608</v>
      </c>
      <c r="E7" s="941"/>
      <c r="F7" s="942">
        <f>$A$5/(F6*60)</f>
        <v>0.60606060606060608</v>
      </c>
      <c r="G7" s="943"/>
      <c r="H7" s="940">
        <f>$A$5/(H6*60)</f>
        <v>0.60606060606060608</v>
      </c>
      <c r="I7" s="943"/>
      <c r="J7" s="940">
        <f>$A$5/(J6*60)</f>
        <v>0.60606060606060608</v>
      </c>
      <c r="K7" s="943"/>
      <c r="L7" s="940">
        <f>$A$5/(L6*60)</f>
        <v>0.60606060606060608</v>
      </c>
      <c r="M7" s="943"/>
      <c r="N7" s="940">
        <f>$A$5/(N6*60)</f>
        <v>0.60606060606060608</v>
      </c>
      <c r="O7" s="941"/>
      <c r="P7" s="942">
        <f>$A$5/(P6*60)</f>
        <v>0.60606060606060608</v>
      </c>
      <c r="Q7" s="943"/>
      <c r="R7" s="947">
        <v>0.61</v>
      </c>
      <c r="S7" s="948"/>
      <c r="T7" s="947">
        <v>0.61</v>
      </c>
      <c r="U7" s="948"/>
      <c r="V7" s="947">
        <v>0.61</v>
      </c>
      <c r="W7" s="948"/>
      <c r="X7" s="947">
        <v>0.61</v>
      </c>
      <c r="Y7" s="949"/>
      <c r="Z7" s="942">
        <f>$A$5/(Z6*60)</f>
        <v>0.60606060606060608</v>
      </c>
      <c r="AA7" s="943"/>
      <c r="AB7" s="947">
        <v>0.61</v>
      </c>
      <c r="AC7" s="948"/>
      <c r="AD7" s="947">
        <v>0.61</v>
      </c>
      <c r="AE7" s="948"/>
      <c r="AF7" s="947">
        <v>0.61</v>
      </c>
      <c r="AG7" s="948"/>
      <c r="AH7" s="947">
        <v>0.61</v>
      </c>
      <c r="AI7" s="949"/>
      <c r="AJ7" s="950">
        <v>0.61</v>
      </c>
      <c r="AK7" s="950"/>
      <c r="AL7" s="947">
        <v>0.61</v>
      </c>
      <c r="AM7" s="948"/>
      <c r="AN7" s="950">
        <v>0.61</v>
      </c>
      <c r="AO7" s="950"/>
      <c r="AP7" s="947">
        <v>0.61</v>
      </c>
      <c r="AQ7" s="948"/>
      <c r="AR7" s="950">
        <v>0.61</v>
      </c>
      <c r="AS7" s="949"/>
      <c r="AT7" s="951">
        <v>0.35</v>
      </c>
      <c r="AU7" s="952"/>
      <c r="AV7" s="953">
        <v>0.35</v>
      </c>
      <c r="AW7" s="952"/>
      <c r="AX7" s="953">
        <v>0.35</v>
      </c>
      <c r="AY7" s="952"/>
      <c r="AZ7" s="953">
        <v>0.35</v>
      </c>
      <c r="BA7" s="952"/>
      <c r="BB7" s="953">
        <v>0.35</v>
      </c>
      <c r="BC7" s="954"/>
      <c r="BD7" s="951">
        <v>0.35</v>
      </c>
      <c r="BE7" s="952"/>
      <c r="BF7" s="953">
        <v>0.35</v>
      </c>
      <c r="BG7" s="952"/>
      <c r="BH7" s="953">
        <v>0.35</v>
      </c>
      <c r="BI7" s="952"/>
      <c r="BJ7" s="953">
        <v>0.35</v>
      </c>
      <c r="BK7" s="952"/>
      <c r="BL7" s="953">
        <v>0.35</v>
      </c>
      <c r="BM7" s="954"/>
      <c r="BN7" s="951">
        <v>0.35</v>
      </c>
      <c r="BO7" s="952"/>
      <c r="BP7" s="953">
        <v>0.35</v>
      </c>
      <c r="BQ7" s="952"/>
      <c r="BR7" s="953">
        <v>0.35</v>
      </c>
      <c r="BS7" s="952"/>
      <c r="BT7" s="953">
        <v>0.35</v>
      </c>
      <c r="BU7" s="952"/>
      <c r="BV7" s="953">
        <v>0.35</v>
      </c>
      <c r="BW7" s="954"/>
      <c r="BX7" s="951">
        <v>0.35</v>
      </c>
      <c r="BY7" s="952"/>
      <c r="BZ7" s="953">
        <v>0.35</v>
      </c>
      <c r="CA7" s="952"/>
      <c r="CB7" s="953">
        <v>0.35</v>
      </c>
      <c r="CC7" s="952"/>
      <c r="CD7" s="953">
        <v>0.35</v>
      </c>
      <c r="CE7" s="952"/>
      <c r="CF7" s="953">
        <v>0.35</v>
      </c>
      <c r="CG7" s="954"/>
      <c r="CH7" s="951">
        <v>0.35</v>
      </c>
      <c r="CI7" s="952"/>
      <c r="CJ7" s="955">
        <v>0.66</v>
      </c>
      <c r="CK7" s="956"/>
      <c r="CL7" s="955">
        <v>0.66</v>
      </c>
      <c r="CM7" s="956"/>
      <c r="CN7" s="955">
        <v>0.66</v>
      </c>
      <c r="CO7" s="956"/>
      <c r="CP7" s="955">
        <v>0.66</v>
      </c>
      <c r="CQ7" s="957"/>
      <c r="CR7" s="958">
        <v>0.66</v>
      </c>
      <c r="CS7" s="956"/>
      <c r="CT7" s="955">
        <v>0.66</v>
      </c>
      <c r="CU7" s="956"/>
      <c r="CV7" s="955">
        <v>0.66</v>
      </c>
      <c r="CW7" s="956"/>
      <c r="CX7" s="955">
        <v>0.66</v>
      </c>
      <c r="CY7" s="956"/>
      <c r="CZ7" s="955">
        <v>0.66</v>
      </c>
      <c r="DA7" s="957"/>
      <c r="DB7" s="958">
        <v>0.66</v>
      </c>
      <c r="DC7" s="956"/>
      <c r="DD7" s="955">
        <v>0.66</v>
      </c>
      <c r="DE7" s="956"/>
      <c r="DF7" s="955">
        <v>0.66</v>
      </c>
      <c r="DG7" s="956"/>
      <c r="DH7" s="955">
        <v>0.66</v>
      </c>
      <c r="DI7" s="956"/>
      <c r="DJ7" s="955">
        <v>0.66</v>
      </c>
      <c r="DK7" s="957"/>
      <c r="DL7" s="958">
        <v>0.66</v>
      </c>
      <c r="DM7" s="956"/>
      <c r="DN7" s="955">
        <v>0.66</v>
      </c>
      <c r="DO7" s="956"/>
      <c r="DP7" s="955">
        <v>0.66</v>
      </c>
      <c r="DQ7" s="956"/>
      <c r="DR7" s="955">
        <v>0.66</v>
      </c>
      <c r="DS7" s="956"/>
      <c r="DT7" s="955">
        <v>0.66</v>
      </c>
      <c r="DU7" s="957"/>
      <c r="DV7" s="959"/>
      <c r="DW7" s="960"/>
      <c r="DX7" s="961"/>
      <c r="DY7" s="960"/>
      <c r="DZ7" s="961"/>
      <c r="EA7" s="960"/>
      <c r="EB7" s="961"/>
      <c r="EC7" s="960"/>
      <c r="ED7" s="961"/>
      <c r="EE7" s="962"/>
      <c r="EF7" s="959"/>
      <c r="EG7" s="960"/>
      <c r="EH7" s="961"/>
      <c r="EI7" s="960"/>
      <c r="EJ7" s="961"/>
      <c r="EK7" s="960"/>
      <c r="EL7" s="961"/>
      <c r="EM7" s="960"/>
      <c r="EN7" s="961"/>
      <c r="EO7" s="962"/>
      <c r="EP7" s="959"/>
      <c r="EQ7" s="960"/>
      <c r="ER7" s="961"/>
      <c r="ES7" s="960"/>
      <c r="ET7" s="961"/>
      <c r="EU7" s="960"/>
      <c r="EV7" s="961"/>
      <c r="EW7" s="960"/>
      <c r="EX7" s="961"/>
      <c r="EY7" s="962"/>
      <c r="EZ7" s="959"/>
      <c r="FA7" s="960"/>
      <c r="FB7" s="961"/>
      <c r="FC7" s="959"/>
      <c r="FD7" s="961"/>
      <c r="FE7" s="960"/>
      <c r="FF7" s="959"/>
      <c r="FG7" s="960"/>
      <c r="FH7" s="961"/>
      <c r="FI7" s="962"/>
      <c r="FJ7" s="963"/>
      <c r="FK7" s="964"/>
      <c r="FL7" s="965"/>
      <c r="FM7" s="964"/>
      <c r="FN7" s="965"/>
      <c r="FO7" s="964"/>
      <c r="FP7" s="965"/>
      <c r="FQ7" s="964"/>
      <c r="FR7" s="965"/>
      <c r="FS7" s="966"/>
      <c r="FT7" s="963"/>
      <c r="FU7" s="964"/>
      <c r="FV7" s="965"/>
      <c r="FW7" s="964"/>
      <c r="FX7" s="965"/>
      <c r="FY7" s="964"/>
      <c r="FZ7" s="965"/>
      <c r="GA7" s="964"/>
      <c r="GB7" s="965"/>
      <c r="GC7" s="966"/>
      <c r="GD7" s="963"/>
      <c r="GE7" s="964"/>
      <c r="GF7" s="965"/>
      <c r="GG7" s="964"/>
      <c r="GH7" s="965"/>
      <c r="GI7" s="964"/>
      <c r="GJ7" s="965"/>
      <c r="GK7" s="964"/>
      <c r="GL7" s="965"/>
      <c r="GM7" s="966"/>
      <c r="GN7" s="963"/>
      <c r="GO7" s="964"/>
      <c r="GP7" s="965"/>
      <c r="GQ7" s="964"/>
      <c r="GR7" s="965"/>
      <c r="GS7" s="964"/>
      <c r="GT7" s="965"/>
      <c r="GU7" s="964"/>
      <c r="GV7" s="965"/>
      <c r="GW7" s="966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</row>
    <row r="8" spans="1:1046" s="186" customFormat="1" ht="15" x14ac:dyDescent="0.2">
      <c r="A8" s="2"/>
      <c r="B8" s="193"/>
      <c r="C8" s="194" t="s">
        <v>77</v>
      </c>
      <c r="D8" s="947">
        <v>0.5</v>
      </c>
      <c r="E8" s="949"/>
      <c r="F8" s="950">
        <v>0.5</v>
      </c>
      <c r="G8" s="948"/>
      <c r="H8" s="947">
        <v>0.5</v>
      </c>
      <c r="I8" s="948"/>
      <c r="J8" s="947">
        <v>0.5</v>
      </c>
      <c r="K8" s="948"/>
      <c r="L8" s="947">
        <v>0.5</v>
      </c>
      <c r="M8" s="948"/>
      <c r="N8" s="947">
        <v>0.5</v>
      </c>
      <c r="O8" s="949"/>
      <c r="P8" s="950">
        <v>0.5</v>
      </c>
      <c r="Q8" s="948"/>
      <c r="R8" s="947">
        <v>0.5</v>
      </c>
      <c r="S8" s="948"/>
      <c r="T8" s="947">
        <v>0.5</v>
      </c>
      <c r="U8" s="948"/>
      <c r="V8" s="947">
        <v>0.5</v>
      </c>
      <c r="W8" s="948"/>
      <c r="X8" s="947">
        <v>0.5</v>
      </c>
      <c r="Y8" s="949"/>
      <c r="Z8" s="950">
        <v>0.5</v>
      </c>
      <c r="AA8" s="948"/>
      <c r="AB8" s="947">
        <v>0.5</v>
      </c>
      <c r="AC8" s="948"/>
      <c r="AD8" s="947">
        <v>0.5</v>
      </c>
      <c r="AE8" s="948"/>
      <c r="AF8" s="947">
        <v>0.5</v>
      </c>
      <c r="AG8" s="948"/>
      <c r="AH8" s="947">
        <v>0.5</v>
      </c>
      <c r="AI8" s="949"/>
      <c r="AJ8" s="950">
        <v>0.5</v>
      </c>
      <c r="AK8" s="950"/>
      <c r="AL8" s="947">
        <v>0.5</v>
      </c>
      <c r="AM8" s="948"/>
      <c r="AN8" s="950">
        <v>0.5</v>
      </c>
      <c r="AO8" s="950"/>
      <c r="AP8" s="947">
        <v>0.5</v>
      </c>
      <c r="AQ8" s="948"/>
      <c r="AR8" s="950">
        <v>0.5</v>
      </c>
      <c r="AS8" s="949"/>
      <c r="AT8" s="951">
        <v>0.3</v>
      </c>
      <c r="AU8" s="952"/>
      <c r="AV8" s="953">
        <v>0.3</v>
      </c>
      <c r="AW8" s="952"/>
      <c r="AX8" s="953">
        <v>0.3</v>
      </c>
      <c r="AY8" s="952"/>
      <c r="AZ8" s="953">
        <v>0.3</v>
      </c>
      <c r="BA8" s="952"/>
      <c r="BB8" s="953">
        <v>0.3</v>
      </c>
      <c r="BC8" s="954"/>
      <c r="BD8" s="951">
        <v>0.3</v>
      </c>
      <c r="BE8" s="952"/>
      <c r="BF8" s="953">
        <v>0.3</v>
      </c>
      <c r="BG8" s="952"/>
      <c r="BH8" s="953">
        <v>0.3</v>
      </c>
      <c r="BI8" s="952"/>
      <c r="BJ8" s="953">
        <v>0.3</v>
      </c>
      <c r="BK8" s="952"/>
      <c r="BL8" s="953">
        <v>0.3</v>
      </c>
      <c r="BM8" s="954"/>
      <c r="BN8" s="951">
        <v>0.3</v>
      </c>
      <c r="BO8" s="952"/>
      <c r="BP8" s="953">
        <v>0.3</v>
      </c>
      <c r="BQ8" s="952"/>
      <c r="BR8" s="953">
        <v>0.3</v>
      </c>
      <c r="BS8" s="952"/>
      <c r="BT8" s="953">
        <v>0.3</v>
      </c>
      <c r="BU8" s="952"/>
      <c r="BV8" s="953">
        <v>0.3</v>
      </c>
      <c r="BW8" s="954"/>
      <c r="BX8" s="951">
        <v>0.3</v>
      </c>
      <c r="BY8" s="952"/>
      <c r="BZ8" s="953">
        <v>0.3</v>
      </c>
      <c r="CA8" s="952"/>
      <c r="CB8" s="953">
        <v>0.3</v>
      </c>
      <c r="CC8" s="952"/>
      <c r="CD8" s="953">
        <v>0.3</v>
      </c>
      <c r="CE8" s="952"/>
      <c r="CF8" s="953">
        <v>0.3</v>
      </c>
      <c r="CG8" s="954"/>
      <c r="CH8" s="951">
        <v>0.3</v>
      </c>
      <c r="CI8" s="952"/>
      <c r="CJ8" s="955">
        <v>0.5</v>
      </c>
      <c r="CK8" s="956"/>
      <c r="CL8" s="955">
        <v>0.5</v>
      </c>
      <c r="CM8" s="956"/>
      <c r="CN8" s="955">
        <v>0.5</v>
      </c>
      <c r="CO8" s="956"/>
      <c r="CP8" s="955">
        <v>0.5</v>
      </c>
      <c r="CQ8" s="957"/>
      <c r="CR8" s="958">
        <v>0.5</v>
      </c>
      <c r="CS8" s="956"/>
      <c r="CT8" s="955">
        <v>0.5</v>
      </c>
      <c r="CU8" s="956"/>
      <c r="CV8" s="955">
        <v>0.5</v>
      </c>
      <c r="CW8" s="956"/>
      <c r="CX8" s="955">
        <v>0.5</v>
      </c>
      <c r="CY8" s="956"/>
      <c r="CZ8" s="955">
        <v>0.5</v>
      </c>
      <c r="DA8" s="957"/>
      <c r="DB8" s="958">
        <v>0.5</v>
      </c>
      <c r="DC8" s="956"/>
      <c r="DD8" s="955">
        <v>0.5</v>
      </c>
      <c r="DE8" s="956"/>
      <c r="DF8" s="955">
        <v>0.5</v>
      </c>
      <c r="DG8" s="956"/>
      <c r="DH8" s="955">
        <v>0.5</v>
      </c>
      <c r="DI8" s="956"/>
      <c r="DJ8" s="955">
        <v>0.5</v>
      </c>
      <c r="DK8" s="957"/>
      <c r="DL8" s="958">
        <v>0.5</v>
      </c>
      <c r="DM8" s="956"/>
      <c r="DN8" s="955">
        <v>0.5</v>
      </c>
      <c r="DO8" s="956"/>
      <c r="DP8" s="955">
        <v>0.5</v>
      </c>
      <c r="DQ8" s="956"/>
      <c r="DR8" s="955">
        <v>0.5</v>
      </c>
      <c r="DS8" s="956"/>
      <c r="DT8" s="955">
        <v>0.5</v>
      </c>
      <c r="DU8" s="957"/>
      <c r="DV8" s="959">
        <v>0.7</v>
      </c>
      <c r="DW8" s="960"/>
      <c r="DX8" s="961">
        <v>0.7</v>
      </c>
      <c r="DY8" s="960"/>
      <c r="DZ8" s="961">
        <v>0.7</v>
      </c>
      <c r="EA8" s="960"/>
      <c r="EB8" s="961">
        <v>0.7</v>
      </c>
      <c r="EC8" s="960"/>
      <c r="ED8" s="961">
        <v>0.7</v>
      </c>
      <c r="EE8" s="962"/>
      <c r="EF8" s="959">
        <v>0.7</v>
      </c>
      <c r="EG8" s="960"/>
      <c r="EH8" s="961">
        <v>0.7</v>
      </c>
      <c r="EI8" s="960"/>
      <c r="EJ8" s="961">
        <v>0.7</v>
      </c>
      <c r="EK8" s="960"/>
      <c r="EL8" s="961">
        <v>0.7</v>
      </c>
      <c r="EM8" s="960"/>
      <c r="EN8" s="961">
        <v>0.7</v>
      </c>
      <c r="EO8" s="962"/>
      <c r="EP8" s="959">
        <v>0.7</v>
      </c>
      <c r="EQ8" s="960"/>
      <c r="ER8" s="961">
        <v>0.7</v>
      </c>
      <c r="ES8" s="960"/>
      <c r="ET8" s="961">
        <v>0.7</v>
      </c>
      <c r="EU8" s="960"/>
      <c r="EV8" s="961">
        <v>0.7</v>
      </c>
      <c r="EW8" s="960"/>
      <c r="EX8" s="961">
        <v>0.7</v>
      </c>
      <c r="EY8" s="962"/>
      <c r="EZ8" s="959">
        <v>0.7</v>
      </c>
      <c r="FA8" s="960"/>
      <c r="FB8" s="961">
        <v>0.7</v>
      </c>
      <c r="FC8" s="959"/>
      <c r="FD8" s="961">
        <v>0.7</v>
      </c>
      <c r="FE8" s="960"/>
      <c r="FF8" s="959">
        <v>0.7</v>
      </c>
      <c r="FG8" s="960"/>
      <c r="FH8" s="961">
        <v>0.7</v>
      </c>
      <c r="FI8" s="962"/>
      <c r="FJ8" s="963">
        <v>0.9</v>
      </c>
      <c r="FK8" s="964"/>
      <c r="FL8" s="965">
        <v>0.9</v>
      </c>
      <c r="FM8" s="964"/>
      <c r="FN8" s="965">
        <v>0.9</v>
      </c>
      <c r="FO8" s="964"/>
      <c r="FP8" s="965">
        <v>0.9</v>
      </c>
      <c r="FQ8" s="964"/>
      <c r="FR8" s="965">
        <v>0.9</v>
      </c>
      <c r="FS8" s="966"/>
      <c r="FT8" s="963">
        <v>0.9</v>
      </c>
      <c r="FU8" s="964"/>
      <c r="FV8" s="965">
        <v>0.9</v>
      </c>
      <c r="FW8" s="964"/>
      <c r="FX8" s="965">
        <v>0.9</v>
      </c>
      <c r="FY8" s="964"/>
      <c r="FZ8" s="965">
        <v>0.9</v>
      </c>
      <c r="GA8" s="964"/>
      <c r="GB8" s="965">
        <v>0.9</v>
      </c>
      <c r="GC8" s="966"/>
      <c r="GD8" s="963">
        <v>0.9</v>
      </c>
      <c r="GE8" s="964"/>
      <c r="GF8" s="965">
        <v>0.9</v>
      </c>
      <c r="GG8" s="964"/>
      <c r="GH8" s="965">
        <v>0.9</v>
      </c>
      <c r="GI8" s="964"/>
      <c r="GJ8" s="965">
        <v>0.9</v>
      </c>
      <c r="GK8" s="964"/>
      <c r="GL8" s="965">
        <v>0.9</v>
      </c>
      <c r="GM8" s="966"/>
      <c r="GN8" s="963">
        <v>0.9</v>
      </c>
      <c r="GO8" s="964"/>
      <c r="GP8" s="965">
        <v>0.9</v>
      </c>
      <c r="GQ8" s="964"/>
      <c r="GR8" s="965">
        <v>0.9</v>
      </c>
      <c r="GS8" s="964"/>
      <c r="GT8" s="965">
        <v>0.9</v>
      </c>
      <c r="GU8" s="964"/>
      <c r="GV8" s="965">
        <v>0.9</v>
      </c>
      <c r="GW8" s="966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</row>
    <row r="9" spans="1:1046" s="186" customFormat="1" ht="15" x14ac:dyDescent="0.2">
      <c r="A9" s="1"/>
      <c r="B9" s="193"/>
      <c r="C9" s="192" t="s">
        <v>78</v>
      </c>
      <c r="D9" s="969"/>
      <c r="E9" s="973"/>
      <c r="F9" s="967">
        <f>(F64/F6)*0.024</f>
        <v>0.62254545454545462</v>
      </c>
      <c r="G9" s="968"/>
      <c r="H9" s="969"/>
      <c r="I9" s="970"/>
      <c r="J9" s="971">
        <f>(J64/J6)*0.024</f>
        <v>1.0414545454545454</v>
      </c>
      <c r="K9" s="968"/>
      <c r="L9" s="969"/>
      <c r="M9" s="970"/>
      <c r="N9" s="971">
        <f>(N64/N6)*0.024</f>
        <v>1.2465454545454546</v>
      </c>
      <c r="O9" s="972"/>
      <c r="P9" s="967">
        <f>(P64/P6)*0.024</f>
        <v>1.2574545454545454</v>
      </c>
      <c r="Q9" s="968"/>
      <c r="R9" s="969"/>
      <c r="S9" s="970"/>
      <c r="T9" s="971">
        <f>(T64/T6)*0.024</f>
        <v>1.1199999999999999</v>
      </c>
      <c r="U9" s="968"/>
      <c r="V9" s="969"/>
      <c r="W9" s="970"/>
      <c r="X9" s="971">
        <f>(X64/X6)*0.024</f>
        <v>0.95781818181818179</v>
      </c>
      <c r="Y9" s="972"/>
      <c r="Z9" s="967">
        <f>(Z64/Z6)*0.024</f>
        <v>1.1469090909090909</v>
      </c>
      <c r="AA9" s="968"/>
      <c r="AB9" s="969"/>
      <c r="AC9" s="970"/>
      <c r="AD9" s="971">
        <f>(AD64/AD6)*0.024</f>
        <v>1.1243636363636362</v>
      </c>
      <c r="AE9" s="968"/>
      <c r="AF9" s="969"/>
      <c r="AG9" s="970"/>
      <c r="AH9" s="971">
        <f>(AH64/AH6)*0.024</f>
        <v>1.0581818181818183</v>
      </c>
      <c r="AI9" s="972"/>
      <c r="AJ9" s="967">
        <f>(AJ64/AJ6)*0.024</f>
        <v>1.4036363636363636</v>
      </c>
      <c r="AK9" s="967"/>
      <c r="AL9" s="969"/>
      <c r="AM9" s="970"/>
      <c r="AN9" s="967">
        <f>(AN64/AN6)*0.024</f>
        <v>1.2552727272727271</v>
      </c>
      <c r="AO9" s="967"/>
      <c r="AP9" s="969"/>
      <c r="AQ9" s="970"/>
      <c r="AR9" s="967">
        <f>(AR64/AR6)*0.024</f>
        <v>1.4094545454545455</v>
      </c>
      <c r="AS9" s="972"/>
      <c r="AT9" s="974">
        <f>(AT64/AT6)*0.024</f>
        <v>0.81</v>
      </c>
      <c r="AU9" s="975"/>
      <c r="AV9" s="953"/>
      <c r="AW9" s="952"/>
      <c r="AX9" s="974">
        <f>(AX64/AX6)*0.024</f>
        <v>0.68208333333333337</v>
      </c>
      <c r="AY9" s="975"/>
      <c r="AZ9" s="953"/>
      <c r="BA9" s="952"/>
      <c r="BB9" s="974">
        <f>(BB64/BB6)*0.024</f>
        <v>0.62250000000000005</v>
      </c>
      <c r="BC9" s="976"/>
      <c r="BD9" s="977">
        <f>(BD64/BD6)*0.024</f>
        <v>0.72499999999999998</v>
      </c>
      <c r="BE9" s="978"/>
      <c r="BF9" s="953"/>
      <c r="BG9" s="952"/>
      <c r="BH9" s="974">
        <f>(BH64/BH6)*0.024</f>
        <v>0.83291666666666664</v>
      </c>
      <c r="BI9" s="975"/>
      <c r="BJ9" s="953"/>
      <c r="BK9" s="952"/>
      <c r="BL9" s="974">
        <f>(BL64/BL6)*0.024</f>
        <v>0.76249999999999996</v>
      </c>
      <c r="BM9" s="976"/>
      <c r="BN9" s="974">
        <f>(BN64/BN6)*0.024</f>
        <v>0.67749999999999999</v>
      </c>
      <c r="BO9" s="975"/>
      <c r="BP9" s="953"/>
      <c r="BQ9" s="952"/>
      <c r="BR9" s="974">
        <f>(BR64/BR6)*0.024</f>
        <v>0.96458333333333335</v>
      </c>
      <c r="BS9" s="975"/>
      <c r="BT9" s="953"/>
      <c r="BU9" s="952"/>
      <c r="BV9" s="974">
        <f>(BV64/BV6)*0.024</f>
        <v>0.87791666666666657</v>
      </c>
      <c r="BW9" s="976"/>
      <c r="BX9" s="974">
        <f>(BX64/BX6)*0.024</f>
        <v>0.70041666666666658</v>
      </c>
      <c r="BY9" s="975"/>
      <c r="BZ9" s="953"/>
      <c r="CA9" s="952"/>
      <c r="CB9" s="974">
        <f>(CB64/CB6)*0.024</f>
        <v>0.71375</v>
      </c>
      <c r="CC9" s="975"/>
      <c r="CD9" s="953"/>
      <c r="CE9" s="952"/>
      <c r="CF9" s="974">
        <f>(CF64/CF6)*0.024</f>
        <v>0.76750000000000007</v>
      </c>
      <c r="CG9" s="976"/>
      <c r="CH9" s="974">
        <f>(CH64/CH6)*0.024</f>
        <v>1.0225</v>
      </c>
      <c r="CI9" s="975"/>
      <c r="CJ9" s="979"/>
      <c r="CK9" s="980"/>
      <c r="CL9" s="981">
        <f>(CL64/CL6)*0.024</f>
        <v>1.8308333333333331</v>
      </c>
      <c r="CM9" s="982"/>
      <c r="CN9" s="979"/>
      <c r="CO9" s="980"/>
      <c r="CP9" s="983">
        <f>(CP64/CP6)*0.024</f>
        <v>2.0100000000000002</v>
      </c>
      <c r="CQ9" s="984"/>
      <c r="CR9" s="981">
        <f>(CR64/CR6)*0.024</f>
        <v>1.7449999999999999</v>
      </c>
      <c r="CS9" s="982"/>
      <c r="CT9" s="979"/>
      <c r="CU9" s="980"/>
      <c r="CV9" s="981">
        <f>(CV64/CV6)*0.024</f>
        <v>1.7800000000000002</v>
      </c>
      <c r="CW9" s="982"/>
      <c r="CX9" s="979"/>
      <c r="CY9" s="980"/>
      <c r="CZ9" s="981">
        <f>(CZ64/CZ6)*0.024</f>
        <v>1.8066666666666669</v>
      </c>
      <c r="DA9" s="984"/>
      <c r="DB9" s="981">
        <f>(DB64/DB6)*0.024</f>
        <v>2.7916666666666665</v>
      </c>
      <c r="DC9" s="982"/>
      <c r="DD9" s="979"/>
      <c r="DE9" s="980"/>
      <c r="DF9" s="981">
        <f>(DF64/DF6)*0.024</f>
        <v>1.8025000000000002</v>
      </c>
      <c r="DG9" s="982"/>
      <c r="DH9" s="979"/>
      <c r="DI9" s="980"/>
      <c r="DJ9" s="981">
        <f>(DJ64/DJ6)*0.024</f>
        <v>1.9483333333333335</v>
      </c>
      <c r="DK9" s="984"/>
      <c r="DL9" s="981">
        <f>(DL64/DL6)*0.024</f>
        <v>1.2583333333333333</v>
      </c>
      <c r="DM9" s="982"/>
      <c r="DN9" s="979"/>
      <c r="DO9" s="980"/>
      <c r="DP9" s="981">
        <f>(DP64/DP6)*0.024</f>
        <v>2.8983333333333339</v>
      </c>
      <c r="DQ9" s="982"/>
      <c r="DR9" s="979"/>
      <c r="DS9" s="980"/>
      <c r="DT9" s="981">
        <f>(DT64/DT6)*0.024</f>
        <v>1.769166666666667</v>
      </c>
      <c r="DU9" s="984"/>
      <c r="DV9" s="985">
        <f>(DV64/DV6)*0.024</f>
        <v>3.4688888888888889</v>
      </c>
      <c r="DW9" s="986"/>
      <c r="DX9" s="987"/>
      <c r="DY9" s="988"/>
      <c r="DZ9" s="985">
        <f>(DZ64/DZ6)*0.024</f>
        <v>3.3866666666666667</v>
      </c>
      <c r="EA9" s="986"/>
      <c r="EB9" s="987"/>
      <c r="EC9" s="988"/>
      <c r="ED9" s="985">
        <f>(ED64/ED6)*0.024</f>
        <v>2.7444444444444449</v>
      </c>
      <c r="EE9" s="990"/>
      <c r="EF9" s="985">
        <f>(EF64/EF6)*0.024</f>
        <v>2.85</v>
      </c>
      <c r="EG9" s="986"/>
      <c r="EH9" s="987"/>
      <c r="EI9" s="988"/>
      <c r="EJ9" s="985">
        <f>(EJ64/EJ6)*0.024</f>
        <v>4.2555555555555555</v>
      </c>
      <c r="EK9" s="986"/>
      <c r="EL9" s="987"/>
      <c r="EM9" s="988"/>
      <c r="EN9" s="989">
        <f>(EN64/EN6)*0.024</f>
        <v>3.8155555555555551</v>
      </c>
      <c r="EO9" s="990"/>
      <c r="EP9" s="985">
        <f>(EP64/EP6)*0.024</f>
        <v>4.8355555555555556</v>
      </c>
      <c r="EQ9" s="986"/>
      <c r="ER9" s="987"/>
      <c r="ES9" s="988"/>
      <c r="ET9" s="985">
        <f>(ET64/ET6)*0.024</f>
        <v>2.8922222222222222</v>
      </c>
      <c r="EU9" s="986"/>
      <c r="EV9" s="987"/>
      <c r="EW9" s="988"/>
      <c r="EX9" s="989">
        <f>(EX64/EX6)*0.024</f>
        <v>6.9511111111111106</v>
      </c>
      <c r="EY9" s="990"/>
      <c r="EZ9" s="985">
        <f>(EZ64/EZ6)*0.024</f>
        <v>7.8055555555555571</v>
      </c>
      <c r="FA9" s="986"/>
      <c r="FB9" s="987"/>
      <c r="FC9" s="988"/>
      <c r="FD9" s="985">
        <f>(FD64/FD6)*0.024</f>
        <v>2.6433333333333331</v>
      </c>
      <c r="FE9" s="986"/>
      <c r="FF9" s="987"/>
      <c r="FG9" s="988"/>
      <c r="FH9" s="989">
        <f>(FH64/FH6)*0.024</f>
        <v>3.4933333333333332</v>
      </c>
      <c r="FI9" s="990"/>
      <c r="FJ9" s="991">
        <f>(FJ64/FJ6)*0.024</f>
        <v>3.95</v>
      </c>
      <c r="FK9" s="992"/>
      <c r="FL9" s="993"/>
      <c r="FM9" s="994"/>
      <c r="FN9" s="991">
        <f>(FN64/FN6)*0.024</f>
        <v>4.7733333333333334</v>
      </c>
      <c r="FO9" s="992"/>
      <c r="FP9" s="993"/>
      <c r="FQ9" s="994"/>
      <c r="FR9" s="995">
        <f>(FR64/FR6)*0.024</f>
        <v>5.4133333333333331</v>
      </c>
      <c r="FS9" s="996"/>
      <c r="FT9" s="991">
        <f>(FT64/FT6)*0.024</f>
        <v>12.016666666666666</v>
      </c>
      <c r="FU9" s="992"/>
      <c r="FV9" s="993"/>
      <c r="FW9" s="994"/>
      <c r="FX9" s="991">
        <f>(FX64/FX6)*0.024</f>
        <v>7.333333333333333</v>
      </c>
      <c r="FY9" s="992"/>
      <c r="FZ9" s="993"/>
      <c r="GA9" s="994"/>
      <c r="GB9" s="995">
        <f>(GB64/GB6)*0.024</f>
        <v>4.8033333333333337</v>
      </c>
      <c r="GC9" s="996"/>
      <c r="GD9" s="991">
        <f>(GD64/GD6)*0.024</f>
        <v>12.49</v>
      </c>
      <c r="GE9" s="992"/>
      <c r="GF9" s="993"/>
      <c r="GG9" s="994"/>
      <c r="GH9" s="991">
        <f>(GH64/GH6)*0.024</f>
        <v>3.8300000000000005</v>
      </c>
      <c r="GI9" s="992"/>
      <c r="GJ9" s="993"/>
      <c r="GK9" s="994"/>
      <c r="GL9" s="995">
        <f>(GL64/GL6)*0.024</f>
        <v>3.581666666666667</v>
      </c>
      <c r="GM9" s="996"/>
      <c r="GN9" s="991">
        <f>(GN64/GN6)*0.024</f>
        <v>3.6183333333333332</v>
      </c>
      <c r="GO9" s="992"/>
      <c r="GP9" s="993"/>
      <c r="GQ9" s="994"/>
      <c r="GR9" s="991">
        <f>(GR64/GR6)*0.024</f>
        <v>3.1575000000000002</v>
      </c>
      <c r="GS9" s="992"/>
      <c r="GT9" s="993"/>
      <c r="GU9" s="994"/>
      <c r="GV9" s="995">
        <f>(GV64/GV6)*0.024</f>
        <v>3.8850000000000002</v>
      </c>
      <c r="GW9" s="996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</row>
    <row r="10" spans="1:1046" x14ac:dyDescent="0.2">
      <c r="A10" s="1"/>
      <c r="B10" s="195"/>
      <c r="C10" s="194" t="s">
        <v>79</v>
      </c>
      <c r="D10" s="997">
        <v>50</v>
      </c>
      <c r="E10" s="998"/>
      <c r="F10" s="999">
        <v>50</v>
      </c>
      <c r="G10" s="1000"/>
      <c r="H10" s="997">
        <v>50</v>
      </c>
      <c r="I10" s="1000"/>
      <c r="J10" s="997">
        <v>50</v>
      </c>
      <c r="K10" s="1000"/>
      <c r="L10" s="997">
        <v>50</v>
      </c>
      <c r="M10" s="1000"/>
      <c r="N10" s="997">
        <v>50</v>
      </c>
      <c r="O10" s="998"/>
      <c r="P10" s="999">
        <v>50</v>
      </c>
      <c r="Q10" s="1000"/>
      <c r="R10" s="997">
        <v>50</v>
      </c>
      <c r="S10" s="1000"/>
      <c r="T10" s="997">
        <v>50</v>
      </c>
      <c r="U10" s="1000"/>
      <c r="V10" s="997">
        <v>50</v>
      </c>
      <c r="W10" s="1000"/>
      <c r="X10" s="997">
        <v>50</v>
      </c>
      <c r="Y10" s="998"/>
      <c r="Z10" s="999">
        <v>50</v>
      </c>
      <c r="AA10" s="1000"/>
      <c r="AB10" s="997">
        <v>50</v>
      </c>
      <c r="AC10" s="1000"/>
      <c r="AD10" s="997">
        <v>50</v>
      </c>
      <c r="AE10" s="1000"/>
      <c r="AF10" s="997">
        <v>50</v>
      </c>
      <c r="AG10" s="1000"/>
      <c r="AH10" s="997">
        <v>50</v>
      </c>
      <c r="AI10" s="998"/>
      <c r="AJ10" s="999">
        <v>50</v>
      </c>
      <c r="AK10" s="999"/>
      <c r="AL10" s="997">
        <v>50</v>
      </c>
      <c r="AM10" s="1000"/>
      <c r="AN10" s="999">
        <v>50</v>
      </c>
      <c r="AO10" s="999"/>
      <c r="AP10" s="997">
        <v>50</v>
      </c>
      <c r="AQ10" s="1000"/>
      <c r="AR10" s="999">
        <v>50</v>
      </c>
      <c r="AS10" s="998"/>
      <c r="AT10" s="1001">
        <v>50</v>
      </c>
      <c r="AU10" s="1002"/>
      <c r="AV10" s="1003">
        <v>50</v>
      </c>
      <c r="AW10" s="1002"/>
      <c r="AX10" s="1001">
        <v>50</v>
      </c>
      <c r="AY10" s="1002"/>
      <c r="AZ10" s="1003">
        <v>50</v>
      </c>
      <c r="BA10" s="1002"/>
      <c r="BB10" s="1001">
        <v>50</v>
      </c>
      <c r="BC10" s="1004"/>
      <c r="BD10" s="1001">
        <v>50</v>
      </c>
      <c r="BE10" s="1002"/>
      <c r="BF10" s="1003">
        <v>50</v>
      </c>
      <c r="BG10" s="1002"/>
      <c r="BH10" s="1001">
        <v>50</v>
      </c>
      <c r="BI10" s="1002"/>
      <c r="BJ10" s="1003">
        <v>50</v>
      </c>
      <c r="BK10" s="1002"/>
      <c r="BL10" s="1001">
        <v>50</v>
      </c>
      <c r="BM10" s="1004"/>
      <c r="BN10" s="1001">
        <v>50</v>
      </c>
      <c r="BO10" s="1002"/>
      <c r="BP10" s="1003">
        <v>75</v>
      </c>
      <c r="BQ10" s="1002"/>
      <c r="BR10" s="1007">
        <v>75</v>
      </c>
      <c r="BS10" s="1008"/>
      <c r="BT10" s="1003">
        <v>75</v>
      </c>
      <c r="BU10" s="1002"/>
      <c r="BV10" s="1001">
        <v>75</v>
      </c>
      <c r="BW10" s="1004"/>
      <c r="BX10" s="1001">
        <v>75</v>
      </c>
      <c r="BY10" s="1002"/>
      <c r="BZ10" s="1003">
        <v>75</v>
      </c>
      <c r="CA10" s="1002"/>
      <c r="CB10" s="1001">
        <v>75</v>
      </c>
      <c r="CC10" s="1002"/>
      <c r="CD10" s="1005">
        <v>100</v>
      </c>
      <c r="CE10" s="1006"/>
      <c r="CF10" s="1001">
        <v>100</v>
      </c>
      <c r="CG10" s="1004"/>
      <c r="CH10" s="1001">
        <v>100</v>
      </c>
      <c r="CI10" s="1002"/>
      <c r="CJ10" s="1009">
        <v>100</v>
      </c>
      <c r="CK10" s="1010"/>
      <c r="CL10" s="1009">
        <v>100</v>
      </c>
      <c r="CM10" s="1010"/>
      <c r="CN10" s="1009">
        <v>100</v>
      </c>
      <c r="CO10" s="1010"/>
      <c r="CP10" s="1011">
        <v>100</v>
      </c>
      <c r="CQ10" s="1012"/>
      <c r="CR10" s="1009">
        <v>100</v>
      </c>
      <c r="CS10" s="1010"/>
      <c r="CT10" s="1009">
        <v>100</v>
      </c>
      <c r="CU10" s="1010"/>
      <c r="CV10" s="1009">
        <v>100</v>
      </c>
      <c r="CW10" s="1010"/>
      <c r="CX10" s="1009">
        <v>100</v>
      </c>
      <c r="CY10" s="1010"/>
      <c r="CZ10" s="1011">
        <v>100</v>
      </c>
      <c r="DA10" s="1012"/>
      <c r="DB10" s="1009">
        <v>100</v>
      </c>
      <c r="DC10" s="1010"/>
      <c r="DD10" s="1009">
        <v>100</v>
      </c>
      <c r="DE10" s="1010"/>
      <c r="DF10" s="1009">
        <v>100</v>
      </c>
      <c r="DG10" s="1010"/>
      <c r="DH10" s="1009">
        <v>100</v>
      </c>
      <c r="DI10" s="1010"/>
      <c r="DJ10" s="1011">
        <v>100</v>
      </c>
      <c r="DK10" s="1012"/>
      <c r="DL10" s="1009">
        <v>100</v>
      </c>
      <c r="DM10" s="1010"/>
      <c r="DN10" s="1009">
        <v>100</v>
      </c>
      <c r="DO10" s="1010"/>
      <c r="DP10" s="1009">
        <v>100</v>
      </c>
      <c r="DQ10" s="1010"/>
      <c r="DR10" s="1009">
        <v>100</v>
      </c>
      <c r="DS10" s="1010"/>
      <c r="DT10" s="1011">
        <v>100</v>
      </c>
      <c r="DU10" s="1012"/>
      <c r="DV10" s="1013">
        <v>100</v>
      </c>
      <c r="DW10" s="1014"/>
      <c r="DX10" s="1013">
        <v>100</v>
      </c>
      <c r="DY10" s="1014"/>
      <c r="DZ10" s="1013">
        <v>100</v>
      </c>
      <c r="EA10" s="1014"/>
      <c r="EB10" s="1013">
        <v>100</v>
      </c>
      <c r="EC10" s="1014"/>
      <c r="ED10" s="1015">
        <v>100</v>
      </c>
      <c r="EE10" s="1016"/>
      <c r="EF10" s="1013">
        <v>100</v>
      </c>
      <c r="EG10" s="1014"/>
      <c r="EH10" s="1013">
        <v>100</v>
      </c>
      <c r="EI10" s="1014"/>
      <c r="EJ10" s="1013">
        <v>100</v>
      </c>
      <c r="EK10" s="1014"/>
      <c r="EL10" s="1013">
        <v>100</v>
      </c>
      <c r="EM10" s="1014"/>
      <c r="EN10" s="1015">
        <v>100</v>
      </c>
      <c r="EO10" s="1016"/>
      <c r="EP10" s="1013">
        <v>100</v>
      </c>
      <c r="EQ10" s="1014"/>
      <c r="ER10" s="1013">
        <v>100</v>
      </c>
      <c r="ES10" s="1014"/>
      <c r="ET10" s="1013">
        <v>100</v>
      </c>
      <c r="EU10" s="1014"/>
      <c r="EV10" s="1013">
        <v>100</v>
      </c>
      <c r="EW10" s="1014"/>
      <c r="EX10" s="1015">
        <v>100</v>
      </c>
      <c r="EY10" s="1016"/>
      <c r="EZ10" s="1013">
        <v>100</v>
      </c>
      <c r="FA10" s="1014"/>
      <c r="FB10" s="1013">
        <v>100</v>
      </c>
      <c r="FC10" s="1013"/>
      <c r="FD10" s="1015">
        <v>100</v>
      </c>
      <c r="FE10" s="1014"/>
      <c r="FF10" s="1013">
        <v>100</v>
      </c>
      <c r="FG10" s="1014"/>
      <c r="FH10" s="1015">
        <v>100</v>
      </c>
      <c r="FI10" s="1016"/>
      <c r="FJ10" s="1017">
        <v>100</v>
      </c>
      <c r="FK10" s="1018"/>
      <c r="FL10" s="1017">
        <v>100</v>
      </c>
      <c r="FM10" s="1018"/>
      <c r="FN10" s="1017">
        <v>100</v>
      </c>
      <c r="FO10" s="1018"/>
      <c r="FP10" s="1017">
        <v>100</v>
      </c>
      <c r="FQ10" s="1018"/>
      <c r="FR10" s="1019">
        <v>100</v>
      </c>
      <c r="FS10" s="1020"/>
      <c r="FT10" s="1017">
        <v>100</v>
      </c>
      <c r="FU10" s="1018"/>
      <c r="FV10" s="1017">
        <v>100</v>
      </c>
      <c r="FW10" s="1018"/>
      <c r="FX10" s="1017">
        <v>100</v>
      </c>
      <c r="FY10" s="1018"/>
      <c r="FZ10" s="1017">
        <v>100</v>
      </c>
      <c r="GA10" s="1018"/>
      <c r="GB10" s="1019">
        <v>100</v>
      </c>
      <c r="GC10" s="1020"/>
      <c r="GD10" s="1017">
        <v>100</v>
      </c>
      <c r="GE10" s="1018"/>
      <c r="GF10" s="1017">
        <v>100</v>
      </c>
      <c r="GG10" s="1018"/>
      <c r="GH10" s="1017">
        <v>100</v>
      </c>
      <c r="GI10" s="1018"/>
      <c r="GJ10" s="1017">
        <v>100</v>
      </c>
      <c r="GK10" s="1018"/>
      <c r="GL10" s="1019">
        <v>100</v>
      </c>
      <c r="GM10" s="1020"/>
      <c r="GN10" s="1017">
        <v>100</v>
      </c>
      <c r="GO10" s="1018"/>
      <c r="GP10" s="1017">
        <v>100</v>
      </c>
      <c r="GQ10" s="1018"/>
      <c r="GR10" s="1017">
        <v>100</v>
      </c>
      <c r="GS10" s="1018"/>
      <c r="GT10" s="1017">
        <v>100</v>
      </c>
      <c r="GU10" s="1018"/>
      <c r="GV10" s="1019">
        <v>100</v>
      </c>
      <c r="GW10" s="1020"/>
    </row>
    <row r="11" spans="1:1046" s="204" customFormat="1" ht="15" x14ac:dyDescent="0.2">
      <c r="A11" s="1"/>
      <c r="B11" s="196" t="s">
        <v>80</v>
      </c>
      <c r="C11" s="22"/>
      <c r="D11" s="197" t="s">
        <v>81</v>
      </c>
      <c r="E11" s="198" t="s">
        <v>82</v>
      </c>
      <c r="F11" s="199" t="s">
        <v>81</v>
      </c>
      <c r="G11" s="197" t="s">
        <v>82</v>
      </c>
      <c r="H11" s="200" t="s">
        <v>81</v>
      </c>
      <c r="I11" s="201" t="s">
        <v>82</v>
      </c>
      <c r="J11" s="200" t="s">
        <v>81</v>
      </c>
      <c r="K11" s="201" t="s">
        <v>82</v>
      </c>
      <c r="L11" s="197" t="s">
        <v>81</v>
      </c>
      <c r="M11" s="197" t="s">
        <v>82</v>
      </c>
      <c r="N11" s="200" t="s">
        <v>81</v>
      </c>
      <c r="O11" s="198" t="s">
        <v>82</v>
      </c>
      <c r="P11" s="197" t="s">
        <v>81</v>
      </c>
      <c r="Q11" s="201" t="s">
        <v>82</v>
      </c>
      <c r="R11" s="200" t="s">
        <v>81</v>
      </c>
      <c r="S11" s="201" t="s">
        <v>82</v>
      </c>
      <c r="T11" s="197" t="s">
        <v>81</v>
      </c>
      <c r="U11" s="197" t="s">
        <v>82</v>
      </c>
      <c r="V11" s="200" t="s">
        <v>81</v>
      </c>
      <c r="W11" s="201" t="s">
        <v>82</v>
      </c>
      <c r="X11" s="197" t="s">
        <v>81</v>
      </c>
      <c r="Y11" s="198" t="s">
        <v>82</v>
      </c>
      <c r="Z11" s="197" t="s">
        <v>81</v>
      </c>
      <c r="AA11" s="201" t="s">
        <v>82</v>
      </c>
      <c r="AB11" s="202" t="s">
        <v>81</v>
      </c>
      <c r="AC11" s="203" t="s">
        <v>82</v>
      </c>
      <c r="AD11" s="197" t="s">
        <v>81</v>
      </c>
      <c r="AE11" s="197" t="s">
        <v>82</v>
      </c>
      <c r="AF11" s="200" t="s">
        <v>81</v>
      </c>
      <c r="AG11" s="197" t="s">
        <v>82</v>
      </c>
      <c r="AH11" s="200" t="s">
        <v>81</v>
      </c>
      <c r="AI11" s="198" t="s">
        <v>82</v>
      </c>
      <c r="AJ11" s="197" t="s">
        <v>81</v>
      </c>
      <c r="AK11" s="197" t="s">
        <v>82</v>
      </c>
      <c r="AL11" s="200" t="s">
        <v>81</v>
      </c>
      <c r="AM11" s="201" t="s">
        <v>82</v>
      </c>
      <c r="AN11" s="197" t="s">
        <v>81</v>
      </c>
      <c r="AO11" s="197" t="s">
        <v>82</v>
      </c>
      <c r="AP11" s="200" t="s">
        <v>81</v>
      </c>
      <c r="AQ11" s="201" t="s">
        <v>82</v>
      </c>
      <c r="AR11" s="197" t="s">
        <v>81</v>
      </c>
      <c r="AS11" s="198" t="s">
        <v>82</v>
      </c>
      <c r="AT11" s="197" t="s">
        <v>81</v>
      </c>
      <c r="AU11" s="201" t="s">
        <v>82</v>
      </c>
      <c r="AV11" s="197" t="s">
        <v>81</v>
      </c>
      <c r="AW11" s="201" t="s">
        <v>82</v>
      </c>
      <c r="AX11" s="200" t="s">
        <v>81</v>
      </c>
      <c r="AY11" s="197" t="s">
        <v>82</v>
      </c>
      <c r="AZ11" s="200" t="s">
        <v>81</v>
      </c>
      <c r="BA11" s="201" t="s">
        <v>82</v>
      </c>
      <c r="BB11" s="197" t="s">
        <v>81</v>
      </c>
      <c r="BC11" s="198" t="s">
        <v>82</v>
      </c>
      <c r="BD11" s="197" t="s">
        <v>81</v>
      </c>
      <c r="BE11" s="201" t="s">
        <v>82</v>
      </c>
      <c r="BF11" s="197" t="s">
        <v>81</v>
      </c>
      <c r="BG11" s="201" t="s">
        <v>82</v>
      </c>
      <c r="BH11" s="200" t="s">
        <v>81</v>
      </c>
      <c r="BI11" s="197" t="s">
        <v>82</v>
      </c>
      <c r="BJ11" s="200" t="s">
        <v>81</v>
      </c>
      <c r="BK11" s="201" t="s">
        <v>82</v>
      </c>
      <c r="BL11" s="197" t="s">
        <v>81</v>
      </c>
      <c r="BM11" s="198" t="s">
        <v>82</v>
      </c>
      <c r="BN11" s="197" t="s">
        <v>81</v>
      </c>
      <c r="BO11" s="201" t="s">
        <v>82</v>
      </c>
      <c r="BP11" s="202" t="s">
        <v>81</v>
      </c>
      <c r="BQ11" s="203" t="s">
        <v>82</v>
      </c>
      <c r="BR11" s="200" t="s">
        <v>81</v>
      </c>
      <c r="BS11" s="197" t="s">
        <v>82</v>
      </c>
      <c r="BT11" s="200" t="s">
        <v>81</v>
      </c>
      <c r="BU11" s="201" t="s">
        <v>82</v>
      </c>
      <c r="BV11" s="197" t="s">
        <v>81</v>
      </c>
      <c r="BW11" s="198" t="s">
        <v>82</v>
      </c>
      <c r="BX11" s="197" t="s">
        <v>81</v>
      </c>
      <c r="BY11" s="201" t="s">
        <v>82</v>
      </c>
      <c r="BZ11" s="200" t="s">
        <v>81</v>
      </c>
      <c r="CA11" s="201" t="s">
        <v>82</v>
      </c>
      <c r="CB11" s="200" t="s">
        <v>81</v>
      </c>
      <c r="CC11" s="197" t="s">
        <v>82</v>
      </c>
      <c r="CD11" s="200" t="s">
        <v>81</v>
      </c>
      <c r="CE11" s="201" t="s">
        <v>82</v>
      </c>
      <c r="CF11" s="197" t="s">
        <v>81</v>
      </c>
      <c r="CG11" s="198" t="s">
        <v>82</v>
      </c>
      <c r="CH11" s="197" t="s">
        <v>81</v>
      </c>
      <c r="CI11" s="201" t="s">
        <v>82</v>
      </c>
      <c r="CJ11" s="200" t="s">
        <v>81</v>
      </c>
      <c r="CK11" s="201" t="s">
        <v>82</v>
      </c>
      <c r="CL11" s="200" t="s">
        <v>81</v>
      </c>
      <c r="CM11" s="197" t="s">
        <v>82</v>
      </c>
      <c r="CN11" s="200" t="s">
        <v>81</v>
      </c>
      <c r="CO11" s="201" t="s">
        <v>82</v>
      </c>
      <c r="CP11" s="197" t="s">
        <v>81</v>
      </c>
      <c r="CQ11" s="198" t="s">
        <v>82</v>
      </c>
      <c r="CR11" s="197" t="s">
        <v>81</v>
      </c>
      <c r="CS11" s="201" t="s">
        <v>82</v>
      </c>
      <c r="CT11" s="200" t="s">
        <v>81</v>
      </c>
      <c r="CU11" s="201" t="s">
        <v>82</v>
      </c>
      <c r="CV11" s="200" t="s">
        <v>81</v>
      </c>
      <c r="CW11" s="197" t="s">
        <v>82</v>
      </c>
      <c r="CX11" s="200" t="s">
        <v>81</v>
      </c>
      <c r="CY11" s="201" t="s">
        <v>82</v>
      </c>
      <c r="CZ11" s="197" t="s">
        <v>81</v>
      </c>
      <c r="DA11" s="198" t="s">
        <v>82</v>
      </c>
      <c r="DB11" s="197" t="s">
        <v>81</v>
      </c>
      <c r="DC11" s="201" t="s">
        <v>82</v>
      </c>
      <c r="DD11" s="200" t="s">
        <v>81</v>
      </c>
      <c r="DE11" s="201" t="s">
        <v>82</v>
      </c>
      <c r="DF11" s="197" t="s">
        <v>81</v>
      </c>
      <c r="DG11" s="197" t="s">
        <v>82</v>
      </c>
      <c r="DH11" s="200" t="s">
        <v>81</v>
      </c>
      <c r="DI11" s="201" t="s">
        <v>82</v>
      </c>
      <c r="DJ11" s="197" t="s">
        <v>81</v>
      </c>
      <c r="DK11" s="198" t="s">
        <v>82</v>
      </c>
      <c r="DL11" s="197" t="s">
        <v>81</v>
      </c>
      <c r="DM11" s="201" t="s">
        <v>82</v>
      </c>
      <c r="DN11" s="200" t="s">
        <v>81</v>
      </c>
      <c r="DO11" s="201" t="s">
        <v>82</v>
      </c>
      <c r="DP11" s="197" t="s">
        <v>81</v>
      </c>
      <c r="DQ11" s="197" t="s">
        <v>82</v>
      </c>
      <c r="DR11" s="200" t="s">
        <v>81</v>
      </c>
      <c r="DS11" s="201" t="s">
        <v>82</v>
      </c>
      <c r="DT11" s="197" t="s">
        <v>81</v>
      </c>
      <c r="DU11" s="198" t="s">
        <v>82</v>
      </c>
      <c r="DV11" s="197" t="s">
        <v>81</v>
      </c>
      <c r="DW11" s="201" t="s">
        <v>82</v>
      </c>
      <c r="DX11" s="200" t="s">
        <v>81</v>
      </c>
      <c r="DY11" s="201" t="s">
        <v>82</v>
      </c>
      <c r="DZ11" s="197" t="s">
        <v>81</v>
      </c>
      <c r="EA11" s="197" t="s">
        <v>82</v>
      </c>
      <c r="EB11" s="200" t="s">
        <v>81</v>
      </c>
      <c r="EC11" s="201" t="s">
        <v>82</v>
      </c>
      <c r="ED11" s="197" t="s">
        <v>81</v>
      </c>
      <c r="EE11" s="198" t="s">
        <v>82</v>
      </c>
      <c r="EF11" s="197" t="s">
        <v>81</v>
      </c>
      <c r="EG11" s="201" t="s">
        <v>82</v>
      </c>
      <c r="EH11" s="200" t="s">
        <v>81</v>
      </c>
      <c r="EI11" s="201" t="s">
        <v>82</v>
      </c>
      <c r="EJ11" s="197" t="s">
        <v>81</v>
      </c>
      <c r="EK11" s="197" t="s">
        <v>82</v>
      </c>
      <c r="EL11" s="200" t="s">
        <v>81</v>
      </c>
      <c r="EM11" s="201" t="s">
        <v>82</v>
      </c>
      <c r="EN11" s="197" t="s">
        <v>81</v>
      </c>
      <c r="EO11" s="198" t="s">
        <v>82</v>
      </c>
      <c r="EP11" s="197" t="s">
        <v>81</v>
      </c>
      <c r="EQ11" s="201" t="s">
        <v>82</v>
      </c>
      <c r="ER11" s="200" t="s">
        <v>81</v>
      </c>
      <c r="ES11" s="201" t="s">
        <v>82</v>
      </c>
      <c r="ET11" s="197" t="s">
        <v>81</v>
      </c>
      <c r="EU11" s="197" t="s">
        <v>82</v>
      </c>
      <c r="EV11" s="200" t="s">
        <v>81</v>
      </c>
      <c r="EW11" s="201" t="s">
        <v>82</v>
      </c>
      <c r="EX11" s="197" t="s">
        <v>81</v>
      </c>
      <c r="EY11" s="198" t="s">
        <v>82</v>
      </c>
      <c r="EZ11" s="197" t="s">
        <v>81</v>
      </c>
      <c r="FA11" s="201" t="s">
        <v>82</v>
      </c>
      <c r="FB11" s="200" t="s">
        <v>81</v>
      </c>
      <c r="FC11" s="197" t="s">
        <v>82</v>
      </c>
      <c r="FD11" s="200" t="s">
        <v>81</v>
      </c>
      <c r="FE11" s="201" t="s">
        <v>82</v>
      </c>
      <c r="FF11" s="197" t="s">
        <v>81</v>
      </c>
      <c r="FG11" s="201" t="s">
        <v>82</v>
      </c>
      <c r="FH11" s="197" t="s">
        <v>81</v>
      </c>
      <c r="FI11" s="198" t="s">
        <v>82</v>
      </c>
      <c r="FJ11" s="197" t="s">
        <v>81</v>
      </c>
      <c r="FK11" s="201" t="s">
        <v>82</v>
      </c>
      <c r="FL11" s="200" t="s">
        <v>81</v>
      </c>
      <c r="FM11" s="201" t="s">
        <v>82</v>
      </c>
      <c r="FN11" s="197" t="s">
        <v>81</v>
      </c>
      <c r="FO11" s="197" t="s">
        <v>82</v>
      </c>
      <c r="FP11" s="200" t="s">
        <v>81</v>
      </c>
      <c r="FQ11" s="201" t="s">
        <v>82</v>
      </c>
      <c r="FR11" s="197" t="s">
        <v>81</v>
      </c>
      <c r="FS11" s="198" t="s">
        <v>82</v>
      </c>
      <c r="FT11" s="197" t="s">
        <v>81</v>
      </c>
      <c r="FU11" s="201" t="s">
        <v>82</v>
      </c>
      <c r="FV11" s="200" t="s">
        <v>81</v>
      </c>
      <c r="FW11" s="201" t="s">
        <v>82</v>
      </c>
      <c r="FX11" s="197" t="s">
        <v>81</v>
      </c>
      <c r="FY11" s="197" t="s">
        <v>82</v>
      </c>
      <c r="FZ11" s="200" t="s">
        <v>81</v>
      </c>
      <c r="GA11" s="201" t="s">
        <v>82</v>
      </c>
      <c r="GB11" s="197" t="s">
        <v>81</v>
      </c>
      <c r="GC11" s="198" t="s">
        <v>82</v>
      </c>
      <c r="GD11" s="197" t="s">
        <v>81</v>
      </c>
      <c r="GE11" s="201" t="s">
        <v>82</v>
      </c>
      <c r="GF11" s="200" t="s">
        <v>81</v>
      </c>
      <c r="GG11" s="201" t="s">
        <v>82</v>
      </c>
      <c r="GH11" s="197" t="s">
        <v>81</v>
      </c>
      <c r="GI11" s="197" t="s">
        <v>82</v>
      </c>
      <c r="GJ11" s="200" t="s">
        <v>81</v>
      </c>
      <c r="GK11" s="201" t="s">
        <v>82</v>
      </c>
      <c r="GL11" s="197" t="s">
        <v>81</v>
      </c>
      <c r="GM11" s="198" t="s">
        <v>82</v>
      </c>
      <c r="GN11" s="197" t="s">
        <v>81</v>
      </c>
      <c r="GO11" s="201" t="s">
        <v>82</v>
      </c>
      <c r="GP11" s="200" t="s">
        <v>81</v>
      </c>
      <c r="GQ11" s="201" t="s">
        <v>82</v>
      </c>
      <c r="GR11" s="197" t="s">
        <v>81</v>
      </c>
      <c r="GS11" s="197" t="s">
        <v>82</v>
      </c>
      <c r="GT11" s="200" t="s">
        <v>81</v>
      </c>
      <c r="GU11" s="201" t="s">
        <v>82</v>
      </c>
      <c r="GV11" s="197" t="s">
        <v>81</v>
      </c>
      <c r="GW11" s="198" t="s">
        <v>82</v>
      </c>
      <c r="GX11" s="168"/>
      <c r="GY11" s="168"/>
      <c r="GZ11" s="168"/>
      <c r="HA11" s="168"/>
      <c r="HB11" s="168"/>
      <c r="HC11" s="168"/>
      <c r="HD11" s="168"/>
      <c r="HE11" s="168"/>
      <c r="HF11" s="168"/>
      <c r="HG11" s="168"/>
      <c r="HH11" s="168"/>
      <c r="HI11" s="168"/>
      <c r="HJ11" s="168"/>
      <c r="HK11" s="168"/>
      <c r="HL11" s="168"/>
      <c r="HM11" s="168"/>
      <c r="HN11" s="168"/>
      <c r="HO11" s="168"/>
      <c r="HP11" s="168"/>
      <c r="HQ11" s="168"/>
      <c r="HR11" s="168"/>
      <c r="HS11" s="168"/>
      <c r="HT11" s="168"/>
      <c r="HU11" s="168"/>
      <c r="HV11" s="168"/>
      <c r="HW11" s="168"/>
      <c r="HX11" s="168"/>
      <c r="HY11" s="168"/>
      <c r="HZ11" s="168"/>
      <c r="IA11" s="168"/>
      <c r="IB11" s="186"/>
      <c r="IC11" s="186"/>
      <c r="ID11" s="186"/>
      <c r="IE11" s="186"/>
      <c r="IF11" s="186"/>
      <c r="IG11" s="186"/>
      <c r="IH11" s="186"/>
      <c r="II11" s="186"/>
      <c r="IJ11" s="186"/>
      <c r="IK11" s="186"/>
      <c r="IL11" s="186"/>
      <c r="IM11" s="186"/>
      <c r="IN11" s="186"/>
      <c r="IO11" s="186"/>
      <c r="IP11" s="186"/>
      <c r="IQ11" s="186"/>
      <c r="IR11" s="186"/>
      <c r="IS11" s="186"/>
      <c r="IT11" s="186"/>
      <c r="IU11" s="186"/>
      <c r="IV11" s="186"/>
      <c r="IW11" s="186"/>
      <c r="IX11" s="186"/>
      <c r="IY11" s="186"/>
      <c r="IZ11" s="186"/>
      <c r="JA11" s="186"/>
      <c r="JB11" s="186"/>
      <c r="JC11" s="186"/>
      <c r="JD11" s="186"/>
      <c r="JE11" s="186"/>
      <c r="JF11" s="186"/>
      <c r="JG11" s="186"/>
      <c r="JH11" s="186"/>
      <c r="JI11" s="186"/>
      <c r="JJ11" s="186"/>
      <c r="JK11" s="186"/>
      <c r="JL11" s="186"/>
      <c r="JM11" s="186"/>
      <c r="JN11" s="186"/>
      <c r="JO11" s="186"/>
      <c r="JP11" s="186"/>
      <c r="JQ11" s="186"/>
      <c r="JR11" s="186"/>
      <c r="JS11" s="186"/>
      <c r="JT11" s="186"/>
      <c r="JU11" s="186"/>
      <c r="JV11" s="186"/>
      <c r="JW11" s="186"/>
      <c r="JX11" s="186"/>
      <c r="JY11" s="186"/>
      <c r="JZ11" s="186"/>
      <c r="KA11" s="186"/>
      <c r="KB11" s="186"/>
      <c r="KC11" s="186"/>
      <c r="KD11" s="186"/>
      <c r="KE11" s="186"/>
      <c r="KF11" s="186"/>
      <c r="KG11" s="186"/>
      <c r="KH11" s="186"/>
      <c r="KI11" s="186"/>
      <c r="KJ11" s="186"/>
      <c r="KK11" s="186"/>
      <c r="KL11" s="186"/>
      <c r="KM11" s="186"/>
      <c r="KN11" s="186"/>
      <c r="KO11" s="186"/>
      <c r="KP11" s="186"/>
      <c r="KQ11" s="186"/>
      <c r="KR11" s="186"/>
      <c r="KS11" s="186"/>
      <c r="KT11" s="186"/>
      <c r="KU11" s="186"/>
      <c r="KV11" s="186"/>
      <c r="KW11" s="186"/>
      <c r="KX11" s="186"/>
      <c r="KY11" s="186"/>
      <c r="KZ11" s="186"/>
      <c r="LA11" s="186"/>
      <c r="LB11" s="186"/>
      <c r="LC11" s="186"/>
      <c r="LD11" s="186"/>
      <c r="LE11" s="186"/>
      <c r="LF11" s="186"/>
      <c r="LG11" s="186"/>
      <c r="LH11" s="186"/>
      <c r="LI11" s="186"/>
      <c r="LJ11" s="186"/>
      <c r="LK11" s="186"/>
      <c r="LL11" s="186"/>
      <c r="LM11" s="186"/>
      <c r="LN11" s="186"/>
      <c r="LO11" s="186"/>
      <c r="LP11" s="186"/>
      <c r="LQ11" s="186"/>
      <c r="LR11" s="186"/>
      <c r="LS11" s="186"/>
      <c r="LT11" s="186"/>
      <c r="LU11" s="186"/>
      <c r="LV11" s="186"/>
      <c r="LW11" s="186"/>
      <c r="LX11" s="186"/>
      <c r="LY11" s="186"/>
      <c r="LZ11" s="186"/>
      <c r="MA11" s="186"/>
      <c r="MB11" s="186"/>
      <c r="MC11" s="186"/>
      <c r="MD11" s="186"/>
      <c r="ME11" s="186"/>
      <c r="MF11" s="186"/>
      <c r="MG11" s="186"/>
      <c r="MH11" s="186"/>
      <c r="MI11" s="186"/>
      <c r="MJ11" s="186"/>
      <c r="MK11" s="186"/>
      <c r="ML11" s="186"/>
      <c r="MM11" s="186"/>
      <c r="MN11" s="186"/>
      <c r="MO11" s="186"/>
      <c r="MP11" s="186"/>
      <c r="MQ11" s="186"/>
      <c r="MR11" s="186"/>
      <c r="MS11" s="186"/>
      <c r="MT11" s="186"/>
      <c r="MU11" s="186"/>
      <c r="MV11" s="186"/>
      <c r="MW11" s="186"/>
      <c r="MX11" s="186"/>
      <c r="MY11" s="186"/>
      <c r="MZ11" s="186"/>
      <c r="NA11" s="186"/>
      <c r="NB11" s="186"/>
      <c r="NC11" s="186"/>
      <c r="ND11" s="186"/>
      <c r="NE11" s="186"/>
      <c r="NF11" s="186"/>
      <c r="NG11" s="186"/>
      <c r="NH11" s="186"/>
      <c r="NI11" s="186"/>
      <c r="NJ11" s="186"/>
      <c r="NK11" s="186"/>
      <c r="NL11" s="186"/>
      <c r="NM11" s="186"/>
      <c r="NN11" s="186"/>
      <c r="NO11" s="186"/>
      <c r="NP11" s="186"/>
      <c r="NQ11" s="186"/>
      <c r="NR11" s="186"/>
      <c r="NS11" s="186"/>
      <c r="NT11" s="186"/>
      <c r="NU11" s="186"/>
      <c r="NV11" s="186"/>
      <c r="NW11" s="186"/>
      <c r="NX11" s="186"/>
      <c r="NY11" s="186"/>
      <c r="NZ11" s="186"/>
      <c r="OA11" s="186"/>
      <c r="OB11" s="186"/>
      <c r="OC11" s="186"/>
      <c r="OD11" s="186"/>
      <c r="OE11" s="186"/>
      <c r="OF11" s="186"/>
      <c r="OG11" s="186"/>
      <c r="OH11" s="186"/>
      <c r="OI11" s="186"/>
      <c r="OJ11" s="186"/>
      <c r="OK11" s="186"/>
      <c r="OL11" s="186"/>
      <c r="OM11" s="186"/>
      <c r="ON11" s="186"/>
      <c r="OO11" s="186"/>
      <c r="OP11" s="186"/>
      <c r="OQ11" s="186"/>
      <c r="OR11" s="186"/>
      <c r="OS11" s="186"/>
      <c r="OT11" s="186"/>
      <c r="OU11" s="186"/>
      <c r="OV11" s="186"/>
      <c r="OW11" s="186"/>
      <c r="OX11" s="186"/>
      <c r="OY11" s="186"/>
      <c r="OZ11" s="186"/>
      <c r="PA11" s="186"/>
      <c r="PB11" s="186"/>
      <c r="PC11" s="186"/>
      <c r="PD11" s="186"/>
      <c r="PE11" s="186"/>
      <c r="PF11" s="186"/>
      <c r="PG11" s="186"/>
      <c r="PH11" s="186"/>
      <c r="PI11" s="186"/>
      <c r="PJ11" s="186"/>
      <c r="PK11" s="186"/>
      <c r="PL11" s="186"/>
      <c r="PM11" s="186"/>
      <c r="PN11" s="186"/>
      <c r="PO11" s="186"/>
      <c r="PP11" s="186"/>
      <c r="PQ11" s="186"/>
      <c r="PR11" s="186"/>
      <c r="PS11" s="186"/>
      <c r="PT11" s="186"/>
      <c r="PU11" s="186"/>
      <c r="PV11" s="186"/>
      <c r="PW11" s="186"/>
      <c r="PX11" s="186"/>
      <c r="PY11" s="186"/>
      <c r="PZ11" s="186"/>
      <c r="QA11" s="186"/>
      <c r="QB11" s="186"/>
      <c r="QC11" s="186"/>
      <c r="QD11" s="186"/>
      <c r="QE11" s="186"/>
      <c r="QF11" s="186"/>
      <c r="QG11" s="186"/>
      <c r="QH11" s="186"/>
      <c r="QI11" s="186"/>
      <c r="QJ11" s="186"/>
      <c r="QK11" s="186"/>
      <c r="QL11" s="186"/>
      <c r="QM11" s="186"/>
      <c r="QN11" s="186"/>
      <c r="QO11" s="186"/>
      <c r="QP11" s="186"/>
      <c r="QQ11" s="186"/>
      <c r="QR11" s="186"/>
      <c r="QS11" s="186"/>
      <c r="QT11" s="186"/>
      <c r="QU11" s="186"/>
      <c r="QV11" s="186"/>
      <c r="QW11" s="186"/>
      <c r="QX11" s="186"/>
      <c r="QY11" s="186"/>
      <c r="QZ11" s="186"/>
      <c r="RA11" s="186"/>
      <c r="RB11" s="186"/>
      <c r="RC11" s="186"/>
      <c r="RD11" s="186"/>
      <c r="RE11" s="186"/>
      <c r="RF11" s="186"/>
      <c r="RG11" s="186"/>
      <c r="RH11" s="186"/>
      <c r="RI11" s="186"/>
      <c r="RJ11" s="186"/>
      <c r="RK11" s="186"/>
      <c r="RL11" s="186"/>
      <c r="RM11" s="186"/>
      <c r="RN11" s="186"/>
      <c r="RO11" s="186"/>
      <c r="RP11" s="186"/>
      <c r="RQ11" s="186"/>
      <c r="RR11" s="186"/>
      <c r="RS11" s="186"/>
      <c r="RT11" s="186"/>
      <c r="RU11" s="186"/>
      <c r="RV11" s="186"/>
      <c r="RW11" s="186"/>
      <c r="RX11" s="186"/>
      <c r="RY11" s="186"/>
      <c r="RZ11" s="186"/>
      <c r="SA11" s="186"/>
      <c r="SB11" s="186"/>
      <c r="SC11" s="186"/>
      <c r="SD11" s="186"/>
      <c r="SE11" s="186"/>
      <c r="SF11" s="186"/>
      <c r="SG11" s="186"/>
      <c r="SH11" s="186"/>
      <c r="SI11" s="186"/>
      <c r="SJ11" s="186"/>
      <c r="SK11" s="186"/>
      <c r="SL11" s="186"/>
      <c r="SM11" s="186"/>
      <c r="SN11" s="186"/>
      <c r="SO11" s="186"/>
      <c r="SP11" s="186"/>
      <c r="SQ11" s="186"/>
      <c r="SR11" s="186"/>
      <c r="SS11" s="186"/>
      <c r="ST11" s="186"/>
      <c r="SU11" s="186"/>
      <c r="SV11" s="186"/>
      <c r="SW11" s="186"/>
      <c r="SX11" s="186"/>
      <c r="SY11" s="186"/>
      <c r="SZ11" s="186"/>
      <c r="TA11" s="186"/>
      <c r="TB11" s="186"/>
      <c r="TC11" s="186"/>
      <c r="TD11" s="186"/>
      <c r="TE11" s="186"/>
      <c r="TF11" s="186"/>
      <c r="TG11" s="186"/>
      <c r="TH11" s="186"/>
      <c r="TI11" s="186"/>
      <c r="TJ11" s="186"/>
      <c r="TK11" s="186"/>
      <c r="TL11" s="186"/>
      <c r="TM11" s="186"/>
      <c r="TN11" s="186"/>
      <c r="TO11" s="186"/>
      <c r="TP11" s="186"/>
      <c r="TQ11" s="186"/>
      <c r="TR11" s="186"/>
      <c r="TS11" s="186"/>
      <c r="TT11" s="186"/>
      <c r="TU11" s="186"/>
      <c r="TV11" s="186"/>
      <c r="TW11" s="186"/>
      <c r="TX11" s="186"/>
      <c r="TY11" s="186"/>
      <c r="TZ11" s="186"/>
      <c r="UA11" s="186"/>
      <c r="UB11" s="186"/>
      <c r="UC11" s="186"/>
      <c r="UD11" s="186"/>
      <c r="UE11" s="186"/>
      <c r="UF11" s="186"/>
      <c r="UG11" s="186"/>
      <c r="UH11" s="186"/>
      <c r="UI11" s="186"/>
      <c r="UJ11" s="186"/>
      <c r="UK11" s="186"/>
      <c r="UL11" s="186"/>
      <c r="UM11" s="186"/>
      <c r="UN11" s="186"/>
      <c r="UO11" s="186"/>
      <c r="UP11" s="186"/>
      <c r="UQ11" s="186"/>
      <c r="UR11" s="186"/>
      <c r="US11" s="186"/>
      <c r="UT11" s="186"/>
      <c r="UU11" s="186"/>
      <c r="UV11" s="186"/>
      <c r="UW11" s="186"/>
      <c r="UX11" s="186"/>
      <c r="UY11" s="186"/>
      <c r="UZ11" s="186"/>
      <c r="VA11" s="186"/>
      <c r="VB11" s="186"/>
      <c r="VC11" s="186"/>
      <c r="VD11" s="186"/>
      <c r="VE11" s="186"/>
      <c r="VF11" s="186"/>
      <c r="VG11" s="186"/>
      <c r="VH11" s="186"/>
      <c r="VI11" s="186"/>
      <c r="VJ11" s="186"/>
      <c r="VK11" s="186"/>
      <c r="VL11" s="186"/>
      <c r="VM11" s="186"/>
      <c r="VN11" s="186"/>
      <c r="VO11" s="186"/>
      <c r="VP11" s="186"/>
      <c r="VQ11" s="186"/>
      <c r="VR11" s="186"/>
      <c r="VS11" s="186"/>
      <c r="VT11" s="186"/>
      <c r="VU11" s="186"/>
      <c r="VV11" s="186"/>
      <c r="VW11" s="186"/>
      <c r="VX11" s="186"/>
      <c r="VY11" s="186"/>
      <c r="VZ11" s="186"/>
      <c r="WA11" s="186"/>
      <c r="WB11" s="186"/>
      <c r="WC11" s="186"/>
      <c r="WD11" s="186"/>
      <c r="WE11" s="186"/>
      <c r="WF11" s="186"/>
      <c r="WG11" s="186"/>
      <c r="WH11" s="186"/>
      <c r="WI11" s="186"/>
      <c r="WJ11" s="186"/>
      <c r="WK11" s="186"/>
      <c r="WL11" s="186"/>
      <c r="WM11" s="186"/>
      <c r="WN11" s="186"/>
      <c r="WO11" s="186"/>
      <c r="WP11" s="186"/>
      <c r="WQ11" s="186"/>
      <c r="WR11" s="186"/>
      <c r="WS11" s="186"/>
      <c r="WT11" s="186"/>
      <c r="WU11" s="186"/>
      <c r="WV11" s="186"/>
      <c r="WW11" s="186"/>
      <c r="WX11" s="186"/>
      <c r="WY11" s="186"/>
      <c r="WZ11" s="186"/>
      <c r="XA11" s="186"/>
      <c r="XB11" s="186"/>
      <c r="XC11" s="186"/>
      <c r="XD11" s="186"/>
      <c r="XE11" s="186"/>
      <c r="XF11" s="186"/>
      <c r="XG11" s="186"/>
      <c r="XH11" s="186"/>
      <c r="XI11" s="186"/>
      <c r="XJ11" s="186"/>
      <c r="XK11" s="186"/>
      <c r="XL11" s="186"/>
      <c r="XM11" s="186"/>
      <c r="XN11" s="186"/>
      <c r="XO11" s="186"/>
      <c r="XP11" s="186"/>
      <c r="XQ11" s="186"/>
      <c r="XR11" s="186"/>
      <c r="XS11" s="186"/>
      <c r="XT11" s="186"/>
      <c r="XU11" s="186"/>
      <c r="XV11" s="186"/>
      <c r="XW11" s="186"/>
      <c r="XX11" s="186"/>
      <c r="XY11" s="186"/>
      <c r="XZ11" s="186"/>
      <c r="YA11" s="186"/>
      <c r="YB11" s="186"/>
      <c r="YC11" s="186"/>
      <c r="YD11" s="186"/>
      <c r="YE11" s="186"/>
      <c r="YF11" s="186"/>
      <c r="YG11" s="186"/>
      <c r="YH11" s="186"/>
      <c r="YI11" s="186"/>
      <c r="YJ11" s="186"/>
      <c r="YK11" s="186"/>
      <c r="YL11" s="186"/>
      <c r="YM11" s="186"/>
      <c r="YN11" s="186"/>
      <c r="YO11" s="186"/>
      <c r="YP11" s="186"/>
      <c r="YQ11" s="186"/>
      <c r="YR11" s="186"/>
      <c r="YS11" s="186"/>
      <c r="YT11" s="186"/>
      <c r="YU11" s="186"/>
      <c r="YV11" s="186"/>
      <c r="YW11" s="186"/>
      <c r="YX11" s="186"/>
      <c r="YY11" s="186"/>
      <c r="YZ11" s="186"/>
      <c r="ZA11" s="186"/>
      <c r="ZB11" s="186"/>
      <c r="ZC11" s="186"/>
      <c r="ZD11" s="186"/>
      <c r="ZE11" s="186"/>
      <c r="ZF11" s="186"/>
      <c r="ZG11" s="186"/>
      <c r="ZH11" s="186"/>
      <c r="ZI11" s="186"/>
      <c r="ZJ11" s="186"/>
      <c r="ZK11" s="186"/>
      <c r="ZL11" s="186"/>
      <c r="ZM11" s="186"/>
      <c r="ZN11" s="186"/>
      <c r="ZO11" s="186"/>
      <c r="ZP11" s="186"/>
      <c r="ZQ11" s="186"/>
      <c r="ZR11" s="186"/>
      <c r="ZS11" s="186"/>
      <c r="ZT11" s="186"/>
      <c r="ZU11" s="186"/>
      <c r="ZV11" s="186"/>
      <c r="ZW11" s="186"/>
      <c r="ZX11" s="186"/>
      <c r="ZY11" s="186"/>
      <c r="ZZ11" s="186"/>
      <c r="AAA11" s="186"/>
      <c r="AAB11" s="186"/>
      <c r="AAC11" s="186"/>
      <c r="AAD11" s="186"/>
      <c r="AAE11" s="186"/>
      <c r="AAF11" s="186"/>
      <c r="AAG11" s="186"/>
      <c r="AAH11" s="186"/>
      <c r="AAI11" s="186"/>
      <c r="AAJ11" s="186"/>
      <c r="AAK11" s="186"/>
      <c r="AAL11" s="186"/>
      <c r="AAM11" s="186"/>
      <c r="AAN11" s="186"/>
      <c r="AAO11" s="186"/>
      <c r="AAP11" s="186"/>
      <c r="AAQ11" s="186"/>
      <c r="AAR11" s="186"/>
      <c r="AAS11" s="186"/>
      <c r="AAT11" s="186"/>
      <c r="AAU11" s="186"/>
      <c r="AAV11" s="186"/>
      <c r="AAW11" s="186"/>
      <c r="AAX11" s="186"/>
      <c r="AAY11" s="186"/>
      <c r="AAZ11" s="186"/>
      <c r="ABA11" s="186"/>
      <c r="ABB11" s="186"/>
      <c r="ABC11" s="186"/>
      <c r="ABD11" s="186"/>
      <c r="ABE11" s="186"/>
      <c r="ABF11" s="186"/>
      <c r="ABG11" s="186"/>
      <c r="ABH11" s="186"/>
      <c r="ABI11" s="186"/>
      <c r="ABJ11" s="186"/>
      <c r="ABK11" s="186"/>
      <c r="ABL11" s="186"/>
      <c r="ABM11" s="186"/>
      <c r="ABN11" s="186"/>
      <c r="ABO11" s="186"/>
      <c r="ABP11" s="186"/>
      <c r="ABQ11" s="186"/>
      <c r="ABR11" s="186"/>
      <c r="ABS11" s="186"/>
      <c r="ABT11" s="186"/>
      <c r="ABU11" s="186"/>
      <c r="ABV11" s="186"/>
      <c r="ABW11" s="186"/>
      <c r="ABX11" s="186"/>
      <c r="ABY11" s="186"/>
      <c r="ABZ11" s="186"/>
      <c r="ACA11" s="186"/>
      <c r="ACB11" s="186"/>
      <c r="ACC11" s="186"/>
      <c r="ACD11" s="186"/>
      <c r="ACE11" s="186"/>
      <c r="ACF11" s="186"/>
      <c r="ACG11" s="186"/>
      <c r="ACH11" s="186"/>
      <c r="ACI11" s="186"/>
      <c r="ACJ11" s="186"/>
      <c r="ACK11" s="186"/>
      <c r="ACL11" s="186"/>
      <c r="ACM11" s="186"/>
      <c r="ACN11" s="186"/>
      <c r="ACO11" s="186"/>
      <c r="ACP11" s="186"/>
      <c r="ACQ11" s="186"/>
      <c r="ACR11" s="186"/>
      <c r="ACS11" s="186"/>
      <c r="ACT11" s="186"/>
      <c r="ACU11" s="186"/>
      <c r="ACV11" s="186"/>
      <c r="ACW11" s="186"/>
      <c r="ACX11" s="186"/>
      <c r="ACY11" s="186"/>
      <c r="ACZ11" s="186"/>
      <c r="ADA11" s="186"/>
      <c r="ADB11" s="186"/>
      <c r="ADC11" s="186"/>
      <c r="ADD11" s="186"/>
      <c r="ADE11" s="186"/>
      <c r="ADF11" s="186"/>
      <c r="ADG11" s="186"/>
      <c r="ADH11" s="186"/>
      <c r="ADI11" s="186"/>
      <c r="ADJ11" s="186"/>
      <c r="ADK11" s="186"/>
      <c r="ADL11" s="186"/>
      <c r="ADM11" s="186"/>
      <c r="ADN11" s="186"/>
      <c r="ADO11" s="186"/>
      <c r="ADP11" s="186"/>
      <c r="ADQ11" s="186"/>
      <c r="ADR11" s="186"/>
      <c r="ADS11" s="186"/>
      <c r="ADT11" s="186"/>
      <c r="ADU11" s="186"/>
      <c r="ADV11" s="186"/>
      <c r="ADW11" s="186"/>
      <c r="ADX11" s="186"/>
      <c r="ADY11" s="186"/>
      <c r="ADZ11" s="186"/>
      <c r="AEA11" s="186"/>
      <c r="AEB11" s="186"/>
      <c r="AEC11" s="186"/>
      <c r="AED11" s="186"/>
      <c r="AEE11" s="186"/>
      <c r="AEF11" s="186"/>
      <c r="AEG11" s="186"/>
      <c r="AEH11" s="186"/>
      <c r="AEI11" s="186"/>
      <c r="AEJ11" s="186"/>
      <c r="AEK11" s="186"/>
      <c r="AEL11" s="186"/>
      <c r="AEM11" s="186"/>
      <c r="AEN11" s="186"/>
      <c r="AEO11" s="186"/>
      <c r="AEP11" s="186"/>
      <c r="AEQ11" s="186"/>
      <c r="AER11" s="186"/>
      <c r="AES11" s="186"/>
      <c r="AET11" s="186"/>
      <c r="AEU11" s="186"/>
      <c r="AEV11" s="186"/>
      <c r="AEW11" s="186"/>
      <c r="AEX11" s="186"/>
      <c r="AEY11" s="186"/>
      <c r="AEZ11" s="186"/>
      <c r="AFA11" s="186"/>
      <c r="AFB11" s="186"/>
      <c r="AFC11" s="186"/>
      <c r="AFD11" s="186"/>
      <c r="AFE11" s="186"/>
      <c r="AFF11" s="186"/>
      <c r="AFG11" s="186"/>
      <c r="AFH11" s="186"/>
      <c r="AFI11" s="186"/>
      <c r="AFJ11" s="186"/>
      <c r="AFK11" s="186"/>
      <c r="AFL11" s="186"/>
      <c r="AFM11" s="186"/>
      <c r="AFN11" s="186"/>
      <c r="AFO11" s="186"/>
      <c r="AFP11" s="186"/>
      <c r="AFQ11" s="186"/>
      <c r="AFR11" s="186"/>
      <c r="AFS11" s="186"/>
      <c r="AFT11" s="186"/>
      <c r="AFU11" s="186"/>
      <c r="AFV11" s="186"/>
      <c r="AFW11" s="186"/>
      <c r="AFX11" s="186"/>
      <c r="AFY11" s="186"/>
      <c r="AFZ11" s="186"/>
      <c r="AGA11" s="186"/>
      <c r="AGB11" s="186"/>
      <c r="AGC11" s="186"/>
      <c r="AGD11" s="186"/>
      <c r="AGE11" s="186"/>
      <c r="AGF11" s="186"/>
      <c r="AGG11" s="186"/>
      <c r="AGH11" s="186"/>
      <c r="AGI11" s="186"/>
      <c r="AGJ11" s="186"/>
      <c r="AGK11" s="186"/>
      <c r="AGL11" s="186"/>
      <c r="AGM11" s="186"/>
      <c r="AGN11" s="186"/>
      <c r="AGO11" s="186"/>
      <c r="AGP11" s="186"/>
      <c r="AGQ11" s="186"/>
      <c r="AGR11" s="186"/>
      <c r="AGS11" s="186"/>
      <c r="AGT11" s="186"/>
      <c r="AGU11" s="186"/>
      <c r="AGV11" s="186"/>
      <c r="AGW11" s="186"/>
      <c r="AGX11" s="186"/>
      <c r="AGY11" s="186"/>
      <c r="AGZ11" s="186"/>
      <c r="AHA11" s="186"/>
      <c r="AHB11" s="186"/>
      <c r="AHC11" s="186"/>
      <c r="AHD11" s="186"/>
      <c r="AHE11" s="186"/>
      <c r="AHF11" s="186"/>
      <c r="AHG11" s="186"/>
      <c r="AHH11" s="186"/>
      <c r="AHI11" s="186"/>
      <c r="AHJ11" s="186"/>
      <c r="AHK11" s="186"/>
      <c r="AHL11" s="186"/>
      <c r="AHM11" s="186"/>
      <c r="AHN11" s="186"/>
      <c r="AHO11" s="186"/>
      <c r="AHP11" s="186"/>
      <c r="AHQ11" s="186"/>
      <c r="AHR11" s="186"/>
      <c r="AHS11" s="186"/>
      <c r="AHT11" s="186"/>
      <c r="AHU11" s="186"/>
      <c r="AHV11" s="186"/>
      <c r="AHW11" s="186"/>
      <c r="AHX11" s="186"/>
      <c r="AHY11" s="186"/>
      <c r="AHZ11" s="186"/>
      <c r="AIA11" s="186"/>
      <c r="AIB11" s="186"/>
      <c r="AIC11" s="186"/>
      <c r="AID11" s="186"/>
      <c r="AIE11" s="186"/>
      <c r="AIF11" s="186"/>
      <c r="AIG11" s="186"/>
      <c r="AIH11" s="186"/>
      <c r="AII11" s="186"/>
      <c r="AIJ11" s="186"/>
      <c r="AIK11" s="186"/>
      <c r="AIL11" s="186"/>
      <c r="AIM11" s="186"/>
      <c r="AIN11" s="186"/>
      <c r="AIO11" s="186"/>
      <c r="AIP11" s="186"/>
      <c r="AIQ11" s="186"/>
      <c r="AIR11" s="186"/>
      <c r="AIS11" s="186"/>
      <c r="AIT11" s="186"/>
      <c r="AIU11" s="186"/>
      <c r="AIV11" s="186"/>
      <c r="AIW11" s="186"/>
      <c r="AIX11" s="186"/>
      <c r="AIY11" s="186"/>
      <c r="AIZ11" s="186"/>
      <c r="AJA11" s="186"/>
      <c r="AJB11" s="186"/>
      <c r="AJC11" s="186"/>
      <c r="AJD11" s="186"/>
      <c r="AJE11" s="186"/>
      <c r="AJF11" s="186"/>
      <c r="AJG11" s="186"/>
      <c r="AJH11" s="186"/>
      <c r="AJI11" s="186"/>
      <c r="AJJ11" s="186"/>
      <c r="AJK11" s="186"/>
      <c r="AJL11" s="186"/>
      <c r="AJM11" s="186"/>
      <c r="AJN11" s="186"/>
      <c r="AJO11" s="186"/>
      <c r="AJP11" s="186"/>
      <c r="AJQ11" s="186"/>
      <c r="AJR11" s="186"/>
      <c r="AJS11" s="186"/>
      <c r="AJT11" s="186"/>
      <c r="AJU11" s="186"/>
      <c r="AJV11" s="186"/>
      <c r="AJW11" s="186"/>
      <c r="AJX11" s="186"/>
      <c r="AJY11" s="186"/>
      <c r="AJZ11" s="186"/>
      <c r="AKA11" s="186"/>
      <c r="AKB11" s="186"/>
      <c r="AKC11" s="186"/>
      <c r="AKD11" s="186"/>
      <c r="AKE11" s="186"/>
      <c r="AKF11" s="186"/>
      <c r="AKG11" s="186"/>
      <c r="AKH11" s="186"/>
      <c r="AKI11" s="186"/>
      <c r="AKJ11" s="186"/>
      <c r="AKK11" s="186"/>
      <c r="AKL11" s="186"/>
      <c r="AKM11" s="186"/>
      <c r="AKN11" s="186"/>
      <c r="AKO11" s="186"/>
      <c r="AKP11" s="186"/>
      <c r="AKQ11" s="186"/>
      <c r="AKR11" s="186"/>
      <c r="AKS11" s="186"/>
      <c r="AKT11" s="186"/>
      <c r="AKU11" s="186"/>
      <c r="AKV11" s="186"/>
      <c r="AKW11" s="186"/>
      <c r="AKX11" s="186"/>
      <c r="AKY11" s="186"/>
      <c r="AKZ11" s="186"/>
      <c r="ALA11" s="186"/>
      <c r="ALB11" s="186"/>
      <c r="ALC11" s="186"/>
      <c r="ALD11" s="186"/>
      <c r="ALE11" s="186"/>
      <c r="ALF11" s="186"/>
      <c r="ALG11" s="186"/>
      <c r="ALH11" s="186"/>
      <c r="ALI11" s="186"/>
      <c r="ALJ11" s="186"/>
      <c r="ALK11" s="186"/>
      <c r="ALL11" s="186"/>
      <c r="ALM11" s="186"/>
      <c r="ALN11" s="186"/>
      <c r="ALO11" s="186"/>
      <c r="ALP11" s="186"/>
      <c r="ALQ11" s="186"/>
      <c r="ALR11" s="186"/>
      <c r="ALS11" s="186"/>
      <c r="ALT11" s="186"/>
      <c r="ALU11" s="186"/>
      <c r="ALV11" s="186"/>
      <c r="ALW11" s="186"/>
      <c r="ALX11" s="186"/>
      <c r="ALY11" s="186"/>
      <c r="ALZ11" s="186"/>
      <c r="AMA11" s="186"/>
      <c r="AMB11" s="186"/>
      <c r="AMC11" s="186"/>
      <c r="AMD11" s="186"/>
      <c r="AME11" s="186"/>
      <c r="AMF11" s="186"/>
      <c r="AMG11" s="186"/>
      <c r="AMH11" s="186"/>
      <c r="AMI11" s="186"/>
      <c r="AMJ11" s="186"/>
      <c r="AMK11" s="186"/>
      <c r="AML11" s="186"/>
      <c r="AMM11" s="186"/>
      <c r="AMN11" s="186"/>
      <c r="AMO11" s="186"/>
      <c r="AMP11" s="186"/>
      <c r="AMQ11" s="186"/>
      <c r="AMR11" s="186"/>
      <c r="AMS11" s="186"/>
      <c r="AMT11" s="186"/>
      <c r="AMU11" s="186"/>
      <c r="AMV11" s="186"/>
      <c r="AMW11" s="186"/>
      <c r="AMX11" s="186"/>
      <c r="AMY11" s="186"/>
      <c r="AMZ11" s="186"/>
      <c r="ANA11" s="186"/>
      <c r="ANB11" s="186"/>
      <c r="ANC11" s="186"/>
      <c r="AND11" s="186"/>
      <c r="ANE11" s="186"/>
      <c r="ANF11" s="186"/>
    </row>
    <row r="12" spans="1:1046" x14ac:dyDescent="0.2">
      <c r="A12" s="2"/>
      <c r="B12" s="205" t="s">
        <v>83</v>
      </c>
      <c r="C12" s="23"/>
      <c r="D12" s="206">
        <v>20.7</v>
      </c>
      <c r="E12" s="207">
        <v>20.3</v>
      </c>
      <c r="F12" s="9">
        <v>21.4</v>
      </c>
      <c r="G12" s="2">
        <v>21.9</v>
      </c>
      <c r="H12" s="25">
        <v>21.7</v>
      </c>
      <c r="I12" s="26">
        <v>20.9</v>
      </c>
      <c r="J12" s="3">
        <v>21.7</v>
      </c>
      <c r="K12" s="28">
        <v>21.7</v>
      </c>
      <c r="L12" s="2">
        <v>22.3</v>
      </c>
      <c r="M12" s="2">
        <v>22.2</v>
      </c>
      <c r="N12" s="3">
        <v>21.5</v>
      </c>
      <c r="O12" s="4">
        <v>21.9</v>
      </c>
      <c r="P12" s="2">
        <v>19.3</v>
      </c>
      <c r="Q12" s="28">
        <v>19.5</v>
      </c>
      <c r="R12" s="56">
        <v>20.399999999999999</v>
      </c>
      <c r="S12" s="58">
        <v>21.5</v>
      </c>
      <c r="T12" s="59">
        <v>16.100000000000001</v>
      </c>
      <c r="U12" s="59">
        <v>17.100000000000001</v>
      </c>
      <c r="V12" s="56">
        <v>19.5</v>
      </c>
      <c r="W12" s="58">
        <v>19.899999999999999</v>
      </c>
      <c r="X12" s="59">
        <v>18.899999999999999</v>
      </c>
      <c r="Y12" s="65">
        <v>18.8</v>
      </c>
      <c r="Z12" s="2">
        <v>18.3</v>
      </c>
      <c r="AA12" s="28">
        <v>19.3</v>
      </c>
      <c r="AB12" s="208"/>
      <c r="AC12" s="209"/>
      <c r="AD12" s="59">
        <v>21.5</v>
      </c>
      <c r="AE12" s="58">
        <v>21.2</v>
      </c>
      <c r="AF12" s="2">
        <v>19.5</v>
      </c>
      <c r="AG12" s="58">
        <v>20.2</v>
      </c>
      <c r="AH12" s="2">
        <v>19.600000000000001</v>
      </c>
      <c r="AI12" s="30">
        <v>20</v>
      </c>
      <c r="AJ12" s="9">
        <v>20.5</v>
      </c>
      <c r="AK12" s="2">
        <v>20.5</v>
      </c>
      <c r="AL12" s="3">
        <v>19.7</v>
      </c>
      <c r="AM12" s="28">
        <v>19.600000000000001</v>
      </c>
      <c r="AN12" s="9">
        <v>19.5</v>
      </c>
      <c r="AO12" s="2">
        <v>19.3</v>
      </c>
      <c r="AP12" s="3">
        <v>20.100000000000001</v>
      </c>
      <c r="AQ12" s="28">
        <v>20.100000000000001</v>
      </c>
      <c r="AR12" s="2">
        <v>20.6</v>
      </c>
      <c r="AS12" s="4">
        <v>20.5</v>
      </c>
      <c r="AT12" s="2">
        <v>19.5</v>
      </c>
      <c r="AU12" s="28">
        <v>19.399999999999999</v>
      </c>
      <c r="AV12" s="2">
        <v>20.100000000000001</v>
      </c>
      <c r="AW12" s="28">
        <v>20.100000000000001</v>
      </c>
      <c r="AX12" s="3">
        <v>19.8</v>
      </c>
      <c r="AY12" s="2">
        <v>19.8</v>
      </c>
      <c r="AZ12" s="3">
        <v>19.7</v>
      </c>
      <c r="BA12" s="28">
        <v>19.7</v>
      </c>
      <c r="BB12" s="2">
        <v>19.8</v>
      </c>
      <c r="BC12" s="4">
        <v>19.600000000000001</v>
      </c>
      <c r="BD12" s="2">
        <v>20.100000000000001</v>
      </c>
      <c r="BE12" s="26">
        <v>20</v>
      </c>
      <c r="BF12" s="2">
        <v>19.399999999999999</v>
      </c>
      <c r="BG12" s="28">
        <v>19.5</v>
      </c>
      <c r="BH12" s="3">
        <v>20.2</v>
      </c>
      <c r="BI12" s="2">
        <v>20.2</v>
      </c>
      <c r="BJ12" s="25">
        <v>18</v>
      </c>
      <c r="BK12" s="28">
        <v>17.7</v>
      </c>
      <c r="BL12" s="2">
        <v>20.5</v>
      </c>
      <c r="BM12" s="4">
        <v>20.399999999999999</v>
      </c>
      <c r="BN12" s="2">
        <v>18.399999999999999</v>
      </c>
      <c r="BO12" s="26">
        <v>18.899999999999999</v>
      </c>
      <c r="BP12" s="210"/>
      <c r="BQ12" s="211"/>
      <c r="BR12" s="3">
        <v>20.100000000000001</v>
      </c>
      <c r="BS12" s="2">
        <v>21.3</v>
      </c>
      <c r="BT12" s="25">
        <v>18.399999999999999</v>
      </c>
      <c r="BU12" s="28">
        <v>19.3</v>
      </c>
      <c r="BV12" s="2">
        <v>21.1</v>
      </c>
      <c r="BW12" s="4">
        <v>21.2</v>
      </c>
      <c r="BX12" s="2">
        <v>19.399999999999999</v>
      </c>
      <c r="BY12" s="26">
        <v>20.100000000000001</v>
      </c>
      <c r="BZ12" s="25">
        <v>20.8</v>
      </c>
      <c r="CA12" s="28">
        <v>20.5</v>
      </c>
      <c r="CB12" s="3">
        <v>19.8</v>
      </c>
      <c r="CC12" s="2">
        <v>20.3</v>
      </c>
      <c r="CD12" s="25">
        <v>20.6</v>
      </c>
      <c r="CE12" s="28">
        <v>20</v>
      </c>
      <c r="CF12" s="2">
        <v>20.7</v>
      </c>
      <c r="CG12" s="4">
        <v>21.1</v>
      </c>
      <c r="CH12" s="2">
        <v>21.1</v>
      </c>
      <c r="CI12" s="26">
        <v>21.4</v>
      </c>
      <c r="CJ12" s="25">
        <v>20.7</v>
      </c>
      <c r="CK12" s="28">
        <v>20.6</v>
      </c>
      <c r="CL12" s="3">
        <v>17.3</v>
      </c>
      <c r="CM12" s="2">
        <v>18.3</v>
      </c>
      <c r="CN12" s="25">
        <v>20.6</v>
      </c>
      <c r="CO12" s="28">
        <v>20.3</v>
      </c>
      <c r="CP12" s="2">
        <v>20.7</v>
      </c>
      <c r="CQ12" s="4">
        <v>20.399999999999999</v>
      </c>
      <c r="CR12" s="2">
        <v>19.8</v>
      </c>
      <c r="CS12" s="26">
        <v>18.5</v>
      </c>
      <c r="CT12" s="25">
        <v>20.56</v>
      </c>
      <c r="CU12" s="28">
        <v>20.8</v>
      </c>
      <c r="CV12" s="3">
        <v>21</v>
      </c>
      <c r="CW12" s="2">
        <v>21</v>
      </c>
      <c r="CX12" s="25">
        <v>21.4</v>
      </c>
      <c r="CY12" s="28">
        <v>20.6</v>
      </c>
      <c r="CZ12" s="2">
        <v>21.4</v>
      </c>
      <c r="DA12" s="4">
        <v>20.100000000000001</v>
      </c>
      <c r="DB12" s="2">
        <v>19.8</v>
      </c>
      <c r="DC12" s="28">
        <v>21.2</v>
      </c>
      <c r="DD12" s="56">
        <v>19.399999999999999</v>
      </c>
      <c r="DE12" s="58">
        <v>19.100000000000001</v>
      </c>
      <c r="DF12" s="59">
        <v>20.7</v>
      </c>
      <c r="DG12" s="59">
        <v>21.7</v>
      </c>
      <c r="DH12" s="56">
        <v>20.100000000000001</v>
      </c>
      <c r="DI12" s="58">
        <v>20.6</v>
      </c>
      <c r="DJ12" s="59">
        <v>21.1</v>
      </c>
      <c r="DK12" s="65">
        <v>21.1</v>
      </c>
      <c r="DL12" s="2">
        <v>22.2</v>
      </c>
      <c r="DM12" s="28">
        <v>22.2</v>
      </c>
      <c r="DN12" s="56">
        <v>19.5</v>
      </c>
      <c r="DO12" s="58">
        <v>19.600000000000001</v>
      </c>
      <c r="DP12" s="59">
        <v>21.9</v>
      </c>
      <c r="DQ12" s="59">
        <v>21.5</v>
      </c>
      <c r="DR12" s="56">
        <v>21.4</v>
      </c>
      <c r="DS12" s="58">
        <v>20.7</v>
      </c>
      <c r="DT12" s="59">
        <v>21.7</v>
      </c>
      <c r="DU12" s="65">
        <v>21.3</v>
      </c>
      <c r="DV12" s="2">
        <v>21.9</v>
      </c>
      <c r="DW12" s="28">
        <v>21.3</v>
      </c>
      <c r="DX12" s="56">
        <v>21.1</v>
      </c>
      <c r="DY12" s="58">
        <v>21.1</v>
      </c>
      <c r="DZ12" s="59">
        <v>22.1</v>
      </c>
      <c r="EA12" s="59">
        <v>21.6</v>
      </c>
      <c r="EB12" s="56">
        <v>21.6</v>
      </c>
      <c r="EC12" s="58">
        <v>21.4</v>
      </c>
      <c r="ED12" s="59">
        <v>22.5</v>
      </c>
      <c r="EE12" s="65">
        <v>21.7</v>
      </c>
      <c r="EF12" s="2">
        <v>22.7</v>
      </c>
      <c r="EG12" s="28">
        <v>22</v>
      </c>
      <c r="EH12" s="56">
        <v>21.7</v>
      </c>
      <c r="EI12" s="58">
        <v>21.7</v>
      </c>
      <c r="EJ12" s="59">
        <v>20.7</v>
      </c>
      <c r="EK12" s="59">
        <v>20.9</v>
      </c>
      <c r="EL12" s="56">
        <v>18.8</v>
      </c>
      <c r="EM12" s="58">
        <v>18.8</v>
      </c>
      <c r="EN12" s="59">
        <v>18</v>
      </c>
      <c r="EO12" s="65">
        <v>19.3</v>
      </c>
      <c r="EP12" s="2">
        <v>20.399999999999999</v>
      </c>
      <c r="EQ12" s="28">
        <v>20.2</v>
      </c>
      <c r="ER12" s="56">
        <v>20.6</v>
      </c>
      <c r="ES12" s="58">
        <v>20.399999999999999</v>
      </c>
      <c r="ET12" s="59">
        <v>20.8</v>
      </c>
      <c r="EU12" s="59">
        <v>20.3</v>
      </c>
      <c r="EV12" s="56">
        <v>19.8</v>
      </c>
      <c r="EW12" s="58">
        <v>19.7</v>
      </c>
      <c r="EX12" s="59">
        <v>21.1</v>
      </c>
      <c r="EY12" s="65">
        <v>19.8</v>
      </c>
      <c r="EZ12" s="2">
        <v>20.7</v>
      </c>
      <c r="FA12" s="28">
        <v>20.6</v>
      </c>
      <c r="FB12" s="56">
        <v>21.4</v>
      </c>
      <c r="FC12" s="59">
        <v>21.3</v>
      </c>
      <c r="FD12" s="56">
        <v>19.5</v>
      </c>
      <c r="FE12" s="58">
        <v>20.2</v>
      </c>
      <c r="FF12" s="59">
        <v>21.2</v>
      </c>
      <c r="FG12" s="58">
        <v>20.6</v>
      </c>
      <c r="FH12" s="59">
        <v>21</v>
      </c>
      <c r="FI12" s="65">
        <v>20.8</v>
      </c>
      <c r="FJ12" s="2">
        <v>20.7</v>
      </c>
      <c r="FK12" s="28">
        <v>20.5</v>
      </c>
      <c r="FL12" s="56">
        <v>19.899999999999999</v>
      </c>
      <c r="FM12" s="58">
        <v>19.600000000000001</v>
      </c>
      <c r="FN12" s="59">
        <v>20.9</v>
      </c>
      <c r="FO12" s="59">
        <v>20.9</v>
      </c>
      <c r="FP12" s="86">
        <v>20</v>
      </c>
      <c r="FQ12" s="87">
        <v>20</v>
      </c>
      <c r="FR12" s="59">
        <v>21.3</v>
      </c>
      <c r="FS12" s="65">
        <v>21.1</v>
      </c>
      <c r="FT12" s="2">
        <v>19.2</v>
      </c>
      <c r="FU12" s="26">
        <v>19</v>
      </c>
      <c r="FV12" s="59">
        <v>20.2</v>
      </c>
      <c r="FW12" s="59">
        <v>21.9</v>
      </c>
      <c r="FX12" s="56">
        <v>21.1</v>
      </c>
      <c r="FY12" s="58">
        <v>21.1</v>
      </c>
      <c r="FZ12" s="56">
        <v>20.2</v>
      </c>
      <c r="GA12" s="58">
        <v>21.9</v>
      </c>
      <c r="GB12" s="59">
        <v>21.6</v>
      </c>
      <c r="GC12" s="65">
        <v>21.7</v>
      </c>
      <c r="GD12" s="9">
        <v>22</v>
      </c>
      <c r="GE12" s="26">
        <v>21</v>
      </c>
      <c r="GF12" s="56">
        <v>21.9</v>
      </c>
      <c r="GG12" s="58">
        <v>21.4</v>
      </c>
      <c r="GH12" s="59">
        <v>19.2</v>
      </c>
      <c r="GI12" s="59">
        <v>19.2</v>
      </c>
      <c r="GJ12" s="56">
        <v>20.100000000000001</v>
      </c>
      <c r="GK12" s="58">
        <v>20</v>
      </c>
      <c r="GL12" s="59">
        <v>19.899999999999999</v>
      </c>
      <c r="GM12" s="65">
        <v>19.600000000000001</v>
      </c>
      <c r="GN12" s="2">
        <v>19.399999999999999</v>
      </c>
      <c r="GO12" s="28">
        <v>19.3</v>
      </c>
      <c r="GP12" s="56">
        <v>22.6</v>
      </c>
      <c r="GQ12" s="58">
        <v>22.4</v>
      </c>
      <c r="GR12" s="59">
        <v>20.6</v>
      </c>
      <c r="GS12" s="59">
        <v>20.9</v>
      </c>
      <c r="GT12" s="56">
        <v>22.2</v>
      </c>
      <c r="GU12" s="58">
        <v>21.2</v>
      </c>
      <c r="GV12" s="59">
        <v>19.899999999999999</v>
      </c>
      <c r="GW12" s="65">
        <v>19.899999999999999</v>
      </c>
    </row>
    <row r="13" spans="1:1046" x14ac:dyDescent="0.2">
      <c r="A13" s="1"/>
      <c r="B13" s="205" t="s">
        <v>84</v>
      </c>
      <c r="C13" s="23">
        <v>1</v>
      </c>
      <c r="D13" s="212">
        <v>7.16</v>
      </c>
      <c r="E13" s="213">
        <v>8.43</v>
      </c>
      <c r="F13" s="6">
        <v>7.04</v>
      </c>
      <c r="G13" s="6">
        <v>8.3000000000000007</v>
      </c>
      <c r="H13" s="3">
        <v>6.92</v>
      </c>
      <c r="I13" s="32">
        <v>8.4700000000000006</v>
      </c>
      <c r="J13" s="36">
        <v>7.57</v>
      </c>
      <c r="K13" s="33">
        <v>8.9499999999999993</v>
      </c>
      <c r="L13" s="2">
        <v>6.82</v>
      </c>
      <c r="M13" s="2">
        <v>8.3800000000000008</v>
      </c>
      <c r="N13" s="35">
        <v>6.7</v>
      </c>
      <c r="O13" s="4">
        <v>8.27</v>
      </c>
      <c r="P13" s="2">
        <v>6.92</v>
      </c>
      <c r="Q13" s="28">
        <v>8.14</v>
      </c>
      <c r="R13" s="29">
        <v>7.12</v>
      </c>
      <c r="S13" s="28">
        <v>7.54</v>
      </c>
      <c r="T13" s="2">
        <v>6.74</v>
      </c>
      <c r="U13" s="2">
        <v>7.92</v>
      </c>
      <c r="V13" s="3">
        <v>6.72</v>
      </c>
      <c r="W13" s="32">
        <v>8</v>
      </c>
      <c r="X13" s="2">
        <v>6.77</v>
      </c>
      <c r="Y13" s="4">
        <v>7.85</v>
      </c>
      <c r="Z13" s="2">
        <v>6.74</v>
      </c>
      <c r="AA13" s="32">
        <v>7.8</v>
      </c>
      <c r="AB13" s="214"/>
      <c r="AC13" s="211"/>
      <c r="AD13" s="2">
        <v>6.65</v>
      </c>
      <c r="AE13" s="28">
        <v>8.24</v>
      </c>
      <c r="AF13" s="2">
        <v>6.73</v>
      </c>
      <c r="AG13" s="28">
        <v>8.35</v>
      </c>
      <c r="AH13" s="2">
        <v>6.86</v>
      </c>
      <c r="AI13" s="4">
        <v>8.26</v>
      </c>
      <c r="AJ13" s="6">
        <v>6.98</v>
      </c>
      <c r="AK13" s="2">
        <v>8.16</v>
      </c>
      <c r="AL13" s="3">
        <v>6.94</v>
      </c>
      <c r="AM13" s="32">
        <v>8</v>
      </c>
      <c r="AN13" s="6">
        <v>6.79</v>
      </c>
      <c r="AO13" s="2">
        <v>7.87</v>
      </c>
      <c r="AP13" s="3">
        <v>6.88</v>
      </c>
      <c r="AQ13" s="28">
        <v>8.0399999999999991</v>
      </c>
      <c r="AR13" s="2">
        <v>6.95</v>
      </c>
      <c r="AS13" s="4">
        <v>7.97</v>
      </c>
      <c r="AT13" s="2">
        <v>6.71</v>
      </c>
      <c r="AU13" s="28">
        <v>7.75</v>
      </c>
      <c r="AV13" s="2">
        <v>6.67</v>
      </c>
      <c r="AW13" s="28">
        <v>7.63</v>
      </c>
      <c r="AX13" s="3">
        <v>6.75</v>
      </c>
      <c r="AY13" s="2">
        <v>7.61</v>
      </c>
      <c r="AZ13" s="35">
        <v>6.7</v>
      </c>
      <c r="BA13" s="28">
        <v>7.91</v>
      </c>
      <c r="BB13" s="2">
        <v>6.86</v>
      </c>
      <c r="BC13" s="7">
        <v>7.8</v>
      </c>
      <c r="BD13" s="2">
        <v>6.88</v>
      </c>
      <c r="BE13" s="28">
        <v>7.46</v>
      </c>
      <c r="BF13" s="2">
        <v>6.72</v>
      </c>
      <c r="BG13" s="28">
        <v>7.44</v>
      </c>
      <c r="BH13" s="35">
        <v>6.8</v>
      </c>
      <c r="BI13" s="2">
        <v>7.39</v>
      </c>
      <c r="BJ13" s="3">
        <v>6.76</v>
      </c>
      <c r="BK13" s="28">
        <v>7.52</v>
      </c>
      <c r="BL13" s="2">
        <v>6.96</v>
      </c>
      <c r="BM13" s="4">
        <v>7.47</v>
      </c>
      <c r="BN13" s="2">
        <v>6.68</v>
      </c>
      <c r="BO13" s="28">
        <v>7.36</v>
      </c>
      <c r="BP13" s="210"/>
      <c r="BQ13" s="211"/>
      <c r="BR13" s="3">
        <v>6.88</v>
      </c>
      <c r="BS13" s="2">
        <v>8.2100000000000009</v>
      </c>
      <c r="BT13" s="3">
        <v>6.78</v>
      </c>
      <c r="BU13" s="28">
        <v>8.2100000000000009</v>
      </c>
      <c r="BV13" s="2">
        <v>7.07</v>
      </c>
      <c r="BW13" s="4">
        <v>8.26</v>
      </c>
      <c r="BX13" s="2">
        <v>7.06</v>
      </c>
      <c r="BY13" s="28">
        <v>7.99</v>
      </c>
      <c r="BZ13" s="3">
        <v>6.96</v>
      </c>
      <c r="CA13" s="28">
        <v>8.15</v>
      </c>
      <c r="CB13" s="3">
        <v>7.06</v>
      </c>
      <c r="CC13" s="2">
        <v>7.99</v>
      </c>
      <c r="CD13" s="3">
        <v>6.91</v>
      </c>
      <c r="CE13" s="28">
        <v>7.82</v>
      </c>
      <c r="CF13" s="2">
        <v>7.17</v>
      </c>
      <c r="CG13" s="4">
        <v>7.86</v>
      </c>
      <c r="CH13" s="2">
        <v>7.15</v>
      </c>
      <c r="CI13" s="28">
        <v>7.69</v>
      </c>
      <c r="CJ13" s="35">
        <v>7.1</v>
      </c>
      <c r="CK13" s="28">
        <v>7.97</v>
      </c>
      <c r="CL13" s="3">
        <v>7.05</v>
      </c>
      <c r="CM13" s="2">
        <v>7.75</v>
      </c>
      <c r="CN13" s="3">
        <v>7.04</v>
      </c>
      <c r="CO13" s="28">
        <v>7.61</v>
      </c>
      <c r="CP13" s="2">
        <v>7.24</v>
      </c>
      <c r="CQ13" s="4">
        <v>7.97</v>
      </c>
      <c r="CR13" s="2">
        <v>7.13</v>
      </c>
      <c r="CS13" s="28">
        <v>7.51</v>
      </c>
      <c r="CT13" s="3">
        <v>6.88</v>
      </c>
      <c r="CU13" s="28">
        <v>7.64</v>
      </c>
      <c r="CV13" s="35">
        <v>7</v>
      </c>
      <c r="CW13" s="2">
        <v>7.41</v>
      </c>
      <c r="CX13" s="3">
        <v>6.88</v>
      </c>
      <c r="CY13" s="32">
        <v>7.5</v>
      </c>
      <c r="CZ13" s="2">
        <v>7.09</v>
      </c>
      <c r="DA13" s="4">
        <v>6.94</v>
      </c>
      <c r="DB13" s="2">
        <v>6.73</v>
      </c>
      <c r="DC13" s="28">
        <v>7.24</v>
      </c>
      <c r="DD13" s="3">
        <v>7.23</v>
      </c>
      <c r="DE13" s="28">
        <v>6.29</v>
      </c>
      <c r="DF13" s="2">
        <v>6.54</v>
      </c>
      <c r="DG13" s="2">
        <v>7.85</v>
      </c>
      <c r="DH13" s="3">
        <v>7.23</v>
      </c>
      <c r="DI13" s="32">
        <v>6.43</v>
      </c>
      <c r="DJ13" s="2">
        <v>6.53</v>
      </c>
      <c r="DK13" s="4">
        <v>7.61</v>
      </c>
      <c r="DL13" s="2">
        <v>6.85</v>
      </c>
      <c r="DM13" s="32">
        <v>8</v>
      </c>
      <c r="DN13" s="3">
        <v>6.57</v>
      </c>
      <c r="DO13" s="28">
        <v>7.85</v>
      </c>
      <c r="DP13" s="2">
        <v>6.49</v>
      </c>
      <c r="DQ13" s="2">
        <v>7.61</v>
      </c>
      <c r="DR13" s="3">
        <v>6.53</v>
      </c>
      <c r="DS13" s="32">
        <v>7.66</v>
      </c>
      <c r="DT13" s="2">
        <v>6.47</v>
      </c>
      <c r="DU13" s="4">
        <v>7.67</v>
      </c>
      <c r="DV13" s="2">
        <v>6.59</v>
      </c>
      <c r="DW13" s="28">
        <v>7.64</v>
      </c>
      <c r="DX13" s="3">
        <v>6.75</v>
      </c>
      <c r="DY13" s="28">
        <v>7.63</v>
      </c>
      <c r="DZ13" s="2">
        <v>6.67</v>
      </c>
      <c r="EA13" s="2">
        <v>7.35</v>
      </c>
      <c r="EB13" s="3">
        <v>6.27</v>
      </c>
      <c r="EC13" s="32">
        <v>7.4</v>
      </c>
      <c r="ED13" s="2">
        <v>6.27</v>
      </c>
      <c r="EE13" s="4">
        <v>7.92</v>
      </c>
      <c r="EF13" s="2">
        <v>6.46</v>
      </c>
      <c r="EG13" s="28">
        <v>7.67</v>
      </c>
      <c r="EH13" s="3">
        <v>6.29</v>
      </c>
      <c r="EI13" s="28">
        <v>7.73</v>
      </c>
      <c r="EJ13" s="2">
        <v>6.43</v>
      </c>
      <c r="EK13" s="2">
        <v>7.49</v>
      </c>
      <c r="EL13" s="3">
        <v>6.89</v>
      </c>
      <c r="EM13" s="32">
        <v>7.59</v>
      </c>
      <c r="EN13" s="2">
        <v>6.85</v>
      </c>
      <c r="EO13" s="4">
        <v>7.15</v>
      </c>
      <c r="EP13" s="2">
        <v>6.62</v>
      </c>
      <c r="EQ13" s="28">
        <v>7.68</v>
      </c>
      <c r="ER13" s="3">
        <v>7.12</v>
      </c>
      <c r="ES13" s="32">
        <v>7.9</v>
      </c>
      <c r="ET13" s="2">
        <v>6.57</v>
      </c>
      <c r="EU13" s="2">
        <v>7.56</v>
      </c>
      <c r="EV13" s="3">
        <v>6.45</v>
      </c>
      <c r="EW13" s="32">
        <v>7.6</v>
      </c>
      <c r="EX13" s="2">
        <v>6.19</v>
      </c>
      <c r="EY13" s="4">
        <v>7.61</v>
      </c>
      <c r="EZ13" s="2">
        <v>7.02</v>
      </c>
      <c r="FA13" s="28">
        <v>7.44</v>
      </c>
      <c r="FB13" s="35">
        <v>6.6</v>
      </c>
      <c r="FC13" s="6">
        <v>6.9</v>
      </c>
      <c r="FD13" s="3">
        <v>6.27</v>
      </c>
      <c r="FE13" s="28">
        <v>6.61</v>
      </c>
      <c r="FF13" s="2">
        <v>6.25</v>
      </c>
      <c r="FG13" s="32">
        <v>7.45</v>
      </c>
      <c r="FH13" s="2">
        <v>6.72</v>
      </c>
      <c r="FI13" s="4">
        <v>7.82</v>
      </c>
      <c r="FJ13" s="2">
        <v>6.35</v>
      </c>
      <c r="FK13" s="28">
        <v>7.31</v>
      </c>
      <c r="FL13" s="3">
        <v>6.12</v>
      </c>
      <c r="FM13" s="28">
        <v>7.06</v>
      </c>
      <c r="FN13" s="2">
        <v>6.23</v>
      </c>
      <c r="FO13" s="2">
        <v>7.09</v>
      </c>
      <c r="FP13" s="35">
        <v>6.3</v>
      </c>
      <c r="FQ13" s="32">
        <v>7.7</v>
      </c>
      <c r="FR13" s="2">
        <v>6.38</v>
      </c>
      <c r="FS13" s="4">
        <v>7.86</v>
      </c>
      <c r="FT13" s="2">
        <v>6.43</v>
      </c>
      <c r="FU13" s="32">
        <v>7.9</v>
      </c>
      <c r="FV13" s="2">
        <v>6.19</v>
      </c>
      <c r="FW13" s="2">
        <v>7.45</v>
      </c>
      <c r="FX13" s="3">
        <v>6.23</v>
      </c>
      <c r="FY13" s="28">
        <v>7.87</v>
      </c>
      <c r="FZ13" s="3">
        <v>6.19</v>
      </c>
      <c r="GA13" s="32">
        <v>7.45</v>
      </c>
      <c r="GB13" s="2">
        <v>6.53</v>
      </c>
      <c r="GC13" s="4">
        <v>8.09</v>
      </c>
      <c r="GD13" s="2">
        <v>6.46</v>
      </c>
      <c r="GE13" s="28">
        <v>7.82</v>
      </c>
      <c r="GF13" s="3">
        <v>6.96</v>
      </c>
      <c r="GG13" s="28">
        <v>7.97</v>
      </c>
      <c r="GH13" s="2">
        <v>6.74</v>
      </c>
      <c r="GI13" s="2">
        <v>7.86</v>
      </c>
      <c r="GJ13" s="3">
        <v>6.61</v>
      </c>
      <c r="GK13" s="32">
        <v>7.92</v>
      </c>
      <c r="GL13" s="2">
        <v>6.8</v>
      </c>
      <c r="GM13" s="4">
        <v>7.28</v>
      </c>
      <c r="GN13" s="2">
        <v>6.95</v>
      </c>
      <c r="GO13" s="28">
        <v>7.63</v>
      </c>
      <c r="GP13" s="3">
        <v>6.73</v>
      </c>
      <c r="GQ13" s="28">
        <v>7.93</v>
      </c>
      <c r="GR13" s="2">
        <v>6.89</v>
      </c>
      <c r="GS13" s="2">
        <v>7.38</v>
      </c>
      <c r="GT13" s="3">
        <v>6.9</v>
      </c>
      <c r="GU13" s="32">
        <v>7.84</v>
      </c>
      <c r="GV13" s="2">
        <v>6.78</v>
      </c>
      <c r="GW13" s="4">
        <v>7.23</v>
      </c>
    </row>
    <row r="14" spans="1:1046" x14ac:dyDescent="0.2">
      <c r="A14" s="2"/>
      <c r="B14" s="215" t="s">
        <v>85</v>
      </c>
      <c r="C14" s="23">
        <v>2</v>
      </c>
      <c r="D14" s="212">
        <v>7.18</v>
      </c>
      <c r="E14" s="213">
        <v>8.58</v>
      </c>
      <c r="F14" s="6">
        <v>7.06</v>
      </c>
      <c r="G14" s="6">
        <v>8.3000000000000007</v>
      </c>
      <c r="H14" s="3">
        <v>6.95</v>
      </c>
      <c r="I14" s="32">
        <v>8.56</v>
      </c>
      <c r="J14" s="36">
        <v>7.64</v>
      </c>
      <c r="K14" s="216">
        <v>9.06</v>
      </c>
      <c r="L14" s="2">
        <v>6.83</v>
      </c>
      <c r="M14" s="2">
        <v>8.3800000000000008</v>
      </c>
      <c r="N14" s="3">
        <v>6.74</v>
      </c>
      <c r="O14" s="4">
        <v>8.2799999999999994</v>
      </c>
      <c r="P14" s="2">
        <v>6.96</v>
      </c>
      <c r="Q14" s="28">
        <v>8.11</v>
      </c>
      <c r="R14" s="36">
        <v>7.25</v>
      </c>
      <c r="S14" s="28">
        <v>7.56</v>
      </c>
      <c r="T14" s="2">
        <v>6.78</v>
      </c>
      <c r="U14" s="2">
        <v>7.94</v>
      </c>
      <c r="V14" s="3">
        <v>6.73</v>
      </c>
      <c r="W14" s="28">
        <v>8.02</v>
      </c>
      <c r="X14" s="2">
        <v>6.83</v>
      </c>
      <c r="Y14" s="4">
        <v>7.88</v>
      </c>
      <c r="Z14" s="2">
        <v>6.78</v>
      </c>
      <c r="AA14" s="28">
        <v>7.81</v>
      </c>
      <c r="AB14" s="214"/>
      <c r="AC14" s="211"/>
      <c r="AD14" s="2">
        <v>6.66</v>
      </c>
      <c r="AE14" s="28">
        <v>8.2899999999999991</v>
      </c>
      <c r="AF14" s="2">
        <v>6.74</v>
      </c>
      <c r="AG14" s="28">
        <v>8.35</v>
      </c>
      <c r="AH14" s="2">
        <v>6.88</v>
      </c>
      <c r="AI14" s="4">
        <v>8.2899999999999991</v>
      </c>
      <c r="AJ14" s="6">
        <v>7</v>
      </c>
      <c r="AK14" s="217">
        <v>8.2200000000000006</v>
      </c>
      <c r="AL14" s="3">
        <v>6.93</v>
      </c>
      <c r="AM14" s="28">
        <v>8.0399999999999991</v>
      </c>
      <c r="AN14" s="6">
        <v>6.81</v>
      </c>
      <c r="AO14" s="2">
        <v>7.91</v>
      </c>
      <c r="AP14" s="35">
        <v>6.9</v>
      </c>
      <c r="AQ14" s="28">
        <v>8.08</v>
      </c>
      <c r="AR14" s="2">
        <v>6.97</v>
      </c>
      <c r="AS14" s="4">
        <v>7.99</v>
      </c>
      <c r="AT14" s="2">
        <v>6.73</v>
      </c>
      <c r="AU14" s="28">
        <v>7.77</v>
      </c>
      <c r="AV14" s="2">
        <v>6.68</v>
      </c>
      <c r="AW14" s="28">
        <v>7.64</v>
      </c>
      <c r="AX14" s="35">
        <v>6.8</v>
      </c>
      <c r="AY14" s="2">
        <v>7.61</v>
      </c>
      <c r="AZ14" s="3">
        <v>6.73</v>
      </c>
      <c r="BA14" s="28">
        <v>7.93</v>
      </c>
      <c r="BB14" s="2">
        <v>6.82</v>
      </c>
      <c r="BC14" s="4">
        <v>7.82</v>
      </c>
      <c r="BD14" s="2">
        <v>6.89</v>
      </c>
      <c r="BE14" s="28">
        <v>7.48</v>
      </c>
      <c r="BF14" s="2">
        <v>6.74</v>
      </c>
      <c r="BG14" s="28">
        <v>7.46</v>
      </c>
      <c r="BH14" s="3">
        <v>6.82</v>
      </c>
      <c r="BI14" s="2">
        <v>7.39</v>
      </c>
      <c r="BJ14" s="3">
        <v>6.78</v>
      </c>
      <c r="BK14" s="28">
        <v>7.55</v>
      </c>
      <c r="BL14" s="2">
        <v>6.98</v>
      </c>
      <c r="BM14" s="4">
        <v>7.47</v>
      </c>
      <c r="BN14" s="2">
        <v>6.64</v>
      </c>
      <c r="BO14" s="28">
        <v>7.38</v>
      </c>
      <c r="BP14" s="210"/>
      <c r="BQ14" s="211"/>
      <c r="BR14" s="3">
        <v>6.89</v>
      </c>
      <c r="BS14" s="2">
        <v>8.2200000000000006</v>
      </c>
      <c r="BT14" s="3">
        <v>6.81</v>
      </c>
      <c r="BU14" s="33">
        <v>8.36</v>
      </c>
      <c r="BV14" s="2">
        <v>7.09</v>
      </c>
      <c r="BW14" s="4">
        <v>8.31</v>
      </c>
      <c r="BX14" s="2">
        <v>7.08</v>
      </c>
      <c r="BY14" s="28">
        <v>8.01</v>
      </c>
      <c r="BZ14" s="3">
        <v>6.97</v>
      </c>
      <c r="CA14" s="28">
        <v>8.16</v>
      </c>
      <c r="CB14" s="3">
        <v>7.09</v>
      </c>
      <c r="CC14" s="2">
        <v>7.97</v>
      </c>
      <c r="CD14" s="3">
        <v>6.94</v>
      </c>
      <c r="CE14" s="28">
        <v>7.85</v>
      </c>
      <c r="CF14" s="2">
        <v>7.18</v>
      </c>
      <c r="CG14" s="4">
        <v>7.89</v>
      </c>
      <c r="CH14" s="2">
        <v>7.15</v>
      </c>
      <c r="CI14" s="28">
        <v>7.71</v>
      </c>
      <c r="CJ14" s="3">
        <v>7.12</v>
      </c>
      <c r="CK14" s="28">
        <v>7.99</v>
      </c>
      <c r="CL14" s="3">
        <v>7.06</v>
      </c>
      <c r="CM14" s="2">
        <v>7.74</v>
      </c>
      <c r="CN14" s="3">
        <v>7.04</v>
      </c>
      <c r="CO14" s="28">
        <v>7.63</v>
      </c>
      <c r="CP14" s="2">
        <v>7.24</v>
      </c>
      <c r="CQ14" s="4">
        <v>7.99</v>
      </c>
      <c r="CR14" s="2">
        <v>7.08</v>
      </c>
      <c r="CS14" s="28">
        <v>7.52</v>
      </c>
      <c r="CT14" s="3">
        <v>6.88</v>
      </c>
      <c r="CU14" s="28">
        <v>7.62</v>
      </c>
      <c r="CV14" s="3">
        <v>7.02</v>
      </c>
      <c r="CW14" s="2">
        <v>7.41</v>
      </c>
      <c r="CX14" s="35">
        <v>6.9</v>
      </c>
      <c r="CY14" s="28">
        <v>7.52</v>
      </c>
      <c r="CZ14" s="6">
        <v>7.1</v>
      </c>
      <c r="DA14" s="4">
        <v>6.96</v>
      </c>
      <c r="DB14" s="2">
        <v>7.73</v>
      </c>
      <c r="DC14" s="28">
        <v>7.26</v>
      </c>
      <c r="DD14" s="3">
        <v>7.24</v>
      </c>
      <c r="DE14" s="28">
        <v>6.29</v>
      </c>
      <c r="DF14" s="2">
        <v>6.56</v>
      </c>
      <c r="DG14" s="2">
        <v>7.86</v>
      </c>
      <c r="DH14" s="3">
        <v>7.24</v>
      </c>
      <c r="DI14" s="28">
        <v>6.41</v>
      </c>
      <c r="DJ14" s="2">
        <v>6.54</v>
      </c>
      <c r="DK14" s="4">
        <v>7.63</v>
      </c>
      <c r="DL14" s="2">
        <v>6.87</v>
      </c>
      <c r="DM14" s="32">
        <v>8</v>
      </c>
      <c r="DN14" s="3">
        <v>6.59</v>
      </c>
      <c r="DO14" s="28">
        <v>7.85</v>
      </c>
      <c r="DP14" s="6">
        <v>6.5</v>
      </c>
      <c r="DQ14" s="2">
        <v>7.63</v>
      </c>
      <c r="DR14" s="36">
        <v>6.35</v>
      </c>
      <c r="DS14" s="28">
        <v>7.62</v>
      </c>
      <c r="DT14" s="2">
        <v>6.49</v>
      </c>
      <c r="DU14" s="4">
        <v>7.68</v>
      </c>
      <c r="DV14" s="2">
        <v>6.62</v>
      </c>
      <c r="DW14" s="28">
        <v>7.64</v>
      </c>
      <c r="DX14" s="3">
        <v>6.75</v>
      </c>
      <c r="DY14" s="28">
        <v>7.63</v>
      </c>
      <c r="DZ14" s="2">
        <v>6.67</v>
      </c>
      <c r="EA14" s="2">
        <v>7.37</v>
      </c>
      <c r="EB14" s="3">
        <v>6.25</v>
      </c>
      <c r="EC14" s="28">
        <v>7.37</v>
      </c>
      <c r="ED14" s="2">
        <v>6.26</v>
      </c>
      <c r="EE14" s="4">
        <v>7.94</v>
      </c>
      <c r="EF14" s="2">
        <v>6.47</v>
      </c>
      <c r="EG14" s="28">
        <v>7.69</v>
      </c>
      <c r="EH14" s="3">
        <v>6.28</v>
      </c>
      <c r="EI14" s="28">
        <v>7.78</v>
      </c>
      <c r="EJ14" s="2">
        <v>6.47</v>
      </c>
      <c r="EK14" s="2">
        <v>7.51</v>
      </c>
      <c r="EL14" s="3">
        <v>6.91</v>
      </c>
      <c r="EM14" s="28">
        <v>7.6</v>
      </c>
      <c r="EN14" s="2">
        <v>6.87</v>
      </c>
      <c r="EO14" s="4">
        <v>7.17</v>
      </c>
      <c r="EP14" s="2">
        <v>6.64</v>
      </c>
      <c r="EQ14" s="32">
        <v>7.7</v>
      </c>
      <c r="ER14" s="3">
        <v>7.13</v>
      </c>
      <c r="ES14" s="32">
        <v>7.89</v>
      </c>
      <c r="ET14" s="2">
        <v>6.58</v>
      </c>
      <c r="EU14" s="2">
        <v>7.58</v>
      </c>
      <c r="EV14" s="3">
        <v>6.47</v>
      </c>
      <c r="EW14" s="28">
        <v>7.62</v>
      </c>
      <c r="EX14" s="2">
        <v>6.21</v>
      </c>
      <c r="EY14" s="4">
        <v>7.63</v>
      </c>
      <c r="EZ14" s="2">
        <v>7.03</v>
      </c>
      <c r="FA14" s="28">
        <v>7.45</v>
      </c>
      <c r="FB14" s="3">
        <v>6.67</v>
      </c>
      <c r="FC14" s="2">
        <v>6.89</v>
      </c>
      <c r="FD14" s="3">
        <v>6.28</v>
      </c>
      <c r="FE14" s="28">
        <v>6.61</v>
      </c>
      <c r="FF14" s="2">
        <v>6.24</v>
      </c>
      <c r="FG14" s="28">
        <v>7.41</v>
      </c>
      <c r="FH14" s="2">
        <v>6.71</v>
      </c>
      <c r="FI14" s="4">
        <v>7.81</v>
      </c>
      <c r="FJ14" s="2">
        <v>6.36</v>
      </c>
      <c r="FK14" s="28">
        <v>7.31</v>
      </c>
      <c r="FL14" s="3">
        <v>6.13</v>
      </c>
      <c r="FM14" s="28">
        <v>7.08</v>
      </c>
      <c r="FN14" s="2">
        <v>6.22</v>
      </c>
      <c r="FO14" s="2">
        <v>7.09</v>
      </c>
      <c r="FP14" s="3">
        <v>6.31</v>
      </c>
      <c r="FQ14" s="28">
        <v>7.75</v>
      </c>
      <c r="FR14" s="2">
        <v>6.37</v>
      </c>
      <c r="FS14" s="4">
        <v>7.87</v>
      </c>
      <c r="FT14" s="2">
        <v>6.43</v>
      </c>
      <c r="FU14" s="28">
        <v>7.96</v>
      </c>
      <c r="FV14" s="2">
        <v>6.21</v>
      </c>
      <c r="FW14" s="2">
        <v>7.47</v>
      </c>
      <c r="FX14" s="3">
        <v>6.25</v>
      </c>
      <c r="FY14" s="28">
        <v>7.89</v>
      </c>
      <c r="FZ14" s="3">
        <v>6.21</v>
      </c>
      <c r="GA14" s="28">
        <v>7.47</v>
      </c>
      <c r="GB14" s="2">
        <v>6.55</v>
      </c>
      <c r="GC14" s="4">
        <v>8.11</v>
      </c>
      <c r="GD14" s="2">
        <v>6.47</v>
      </c>
      <c r="GE14" s="28">
        <v>7.81</v>
      </c>
      <c r="GF14" s="3">
        <v>6.98</v>
      </c>
      <c r="GG14" s="28">
        <v>7.98</v>
      </c>
      <c r="GH14" s="2">
        <v>6.74</v>
      </c>
      <c r="GI14" s="2">
        <v>7.87</v>
      </c>
      <c r="GJ14" s="3">
        <v>6.62</v>
      </c>
      <c r="GK14" s="28">
        <v>7.94</v>
      </c>
      <c r="GL14" s="2">
        <v>6.79</v>
      </c>
      <c r="GM14" s="4">
        <v>7.27</v>
      </c>
      <c r="GN14" s="2">
        <v>6.95</v>
      </c>
      <c r="GO14" s="28">
        <v>7.61</v>
      </c>
      <c r="GP14" s="3">
        <v>7.74</v>
      </c>
      <c r="GQ14" s="28">
        <v>7.95</v>
      </c>
      <c r="GR14" s="2">
        <v>6.91</v>
      </c>
      <c r="GS14" s="2">
        <v>7.39</v>
      </c>
      <c r="GT14" s="3">
        <v>6.92</v>
      </c>
      <c r="GU14" s="28">
        <v>7.84</v>
      </c>
      <c r="GV14" s="2">
        <v>6.76</v>
      </c>
      <c r="GW14" s="4">
        <v>7.25</v>
      </c>
    </row>
    <row r="15" spans="1:1046" x14ac:dyDescent="0.2">
      <c r="A15" s="2"/>
      <c r="B15" s="215" t="s">
        <v>86</v>
      </c>
      <c r="C15" s="23">
        <v>3</v>
      </c>
      <c r="D15" s="212">
        <v>7.21</v>
      </c>
      <c r="E15" s="213">
        <v>8.48</v>
      </c>
      <c r="F15" s="6">
        <v>7.07</v>
      </c>
      <c r="G15" s="2">
        <v>8.34</v>
      </c>
      <c r="H15" s="3">
        <v>6.98</v>
      </c>
      <c r="I15" s="28">
        <v>8.51</v>
      </c>
      <c r="J15" s="3">
        <v>7.71</v>
      </c>
      <c r="K15" s="218">
        <v>9.07</v>
      </c>
      <c r="L15" s="2">
        <v>6.84</v>
      </c>
      <c r="M15" s="6">
        <v>8.4</v>
      </c>
      <c r="N15" s="3">
        <v>6.77</v>
      </c>
      <c r="O15" s="4">
        <v>8.33</v>
      </c>
      <c r="P15" s="2">
        <v>6.94</v>
      </c>
      <c r="Q15" s="28">
        <v>8.15</v>
      </c>
      <c r="R15" s="36">
        <v>7.26</v>
      </c>
      <c r="S15" s="28">
        <v>7.58</v>
      </c>
      <c r="T15" s="2">
        <v>6.78</v>
      </c>
      <c r="U15" s="2">
        <v>7.95</v>
      </c>
      <c r="V15" s="3">
        <v>6.73</v>
      </c>
      <c r="W15" s="28">
        <v>8.0399999999999991</v>
      </c>
      <c r="X15" s="2">
        <v>6.84</v>
      </c>
      <c r="Y15" s="7">
        <v>7.9</v>
      </c>
      <c r="Z15" s="2">
        <v>6.76</v>
      </c>
      <c r="AA15" s="32">
        <v>7.8</v>
      </c>
      <c r="AB15" s="214"/>
      <c r="AC15" s="211"/>
      <c r="AD15" s="2">
        <v>6.65</v>
      </c>
      <c r="AE15" s="32">
        <v>8.3000000000000007</v>
      </c>
      <c r="AF15" s="2">
        <v>6.76</v>
      </c>
      <c r="AG15" s="28">
        <v>8.3800000000000008</v>
      </c>
      <c r="AH15" s="2">
        <v>6.89</v>
      </c>
      <c r="AI15" s="4">
        <v>8.31</v>
      </c>
      <c r="AJ15" s="6">
        <v>7.04</v>
      </c>
      <c r="AK15" s="217">
        <v>8.2200000000000006</v>
      </c>
      <c r="AL15" s="3">
        <v>6.92</v>
      </c>
      <c r="AM15" s="28">
        <v>8.06</v>
      </c>
      <c r="AN15" s="6">
        <v>6.82</v>
      </c>
      <c r="AO15" s="2">
        <v>7.93</v>
      </c>
      <c r="AP15" s="3">
        <v>6.91</v>
      </c>
      <c r="AQ15" s="28">
        <v>8.09</v>
      </c>
      <c r="AR15" s="2">
        <v>6.98</v>
      </c>
      <c r="AS15" s="4">
        <v>8.01</v>
      </c>
      <c r="AT15" s="2">
        <v>6.77</v>
      </c>
      <c r="AU15" s="28">
        <v>7.81</v>
      </c>
      <c r="AV15" s="6">
        <v>6.7</v>
      </c>
      <c r="AW15" s="28">
        <v>7.65</v>
      </c>
      <c r="AX15" s="3">
        <v>6.81</v>
      </c>
      <c r="AY15" s="2">
        <v>7.62</v>
      </c>
      <c r="AZ15" s="3">
        <v>6.76</v>
      </c>
      <c r="BA15" s="28">
        <v>7.95</v>
      </c>
      <c r="BB15" s="2">
        <v>6.84</v>
      </c>
      <c r="BC15" s="4">
        <v>7.83</v>
      </c>
      <c r="BD15" s="6">
        <v>6.9</v>
      </c>
      <c r="BE15" s="28">
        <v>7.49</v>
      </c>
      <c r="BF15" s="2">
        <v>6.76</v>
      </c>
      <c r="BG15" s="28">
        <v>7.48</v>
      </c>
      <c r="BH15" s="3">
        <v>6.84</v>
      </c>
      <c r="BI15" s="2">
        <v>7.41</v>
      </c>
      <c r="BJ15" s="3">
        <v>6.78</v>
      </c>
      <c r="BK15" s="28">
        <v>7.57</v>
      </c>
      <c r="BL15" s="2">
        <v>6.98</v>
      </c>
      <c r="BM15" s="7">
        <v>7.5</v>
      </c>
      <c r="BN15" s="6">
        <v>6.7</v>
      </c>
      <c r="BO15" s="28">
        <v>7.43</v>
      </c>
      <c r="BP15" s="210"/>
      <c r="BQ15" s="211"/>
      <c r="BR15" s="3">
        <v>6.91</v>
      </c>
      <c r="BS15" s="2">
        <v>8.25</v>
      </c>
      <c r="BT15" s="3">
        <v>6.82</v>
      </c>
      <c r="BU15" s="33">
        <v>8.34</v>
      </c>
      <c r="BV15" s="2">
        <v>7.11</v>
      </c>
      <c r="BW15" s="4">
        <v>8.31</v>
      </c>
      <c r="BX15" s="6">
        <v>7.1</v>
      </c>
      <c r="BY15" s="28">
        <v>8.0299999999999994</v>
      </c>
      <c r="BZ15" s="3">
        <v>6.97</v>
      </c>
      <c r="CA15" s="28">
        <v>8.16</v>
      </c>
      <c r="CB15" s="3">
        <v>7.12</v>
      </c>
      <c r="CC15" s="6">
        <v>8</v>
      </c>
      <c r="CD15" s="3">
        <v>6.97</v>
      </c>
      <c r="CE15" s="28">
        <v>7.86</v>
      </c>
      <c r="CF15" s="2">
        <v>7.23</v>
      </c>
      <c r="CG15" s="4">
        <v>7.94</v>
      </c>
      <c r="CH15" s="6">
        <v>7.17</v>
      </c>
      <c r="CI15" s="28">
        <v>7.72</v>
      </c>
      <c r="CJ15" s="3">
        <v>7.12</v>
      </c>
      <c r="CK15" s="28">
        <v>7.99</v>
      </c>
      <c r="CL15" s="3">
        <v>7.07</v>
      </c>
      <c r="CM15" s="2">
        <v>7.77</v>
      </c>
      <c r="CN15" s="3">
        <v>7.04</v>
      </c>
      <c r="CO15" s="28">
        <v>7.62</v>
      </c>
      <c r="CP15" s="2">
        <v>7.24</v>
      </c>
      <c r="CQ15" s="4">
        <v>7.99</v>
      </c>
      <c r="CR15" s="6">
        <v>7.09</v>
      </c>
      <c r="CS15" s="28">
        <v>7.53</v>
      </c>
      <c r="CT15" s="35">
        <v>6.9</v>
      </c>
      <c r="CU15" s="28">
        <v>7.64</v>
      </c>
      <c r="CV15" s="3">
        <v>7.03</v>
      </c>
      <c r="CW15" s="2">
        <v>7.42</v>
      </c>
      <c r="CX15" s="35">
        <v>6.9</v>
      </c>
      <c r="CY15" s="28">
        <v>7.56</v>
      </c>
      <c r="CZ15" s="6">
        <v>7.1</v>
      </c>
      <c r="DA15" s="4">
        <v>6.98</v>
      </c>
      <c r="DB15" s="2">
        <v>6.72</v>
      </c>
      <c r="DC15" s="28">
        <v>7.28</v>
      </c>
      <c r="DD15" s="3">
        <v>7.25</v>
      </c>
      <c r="DE15" s="28">
        <v>6.28</v>
      </c>
      <c r="DF15" s="2">
        <v>6.56</v>
      </c>
      <c r="DG15" s="2">
        <v>7.86</v>
      </c>
      <c r="DH15" s="3">
        <v>7.24</v>
      </c>
      <c r="DI15" s="28">
        <v>6.4</v>
      </c>
      <c r="DJ15" s="2">
        <v>6.52</v>
      </c>
      <c r="DK15" s="4">
        <v>7.6</v>
      </c>
      <c r="DL15" s="2">
        <v>6.85</v>
      </c>
      <c r="DM15" s="32">
        <v>7.99</v>
      </c>
      <c r="DN15" s="3">
        <v>6.61</v>
      </c>
      <c r="DO15" s="28">
        <v>7.87</v>
      </c>
      <c r="DP15" s="6">
        <v>6.5</v>
      </c>
      <c r="DQ15" s="2">
        <v>7.65</v>
      </c>
      <c r="DR15" s="36">
        <v>6.37</v>
      </c>
      <c r="DS15" s="28">
        <v>7.67</v>
      </c>
      <c r="DT15" s="2">
        <v>6.51</v>
      </c>
      <c r="DU15" s="4">
        <v>7.69</v>
      </c>
      <c r="DV15" s="2">
        <v>6.63</v>
      </c>
      <c r="DW15" s="28">
        <v>7.65</v>
      </c>
      <c r="DX15" s="3">
        <v>6.75</v>
      </c>
      <c r="DY15" s="28">
        <v>7.64</v>
      </c>
      <c r="DZ15" s="2">
        <v>6.69</v>
      </c>
      <c r="EA15" s="2">
        <v>7.38</v>
      </c>
      <c r="EB15" s="3">
        <v>6.25</v>
      </c>
      <c r="EC15" s="28">
        <v>7.39</v>
      </c>
      <c r="ED15" s="2">
        <v>6.27</v>
      </c>
      <c r="EE15" s="4">
        <v>7.95</v>
      </c>
      <c r="EF15" s="2">
        <v>6.49</v>
      </c>
      <c r="EG15" s="28">
        <v>7.67</v>
      </c>
      <c r="EH15" s="35">
        <v>6.3</v>
      </c>
      <c r="EI15" s="28">
        <v>7.74</v>
      </c>
      <c r="EJ15" s="2">
        <v>6.49</v>
      </c>
      <c r="EK15" s="2">
        <v>7.53</v>
      </c>
      <c r="EL15" s="3">
        <v>6.92</v>
      </c>
      <c r="EM15" s="28">
        <v>7.61</v>
      </c>
      <c r="EN15" s="2">
        <v>6.84</v>
      </c>
      <c r="EO15" s="4">
        <v>7.18</v>
      </c>
      <c r="EP15" s="2">
        <v>6.65</v>
      </c>
      <c r="EQ15" s="28">
        <v>7.72</v>
      </c>
      <c r="ER15" s="3">
        <v>7.13</v>
      </c>
      <c r="ES15" s="32">
        <v>7.9</v>
      </c>
      <c r="ET15" s="2">
        <v>6.55</v>
      </c>
      <c r="EU15" s="6">
        <v>7.6</v>
      </c>
      <c r="EV15" s="3">
        <v>6.46</v>
      </c>
      <c r="EW15" s="28">
        <v>7.62</v>
      </c>
      <c r="EX15" s="2">
        <v>6.23</v>
      </c>
      <c r="EY15" s="4">
        <v>7.64</v>
      </c>
      <c r="EZ15" s="2">
        <v>7.03</v>
      </c>
      <c r="FA15" s="28">
        <v>7.45</v>
      </c>
      <c r="FB15" s="3">
        <v>6.67</v>
      </c>
      <c r="FC15" s="2">
        <v>6.89</v>
      </c>
      <c r="FD15" s="3">
        <v>6.27</v>
      </c>
      <c r="FE15" s="28">
        <v>6.63</v>
      </c>
      <c r="FF15" s="2">
        <v>6.27</v>
      </c>
      <c r="FG15" s="28">
        <v>7.41</v>
      </c>
      <c r="FH15" s="2">
        <v>6.73</v>
      </c>
      <c r="FI15" s="4">
        <v>7.81</v>
      </c>
      <c r="FJ15" s="2">
        <v>6.37</v>
      </c>
      <c r="FK15" s="28">
        <v>7.33</v>
      </c>
      <c r="FL15" s="3">
        <v>6.14</v>
      </c>
      <c r="FM15" s="28">
        <v>7.08</v>
      </c>
      <c r="FN15" s="2">
        <v>6.23</v>
      </c>
      <c r="FO15" s="2">
        <v>7.1</v>
      </c>
      <c r="FP15" s="3">
        <v>6.32</v>
      </c>
      <c r="FQ15" s="28">
        <v>7.71</v>
      </c>
      <c r="FR15" s="2">
        <v>6.39</v>
      </c>
      <c r="FS15" s="4">
        <v>7.88</v>
      </c>
      <c r="FT15" s="2">
        <v>6.44</v>
      </c>
      <c r="FU15" s="28">
        <v>7.97</v>
      </c>
      <c r="FV15" s="2">
        <v>6.23</v>
      </c>
      <c r="FW15" s="2">
        <v>7.49</v>
      </c>
      <c r="FX15" s="3">
        <v>6.27</v>
      </c>
      <c r="FY15" s="28">
        <v>7.91</v>
      </c>
      <c r="FZ15" s="3">
        <v>6.23</v>
      </c>
      <c r="GA15" s="28">
        <v>7.49</v>
      </c>
      <c r="GB15" s="2">
        <v>6.54</v>
      </c>
      <c r="GC15" s="4">
        <v>8.1300000000000008</v>
      </c>
      <c r="GD15" s="2">
        <v>6.45</v>
      </c>
      <c r="GE15" s="28">
        <v>7.82</v>
      </c>
      <c r="GF15" s="3">
        <v>6.97</v>
      </c>
      <c r="GG15" s="28">
        <v>7.98</v>
      </c>
      <c r="GH15" s="2">
        <v>6.73</v>
      </c>
      <c r="GI15" s="2">
        <v>7.87</v>
      </c>
      <c r="GJ15" s="3">
        <v>6.63</v>
      </c>
      <c r="GK15" s="28">
        <v>7.95</v>
      </c>
      <c r="GL15" s="2">
        <v>6.79</v>
      </c>
      <c r="GM15" s="4">
        <v>7.26</v>
      </c>
      <c r="GN15" s="2">
        <v>6.95</v>
      </c>
      <c r="GO15" s="28">
        <v>7.61</v>
      </c>
      <c r="GP15" s="3">
        <v>6.75</v>
      </c>
      <c r="GQ15" s="28">
        <v>7.96</v>
      </c>
      <c r="GR15" s="2">
        <v>6.9</v>
      </c>
      <c r="GS15" s="2">
        <v>7.36</v>
      </c>
      <c r="GT15" s="3">
        <v>6.92</v>
      </c>
      <c r="GU15" s="28">
        <v>7.84</v>
      </c>
      <c r="GV15" s="2">
        <v>6.78</v>
      </c>
      <c r="GW15" s="4">
        <v>7.23</v>
      </c>
    </row>
    <row r="16" spans="1:1046" s="234" customFormat="1" ht="15" x14ac:dyDescent="0.2">
      <c r="A16" s="2"/>
      <c r="B16" s="219"/>
      <c r="C16" s="220" t="s">
        <v>87</v>
      </c>
      <c r="D16" s="221">
        <f>AVERAGE(D13,D14,D15)</f>
        <v>7.1833333333333336</v>
      </c>
      <c r="E16" s="222">
        <f>AVERAGE(E13,E15)</f>
        <v>8.4550000000000001</v>
      </c>
      <c r="F16" s="223">
        <f>AVERAGE(F13,F14,F15)</f>
        <v>7.0566666666666675</v>
      </c>
      <c r="G16" s="223">
        <f>AVERAGE(G13,G14,G15)</f>
        <v>8.3133333333333344</v>
      </c>
      <c r="H16" s="224">
        <f>AVERAGE(H13,H14,H15)</f>
        <v>6.95</v>
      </c>
      <c r="I16" s="225">
        <f>AVERAGE(I13,I14,I15)</f>
        <v>8.5133333333333336</v>
      </c>
      <c r="J16" s="226">
        <f>AVERAGE(J13,J14)</f>
        <v>7.6050000000000004</v>
      </c>
      <c r="K16" s="227">
        <f>AVERAGE(K13,K14)</f>
        <v>9.004999999999999</v>
      </c>
      <c r="L16" s="228">
        <f t="shared" ref="L16:BC16" si="0">AVERAGE(L13,L14,L15)</f>
        <v>6.830000000000001</v>
      </c>
      <c r="M16" s="223">
        <f>AVERAGE(M13,M14,M15)</f>
        <v>8.3866666666666685</v>
      </c>
      <c r="N16" s="229">
        <f>AVERAGE(N13,N14,N15)</f>
        <v>6.7366666666666672</v>
      </c>
      <c r="O16" s="230">
        <f>AVERAGE(O13,O14,O15)</f>
        <v>8.2933333333333312</v>
      </c>
      <c r="P16" s="228">
        <f>AVERAGE(P13,P14,P15)</f>
        <v>6.94</v>
      </c>
      <c r="Q16" s="225">
        <f t="shared" si="0"/>
        <v>8.1333333333333329</v>
      </c>
      <c r="R16" s="226">
        <f>AVERAGE(R14,R15)</f>
        <v>7.2549999999999999</v>
      </c>
      <c r="S16" s="231">
        <f t="shared" si="0"/>
        <v>7.56</v>
      </c>
      <c r="T16" s="223">
        <f t="shared" si="0"/>
        <v>6.7666666666666666</v>
      </c>
      <c r="U16" s="223">
        <f t="shared" si="0"/>
        <v>7.9366666666666665</v>
      </c>
      <c r="V16" s="229">
        <f t="shared" si="0"/>
        <v>6.7266666666666666</v>
      </c>
      <c r="W16" s="231">
        <f t="shared" si="0"/>
        <v>8.02</v>
      </c>
      <c r="X16" s="223">
        <f t="shared" si="0"/>
        <v>6.8133333333333326</v>
      </c>
      <c r="Y16" s="230">
        <f t="shared" si="0"/>
        <v>7.8766666666666678</v>
      </c>
      <c r="Z16" s="228">
        <f t="shared" si="0"/>
        <v>6.7600000000000007</v>
      </c>
      <c r="AA16" s="225">
        <f t="shared" si="0"/>
        <v>7.8033333333333337</v>
      </c>
      <c r="AB16" s="224"/>
      <c r="AC16" s="231"/>
      <c r="AD16" s="223">
        <f t="shared" si="0"/>
        <v>6.6533333333333333</v>
      </c>
      <c r="AE16" s="225">
        <f t="shared" si="0"/>
        <v>8.2766666666666673</v>
      </c>
      <c r="AF16" s="223">
        <f t="shared" si="0"/>
        <v>6.7433333333333332</v>
      </c>
      <c r="AG16" s="231">
        <f t="shared" si="0"/>
        <v>8.36</v>
      </c>
      <c r="AH16" s="223">
        <f t="shared" si="0"/>
        <v>6.876666666666666</v>
      </c>
      <c r="AI16" s="230">
        <f t="shared" si="0"/>
        <v>8.2866666666666671</v>
      </c>
      <c r="AJ16" s="223">
        <f>AVERAGE(AJ13,AJ14,AJ15)</f>
        <v>7.0066666666666668</v>
      </c>
      <c r="AK16" s="232">
        <f>AVERAGE(AK14,AK15)</f>
        <v>8.2200000000000006</v>
      </c>
      <c r="AL16" s="224">
        <f t="shared" si="0"/>
        <v>6.93</v>
      </c>
      <c r="AM16" s="225">
        <f t="shared" si="0"/>
        <v>8.0333333333333332</v>
      </c>
      <c r="AN16" s="223">
        <f>AVERAGE(AN13,AN14,AN15)</f>
        <v>6.8066666666666675</v>
      </c>
      <c r="AO16" s="223">
        <f t="shared" si="0"/>
        <v>7.9033333333333333</v>
      </c>
      <c r="AP16" s="229">
        <f t="shared" si="0"/>
        <v>6.8966666666666674</v>
      </c>
      <c r="AQ16" s="225">
        <f t="shared" si="0"/>
        <v>8.0699999999999985</v>
      </c>
      <c r="AR16" s="223">
        <f t="shared" si="0"/>
        <v>6.9666666666666659</v>
      </c>
      <c r="AS16" s="230">
        <f t="shared" si="0"/>
        <v>7.9899999999999993</v>
      </c>
      <c r="AT16" s="223">
        <f>AVERAGE(AT13,AT14,AT15)</f>
        <v>6.7366666666666672</v>
      </c>
      <c r="AU16" s="225">
        <f t="shared" si="0"/>
        <v>7.7766666666666664</v>
      </c>
      <c r="AV16" s="223">
        <f t="shared" si="0"/>
        <v>6.6833333333333336</v>
      </c>
      <c r="AW16" s="231">
        <f t="shared" si="0"/>
        <v>7.6400000000000006</v>
      </c>
      <c r="AX16" s="229">
        <f t="shared" si="0"/>
        <v>6.7866666666666662</v>
      </c>
      <c r="AY16" s="223">
        <f t="shared" si="0"/>
        <v>7.6133333333333333</v>
      </c>
      <c r="AZ16" s="224">
        <f t="shared" si="0"/>
        <v>6.7299999999999995</v>
      </c>
      <c r="BA16" s="231">
        <f t="shared" si="0"/>
        <v>7.93</v>
      </c>
      <c r="BB16" s="228">
        <f t="shared" si="0"/>
        <v>6.84</v>
      </c>
      <c r="BC16" s="230">
        <f t="shared" si="0"/>
        <v>7.8166666666666673</v>
      </c>
      <c r="BD16" s="228">
        <f>AVERAGE(BD13,BD14,BD15)</f>
        <v>6.8900000000000006</v>
      </c>
      <c r="BE16" s="225">
        <f t="shared" ref="BE16:BM16" si="1">AVERAGE(BE13,BE14,BE15)</f>
        <v>7.4766666666666666</v>
      </c>
      <c r="BF16" s="223">
        <f t="shared" si="1"/>
        <v>6.7399999999999993</v>
      </c>
      <c r="BG16" s="231">
        <f t="shared" si="1"/>
        <v>7.4600000000000009</v>
      </c>
      <c r="BH16" s="224">
        <f t="shared" si="1"/>
        <v>6.82</v>
      </c>
      <c r="BI16" s="223">
        <f t="shared" si="1"/>
        <v>7.3966666666666656</v>
      </c>
      <c r="BJ16" s="229">
        <f t="shared" si="1"/>
        <v>6.7733333333333334</v>
      </c>
      <c r="BK16" s="225">
        <f t="shared" si="1"/>
        <v>7.5466666666666669</v>
      </c>
      <c r="BL16" s="223">
        <f t="shared" si="1"/>
        <v>6.9733333333333336</v>
      </c>
      <c r="BM16" s="233">
        <f t="shared" si="1"/>
        <v>7.4799999999999995</v>
      </c>
      <c r="BN16" s="223">
        <f>AVERAGE(BN13,BN14,BN15)</f>
        <v>6.6733333333333329</v>
      </c>
      <c r="BO16" s="225">
        <f t="shared" ref="BO16:BW16" si="2">AVERAGE(BO13,BO14,BO15)</f>
        <v>7.3900000000000006</v>
      </c>
      <c r="BP16" s="223"/>
      <c r="BQ16" s="231"/>
      <c r="BR16" s="229">
        <f t="shared" si="2"/>
        <v>6.8933333333333335</v>
      </c>
      <c r="BS16" s="223">
        <f t="shared" si="2"/>
        <v>8.2266666666666666</v>
      </c>
      <c r="BT16" s="229">
        <f t="shared" si="2"/>
        <v>6.8033333333333337</v>
      </c>
      <c r="BU16" s="227">
        <f>AVERAGE(BU14,BU15)</f>
        <v>8.35</v>
      </c>
      <c r="BV16" s="223">
        <f t="shared" si="2"/>
        <v>7.09</v>
      </c>
      <c r="BW16" s="230">
        <f t="shared" si="2"/>
        <v>8.2933333333333348</v>
      </c>
      <c r="BX16" s="228">
        <f>AVERAGE(BX13,BX14,BX15)</f>
        <v>7.080000000000001</v>
      </c>
      <c r="BY16" s="225">
        <f>AVERAGE(BY13,BY14,BY15)</f>
        <v>8.01</v>
      </c>
      <c r="BZ16" s="229">
        <f>AVERAGE(BZ13,BZ14,BZ15)</f>
        <v>6.9666666666666659</v>
      </c>
      <c r="CA16" s="225">
        <f>AVERAGE(CA13,CA14,CA15)</f>
        <v>8.1566666666666681</v>
      </c>
      <c r="CB16" s="224">
        <f t="shared" ref="CB16:CG16" si="3">AVERAGE(CB13,CB14,CB15)</f>
        <v>7.09</v>
      </c>
      <c r="CC16" s="223">
        <f t="shared" si="3"/>
        <v>7.9866666666666672</v>
      </c>
      <c r="CD16" s="229">
        <f t="shared" si="3"/>
        <v>6.94</v>
      </c>
      <c r="CE16" s="225">
        <f t="shared" si="3"/>
        <v>7.8433333333333337</v>
      </c>
      <c r="CF16" s="223">
        <f t="shared" si="3"/>
        <v>7.1933333333333325</v>
      </c>
      <c r="CG16" s="230">
        <f t="shared" si="3"/>
        <v>7.8966666666666674</v>
      </c>
      <c r="CH16" s="223">
        <f>AVERAGE(CH13,CH14,CH15)</f>
        <v>7.1566666666666663</v>
      </c>
      <c r="CI16" s="225">
        <f t="shared" ref="CI16:CQ16" si="4">AVERAGE(CI13,CI14,CI15)</f>
        <v>7.706666666666667</v>
      </c>
      <c r="CJ16" s="229">
        <f>AVERAGE(CJ13,CJ14,CJ15)</f>
        <v>7.1133333333333333</v>
      </c>
      <c r="CK16" s="225">
        <f t="shared" si="4"/>
        <v>7.9833333333333343</v>
      </c>
      <c r="CL16" s="224">
        <f t="shared" si="4"/>
        <v>7.06</v>
      </c>
      <c r="CM16" s="223">
        <f t="shared" si="4"/>
        <v>7.753333333333333</v>
      </c>
      <c r="CN16" s="229">
        <f t="shared" si="4"/>
        <v>7.04</v>
      </c>
      <c r="CO16" s="225">
        <f t="shared" si="4"/>
        <v>7.62</v>
      </c>
      <c r="CP16" s="223">
        <f t="shared" si="4"/>
        <v>7.2399999999999993</v>
      </c>
      <c r="CQ16" s="230">
        <f t="shared" si="4"/>
        <v>7.9833333333333343</v>
      </c>
      <c r="CR16" s="228">
        <f>AVERAGE(CR13,CR14,CR15)</f>
        <v>7.1000000000000005</v>
      </c>
      <c r="CS16" s="225">
        <f t="shared" ref="CS16:DA16" si="5">AVERAGE(CS13,CS14,CS15)</f>
        <v>7.52</v>
      </c>
      <c r="CT16" s="229">
        <f t="shared" si="5"/>
        <v>6.8866666666666667</v>
      </c>
      <c r="CU16" s="225">
        <f t="shared" si="5"/>
        <v>7.6333333333333329</v>
      </c>
      <c r="CV16" s="229">
        <f t="shared" si="5"/>
        <v>7.0166666666666666</v>
      </c>
      <c r="CW16" s="223">
        <f t="shared" si="5"/>
        <v>7.413333333333334</v>
      </c>
      <c r="CX16" s="229">
        <f t="shared" si="5"/>
        <v>6.8933333333333335</v>
      </c>
      <c r="CY16" s="225">
        <f t="shared" si="5"/>
        <v>7.5266666666666664</v>
      </c>
      <c r="CZ16" s="223">
        <f t="shared" si="5"/>
        <v>7.0966666666666667</v>
      </c>
      <c r="DA16" s="233">
        <f t="shared" si="5"/>
        <v>6.9600000000000009</v>
      </c>
      <c r="DB16" s="223">
        <f>AVERAGE(DB13,DB14,DB15)</f>
        <v>7.06</v>
      </c>
      <c r="DC16" s="225">
        <f t="shared" ref="DC16:DK16" si="6">AVERAGE(DC13,DC14,DC15)</f>
        <v>7.2600000000000007</v>
      </c>
      <c r="DD16" s="224">
        <f t="shared" si="6"/>
        <v>7.2399999999999993</v>
      </c>
      <c r="DE16" s="225">
        <f t="shared" si="6"/>
        <v>6.2866666666666662</v>
      </c>
      <c r="DF16" s="223">
        <f t="shared" si="6"/>
        <v>6.5533333333333337</v>
      </c>
      <c r="DG16" s="223">
        <f t="shared" si="6"/>
        <v>7.8566666666666665</v>
      </c>
      <c r="DH16" s="229">
        <f t="shared" si="6"/>
        <v>7.2366666666666672</v>
      </c>
      <c r="DI16" s="225">
        <f t="shared" si="6"/>
        <v>6.413333333333334</v>
      </c>
      <c r="DJ16" s="223">
        <f t="shared" si="6"/>
        <v>6.53</v>
      </c>
      <c r="DK16" s="230">
        <f t="shared" si="6"/>
        <v>7.6133333333333333</v>
      </c>
      <c r="DL16" s="223">
        <f>AVERAGE(DL13,DL14,DL15)</f>
        <v>6.8566666666666665</v>
      </c>
      <c r="DM16" s="225">
        <f t="shared" ref="DM16:DU16" si="7">AVERAGE(DM13,DM14,DM15)</f>
        <v>7.996666666666667</v>
      </c>
      <c r="DN16" s="224">
        <f t="shared" si="7"/>
        <v>6.59</v>
      </c>
      <c r="DO16" s="225">
        <f t="shared" si="7"/>
        <v>7.8566666666666665</v>
      </c>
      <c r="DP16" s="223">
        <f t="shared" si="7"/>
        <v>6.496666666666667</v>
      </c>
      <c r="DQ16" s="223">
        <f t="shared" si="7"/>
        <v>7.63</v>
      </c>
      <c r="DR16" s="226">
        <f>AVERAGE(DR14,DR15)</f>
        <v>6.3599999999999994</v>
      </c>
      <c r="DS16" s="231">
        <f t="shared" si="7"/>
        <v>7.6500000000000012</v>
      </c>
      <c r="DT16" s="223">
        <f>AVERAGE(DT13,DT14,DT15)</f>
        <v>6.4899999999999993</v>
      </c>
      <c r="DU16" s="230">
        <f t="shared" si="7"/>
        <v>7.68</v>
      </c>
      <c r="DV16" s="223">
        <f>AVERAGE(DV13,DV14,DV15)</f>
        <v>6.6133333333333333</v>
      </c>
      <c r="DW16" s="225">
        <f t="shared" ref="DW16:EE16" si="8">AVERAGE(DW13,DW14,DW15)</f>
        <v>7.6433333333333335</v>
      </c>
      <c r="DX16" s="224">
        <f t="shared" si="8"/>
        <v>6.75</v>
      </c>
      <c r="DY16" s="225">
        <f t="shared" si="8"/>
        <v>7.6333333333333329</v>
      </c>
      <c r="DZ16" s="223">
        <f t="shared" si="8"/>
        <v>6.6766666666666667</v>
      </c>
      <c r="EA16" s="223">
        <f t="shared" si="8"/>
        <v>7.3666666666666663</v>
      </c>
      <c r="EB16" s="229">
        <f t="shared" si="8"/>
        <v>6.2566666666666668</v>
      </c>
      <c r="EC16" s="225">
        <f t="shared" si="8"/>
        <v>7.3866666666666667</v>
      </c>
      <c r="ED16" s="223">
        <f t="shared" si="8"/>
        <v>6.2666666666666657</v>
      </c>
      <c r="EE16" s="230">
        <f t="shared" si="8"/>
        <v>7.9366666666666665</v>
      </c>
      <c r="EF16" s="223">
        <f>AVERAGE(EF13,EF14,EF15)</f>
        <v>6.4733333333333336</v>
      </c>
      <c r="EG16" s="225">
        <f t="shared" ref="EG16:EO16" si="9">AVERAGE(EG13,EG14,EG15)</f>
        <v>7.6766666666666667</v>
      </c>
      <c r="EH16" s="229">
        <f t="shared" si="9"/>
        <v>6.29</v>
      </c>
      <c r="EI16" s="225">
        <f t="shared" si="9"/>
        <v>7.75</v>
      </c>
      <c r="EJ16" s="223">
        <f t="shared" si="9"/>
        <v>6.4633333333333338</v>
      </c>
      <c r="EK16" s="223">
        <f t="shared" si="9"/>
        <v>7.5100000000000007</v>
      </c>
      <c r="EL16" s="229">
        <f t="shared" si="9"/>
        <v>6.9066666666666663</v>
      </c>
      <c r="EM16" s="231">
        <f t="shared" si="9"/>
        <v>7.6000000000000005</v>
      </c>
      <c r="EN16" s="223">
        <f t="shared" si="9"/>
        <v>6.8533333333333326</v>
      </c>
      <c r="EO16" s="230">
        <f t="shared" si="9"/>
        <v>7.166666666666667</v>
      </c>
      <c r="EP16" s="223">
        <f>AVERAGE(EP13,EP14,EP15)</f>
        <v>6.6366666666666667</v>
      </c>
      <c r="EQ16" s="225">
        <f t="shared" ref="EQ16:EY16" si="10">AVERAGE(EQ13,EQ14,EQ15)</f>
        <v>7.6999999999999993</v>
      </c>
      <c r="ER16" s="229">
        <f t="shared" si="10"/>
        <v>7.126666666666666</v>
      </c>
      <c r="ES16" s="225">
        <f t="shared" si="10"/>
        <v>7.8966666666666656</v>
      </c>
      <c r="ET16" s="223">
        <f t="shared" si="10"/>
        <v>6.5666666666666664</v>
      </c>
      <c r="EU16" s="223">
        <f t="shared" si="10"/>
        <v>7.580000000000001</v>
      </c>
      <c r="EV16" s="229">
        <f t="shared" si="10"/>
        <v>6.46</v>
      </c>
      <c r="EW16" s="225">
        <f t="shared" si="10"/>
        <v>7.6133333333333333</v>
      </c>
      <c r="EX16" s="223">
        <f t="shared" si="10"/>
        <v>6.2100000000000009</v>
      </c>
      <c r="EY16" s="230">
        <f t="shared" si="10"/>
        <v>7.626666666666666</v>
      </c>
      <c r="EZ16" s="223">
        <f>AVERAGE(EZ13,EZ14,EZ15)</f>
        <v>7.0266666666666673</v>
      </c>
      <c r="FA16" s="225">
        <f t="shared" ref="FA16:FI16" si="11">AVERAGE(FA13,FA14,FA15)</f>
        <v>7.4466666666666663</v>
      </c>
      <c r="FB16" s="229">
        <f t="shared" si="11"/>
        <v>6.6466666666666656</v>
      </c>
      <c r="FC16" s="223">
        <f t="shared" si="11"/>
        <v>6.8933333333333335</v>
      </c>
      <c r="FD16" s="229">
        <f t="shared" si="11"/>
        <v>6.2733333333333334</v>
      </c>
      <c r="FE16" s="225">
        <f t="shared" si="11"/>
        <v>6.6166666666666671</v>
      </c>
      <c r="FF16" s="223">
        <f t="shared" si="11"/>
        <v>6.253333333333333</v>
      </c>
      <c r="FG16" s="225">
        <f t="shared" si="11"/>
        <v>7.4233333333333329</v>
      </c>
      <c r="FH16" s="223">
        <f t="shared" si="11"/>
        <v>6.72</v>
      </c>
      <c r="FI16" s="230">
        <f t="shared" si="11"/>
        <v>7.8133333333333326</v>
      </c>
      <c r="FJ16" s="228">
        <f>AVERAGE(FJ13,FJ14,FJ15)</f>
        <v>6.36</v>
      </c>
      <c r="FK16" s="225">
        <f t="shared" ref="FK16:FS16" si="12">AVERAGE(FK13,FK14,FK15)</f>
        <v>7.3166666666666664</v>
      </c>
      <c r="FL16" s="224">
        <f t="shared" si="12"/>
        <v>6.13</v>
      </c>
      <c r="FM16" s="225">
        <f t="shared" si="12"/>
        <v>7.0733333333333333</v>
      </c>
      <c r="FN16" s="223">
        <f t="shared" si="12"/>
        <v>6.2266666666666666</v>
      </c>
      <c r="FO16" s="223">
        <f t="shared" si="12"/>
        <v>7.0933333333333337</v>
      </c>
      <c r="FP16" s="229">
        <f t="shared" si="12"/>
        <v>6.31</v>
      </c>
      <c r="FQ16" s="225">
        <f t="shared" si="12"/>
        <v>7.72</v>
      </c>
      <c r="FR16" s="223">
        <f t="shared" si="12"/>
        <v>6.38</v>
      </c>
      <c r="FS16" s="230">
        <f t="shared" si="12"/>
        <v>7.87</v>
      </c>
      <c r="FT16" s="223">
        <f>AVERAGE(FT13,FT14,FT15)</f>
        <v>6.4333333333333336</v>
      </c>
      <c r="FU16" s="225">
        <f t="shared" ref="FU16:GC16" si="13">AVERAGE(FU13,FU14,FU15)</f>
        <v>7.9433333333333325</v>
      </c>
      <c r="FV16" s="223">
        <f>AVERAGE(FV13,FV14,FV15)</f>
        <v>6.2100000000000009</v>
      </c>
      <c r="FW16" s="223">
        <f>AVERAGE(FW13,FW14,FW15)</f>
        <v>7.47</v>
      </c>
      <c r="FX16" s="229">
        <f t="shared" si="13"/>
        <v>6.25</v>
      </c>
      <c r="FY16" s="225">
        <f t="shared" si="13"/>
        <v>7.8900000000000006</v>
      </c>
      <c r="FZ16" s="229">
        <f t="shared" si="13"/>
        <v>6.2100000000000009</v>
      </c>
      <c r="GA16" s="231">
        <f t="shared" si="13"/>
        <v>7.47</v>
      </c>
      <c r="GB16" s="223">
        <f t="shared" si="13"/>
        <v>6.54</v>
      </c>
      <c r="GC16" s="230">
        <f t="shared" si="13"/>
        <v>8.11</v>
      </c>
      <c r="GD16" s="228">
        <f>AVERAGE(GD13,GD14,GD15)</f>
        <v>6.46</v>
      </c>
      <c r="GE16" s="225">
        <f>AVERAGE(GE13,GE14,GE15)</f>
        <v>7.8166666666666664</v>
      </c>
      <c r="GF16" s="224">
        <f t="shared" ref="GF16:GM16" si="14">AVERAGE(GF13,GF14,GF15)</f>
        <v>6.97</v>
      </c>
      <c r="GG16" s="225">
        <f t="shared" si="14"/>
        <v>7.9766666666666666</v>
      </c>
      <c r="GH16" s="223">
        <f t="shared" si="14"/>
        <v>6.7366666666666672</v>
      </c>
      <c r="GI16" s="223">
        <f t="shared" si="14"/>
        <v>7.8666666666666671</v>
      </c>
      <c r="GJ16" s="229">
        <f t="shared" si="14"/>
        <v>6.62</v>
      </c>
      <c r="GK16" s="225">
        <f t="shared" si="14"/>
        <v>7.9366666666666665</v>
      </c>
      <c r="GL16" s="223">
        <f t="shared" si="14"/>
        <v>6.793333333333333</v>
      </c>
      <c r="GM16" s="230">
        <f t="shared" si="14"/>
        <v>7.2700000000000005</v>
      </c>
      <c r="GN16" s="228">
        <f>AVERAGE(GN13,GN14,GN15)</f>
        <v>6.95</v>
      </c>
      <c r="GO16" s="225">
        <f t="shared" ref="GO16:GW16" si="15">AVERAGE(GO13,GO14,GO15)</f>
        <v>7.6166666666666671</v>
      </c>
      <c r="GP16" s="229">
        <f t="shared" si="15"/>
        <v>7.0733333333333333</v>
      </c>
      <c r="GQ16" s="225">
        <f t="shared" si="15"/>
        <v>7.9466666666666663</v>
      </c>
      <c r="GR16" s="223">
        <f t="shared" si="15"/>
        <v>6.9000000000000012</v>
      </c>
      <c r="GS16" s="223">
        <f t="shared" si="15"/>
        <v>7.376666666666666</v>
      </c>
      <c r="GT16" s="229">
        <f t="shared" si="15"/>
        <v>6.913333333333334</v>
      </c>
      <c r="GU16" s="231">
        <f t="shared" si="15"/>
        <v>7.84</v>
      </c>
      <c r="GV16" s="223">
        <f t="shared" si="15"/>
        <v>6.7733333333333334</v>
      </c>
      <c r="GW16" s="230">
        <f t="shared" si="15"/>
        <v>7.2366666666666672</v>
      </c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86"/>
      <c r="IC16" s="186"/>
      <c r="ID16" s="186"/>
      <c r="IE16" s="186"/>
      <c r="IF16" s="186"/>
      <c r="IG16" s="186"/>
      <c r="IH16" s="186"/>
      <c r="II16" s="186"/>
      <c r="IJ16" s="186"/>
      <c r="IK16" s="186"/>
      <c r="IL16" s="186"/>
      <c r="IM16" s="186"/>
      <c r="IN16" s="186"/>
      <c r="IO16" s="186"/>
      <c r="IP16" s="186"/>
      <c r="IQ16" s="186"/>
      <c r="IR16" s="186"/>
      <c r="IS16" s="186"/>
      <c r="IT16" s="186"/>
      <c r="IU16" s="186"/>
      <c r="IV16" s="186"/>
      <c r="IW16" s="186"/>
      <c r="IX16" s="186"/>
      <c r="IY16" s="186"/>
      <c r="IZ16" s="186"/>
      <c r="JA16" s="186"/>
      <c r="JB16" s="186"/>
      <c r="JC16" s="186"/>
      <c r="JD16" s="186"/>
      <c r="JE16" s="186"/>
      <c r="JF16" s="186"/>
      <c r="JG16" s="186"/>
      <c r="JH16" s="186"/>
      <c r="JI16" s="186"/>
      <c r="JJ16" s="186"/>
      <c r="JK16" s="186"/>
      <c r="JL16" s="186"/>
      <c r="JM16" s="186"/>
      <c r="JN16" s="186"/>
      <c r="JO16" s="186"/>
      <c r="JP16" s="186"/>
      <c r="JQ16" s="186"/>
      <c r="JR16" s="186"/>
      <c r="JS16" s="186"/>
      <c r="JT16" s="186"/>
      <c r="JU16" s="186"/>
      <c r="JV16" s="186"/>
      <c r="JW16" s="186"/>
      <c r="JX16" s="186"/>
      <c r="JY16" s="186"/>
      <c r="JZ16" s="186"/>
      <c r="KA16" s="186"/>
      <c r="KB16" s="186"/>
      <c r="KC16" s="186"/>
      <c r="KD16" s="186"/>
      <c r="KE16" s="186"/>
      <c r="KF16" s="186"/>
      <c r="KG16" s="186"/>
      <c r="KH16" s="186"/>
      <c r="KI16" s="186"/>
      <c r="KJ16" s="186"/>
      <c r="KK16" s="186"/>
      <c r="KL16" s="186"/>
      <c r="KM16" s="186"/>
      <c r="KN16" s="186"/>
      <c r="KO16" s="186"/>
      <c r="KP16" s="186"/>
      <c r="KQ16" s="186"/>
      <c r="KR16" s="186"/>
      <c r="KS16" s="186"/>
      <c r="KT16" s="186"/>
      <c r="KU16" s="186"/>
      <c r="KV16" s="186"/>
      <c r="KW16" s="186"/>
      <c r="KX16" s="186"/>
      <c r="KY16" s="186"/>
      <c r="KZ16" s="186"/>
      <c r="LA16" s="186"/>
      <c r="LB16" s="186"/>
      <c r="LC16" s="186"/>
      <c r="LD16" s="186"/>
      <c r="LE16" s="186"/>
      <c r="LF16" s="186"/>
      <c r="LG16" s="186"/>
      <c r="LH16" s="186"/>
      <c r="LI16" s="186"/>
      <c r="LJ16" s="186"/>
      <c r="LK16" s="186"/>
      <c r="LL16" s="186"/>
      <c r="LM16" s="186"/>
      <c r="LN16" s="186"/>
      <c r="LO16" s="186"/>
      <c r="LP16" s="186"/>
      <c r="LQ16" s="186"/>
      <c r="LR16" s="186"/>
      <c r="LS16" s="186"/>
      <c r="LT16" s="186"/>
      <c r="LU16" s="186"/>
      <c r="LV16" s="186"/>
      <c r="LW16" s="186"/>
      <c r="LX16" s="186"/>
      <c r="LY16" s="186"/>
      <c r="LZ16" s="186"/>
      <c r="MA16" s="186"/>
      <c r="MB16" s="186"/>
      <c r="MC16" s="186"/>
      <c r="MD16" s="186"/>
      <c r="ME16" s="186"/>
      <c r="MF16" s="186"/>
      <c r="MG16" s="186"/>
      <c r="MH16" s="186"/>
      <c r="MI16" s="186"/>
      <c r="MJ16" s="186"/>
      <c r="MK16" s="186"/>
      <c r="ML16" s="186"/>
      <c r="MM16" s="186"/>
      <c r="MN16" s="186"/>
      <c r="MO16" s="186"/>
      <c r="MP16" s="186"/>
      <c r="MQ16" s="186"/>
      <c r="MR16" s="186"/>
      <c r="MS16" s="186"/>
      <c r="MT16" s="186"/>
      <c r="MU16" s="186"/>
      <c r="MV16" s="186"/>
      <c r="MW16" s="186"/>
      <c r="MX16" s="186"/>
      <c r="MY16" s="186"/>
      <c r="MZ16" s="186"/>
      <c r="NA16" s="186"/>
      <c r="NB16" s="186"/>
      <c r="NC16" s="186"/>
      <c r="ND16" s="186"/>
      <c r="NE16" s="186"/>
      <c r="NF16" s="186"/>
      <c r="NG16" s="186"/>
      <c r="NH16" s="186"/>
      <c r="NI16" s="186"/>
      <c r="NJ16" s="186"/>
      <c r="NK16" s="186"/>
      <c r="NL16" s="186"/>
      <c r="NM16" s="186"/>
      <c r="NN16" s="186"/>
      <c r="NO16" s="186"/>
      <c r="NP16" s="186"/>
      <c r="NQ16" s="186"/>
      <c r="NR16" s="186"/>
      <c r="NS16" s="186"/>
      <c r="NT16" s="186"/>
      <c r="NU16" s="186"/>
      <c r="NV16" s="186"/>
      <c r="NW16" s="186"/>
      <c r="NX16" s="186"/>
      <c r="NY16" s="186"/>
      <c r="NZ16" s="186"/>
      <c r="OA16" s="186"/>
      <c r="OB16" s="186"/>
      <c r="OC16" s="186"/>
      <c r="OD16" s="186"/>
      <c r="OE16" s="186"/>
      <c r="OF16" s="186"/>
      <c r="OG16" s="186"/>
      <c r="OH16" s="186"/>
      <c r="OI16" s="186"/>
      <c r="OJ16" s="186"/>
      <c r="OK16" s="186"/>
      <c r="OL16" s="186"/>
      <c r="OM16" s="186"/>
      <c r="ON16" s="186"/>
      <c r="OO16" s="186"/>
      <c r="OP16" s="186"/>
      <c r="OQ16" s="186"/>
      <c r="OR16" s="186"/>
      <c r="OS16" s="186"/>
      <c r="OT16" s="186"/>
      <c r="OU16" s="186"/>
      <c r="OV16" s="186"/>
      <c r="OW16" s="186"/>
      <c r="OX16" s="186"/>
      <c r="OY16" s="186"/>
      <c r="OZ16" s="186"/>
      <c r="PA16" s="186"/>
      <c r="PB16" s="186"/>
      <c r="PC16" s="186"/>
      <c r="PD16" s="186"/>
      <c r="PE16" s="186"/>
      <c r="PF16" s="186"/>
      <c r="PG16" s="186"/>
      <c r="PH16" s="186"/>
      <c r="PI16" s="186"/>
      <c r="PJ16" s="186"/>
      <c r="PK16" s="186"/>
      <c r="PL16" s="186"/>
      <c r="PM16" s="186"/>
      <c r="PN16" s="186"/>
      <c r="PO16" s="186"/>
      <c r="PP16" s="186"/>
      <c r="PQ16" s="186"/>
      <c r="PR16" s="186"/>
      <c r="PS16" s="186"/>
      <c r="PT16" s="186"/>
      <c r="PU16" s="186"/>
      <c r="PV16" s="186"/>
      <c r="PW16" s="186"/>
      <c r="PX16" s="186"/>
      <c r="PY16" s="186"/>
      <c r="PZ16" s="186"/>
      <c r="QA16" s="186"/>
      <c r="QB16" s="186"/>
      <c r="QC16" s="186"/>
      <c r="QD16" s="186"/>
      <c r="QE16" s="186"/>
      <c r="QF16" s="186"/>
      <c r="QG16" s="186"/>
      <c r="QH16" s="186"/>
      <c r="QI16" s="186"/>
      <c r="QJ16" s="186"/>
      <c r="QK16" s="186"/>
      <c r="QL16" s="186"/>
      <c r="QM16" s="186"/>
      <c r="QN16" s="186"/>
      <c r="QO16" s="186"/>
      <c r="QP16" s="186"/>
      <c r="QQ16" s="186"/>
      <c r="QR16" s="186"/>
      <c r="QS16" s="186"/>
      <c r="QT16" s="186"/>
      <c r="QU16" s="186"/>
      <c r="QV16" s="186"/>
      <c r="QW16" s="186"/>
      <c r="QX16" s="186"/>
      <c r="QY16" s="186"/>
      <c r="QZ16" s="186"/>
      <c r="RA16" s="186"/>
      <c r="RB16" s="186"/>
      <c r="RC16" s="186"/>
      <c r="RD16" s="186"/>
      <c r="RE16" s="186"/>
      <c r="RF16" s="186"/>
      <c r="RG16" s="186"/>
      <c r="RH16" s="186"/>
      <c r="RI16" s="186"/>
      <c r="RJ16" s="186"/>
      <c r="RK16" s="186"/>
      <c r="RL16" s="186"/>
      <c r="RM16" s="186"/>
      <c r="RN16" s="186"/>
      <c r="RO16" s="186"/>
      <c r="RP16" s="186"/>
      <c r="RQ16" s="186"/>
      <c r="RR16" s="186"/>
      <c r="RS16" s="186"/>
      <c r="RT16" s="186"/>
      <c r="RU16" s="186"/>
      <c r="RV16" s="186"/>
      <c r="RW16" s="186"/>
      <c r="RX16" s="186"/>
      <c r="RY16" s="186"/>
      <c r="RZ16" s="186"/>
      <c r="SA16" s="186"/>
      <c r="SB16" s="186"/>
      <c r="SC16" s="186"/>
      <c r="SD16" s="186"/>
      <c r="SE16" s="186"/>
      <c r="SF16" s="186"/>
      <c r="SG16" s="186"/>
      <c r="SH16" s="186"/>
      <c r="SI16" s="186"/>
      <c r="SJ16" s="186"/>
      <c r="SK16" s="186"/>
      <c r="SL16" s="186"/>
      <c r="SM16" s="186"/>
      <c r="SN16" s="186"/>
      <c r="SO16" s="186"/>
      <c r="SP16" s="186"/>
      <c r="SQ16" s="186"/>
      <c r="SR16" s="186"/>
      <c r="SS16" s="186"/>
      <c r="ST16" s="186"/>
      <c r="SU16" s="186"/>
      <c r="SV16" s="186"/>
      <c r="SW16" s="186"/>
      <c r="SX16" s="186"/>
      <c r="SY16" s="186"/>
      <c r="SZ16" s="186"/>
      <c r="TA16" s="186"/>
      <c r="TB16" s="186"/>
      <c r="TC16" s="186"/>
      <c r="TD16" s="186"/>
      <c r="TE16" s="186"/>
      <c r="TF16" s="186"/>
      <c r="TG16" s="186"/>
      <c r="TH16" s="186"/>
      <c r="TI16" s="186"/>
      <c r="TJ16" s="186"/>
      <c r="TK16" s="186"/>
      <c r="TL16" s="186"/>
      <c r="TM16" s="186"/>
      <c r="TN16" s="186"/>
      <c r="TO16" s="186"/>
      <c r="TP16" s="186"/>
      <c r="TQ16" s="186"/>
      <c r="TR16" s="186"/>
      <c r="TS16" s="186"/>
      <c r="TT16" s="186"/>
      <c r="TU16" s="186"/>
      <c r="TV16" s="186"/>
      <c r="TW16" s="186"/>
      <c r="TX16" s="186"/>
      <c r="TY16" s="186"/>
      <c r="TZ16" s="186"/>
      <c r="UA16" s="186"/>
      <c r="UB16" s="186"/>
      <c r="UC16" s="186"/>
      <c r="UD16" s="186"/>
      <c r="UE16" s="186"/>
      <c r="UF16" s="186"/>
      <c r="UG16" s="186"/>
      <c r="UH16" s="186"/>
      <c r="UI16" s="186"/>
      <c r="UJ16" s="186"/>
      <c r="UK16" s="186"/>
      <c r="UL16" s="186"/>
      <c r="UM16" s="186"/>
      <c r="UN16" s="186"/>
      <c r="UO16" s="186"/>
      <c r="UP16" s="186"/>
      <c r="UQ16" s="186"/>
      <c r="UR16" s="186"/>
      <c r="US16" s="186"/>
      <c r="UT16" s="186"/>
      <c r="UU16" s="186"/>
      <c r="UV16" s="186"/>
      <c r="UW16" s="186"/>
      <c r="UX16" s="186"/>
      <c r="UY16" s="186"/>
      <c r="UZ16" s="186"/>
      <c r="VA16" s="186"/>
      <c r="VB16" s="186"/>
      <c r="VC16" s="186"/>
      <c r="VD16" s="186"/>
      <c r="VE16" s="186"/>
      <c r="VF16" s="186"/>
      <c r="VG16" s="186"/>
      <c r="VH16" s="186"/>
      <c r="VI16" s="186"/>
      <c r="VJ16" s="186"/>
      <c r="VK16" s="186"/>
      <c r="VL16" s="186"/>
      <c r="VM16" s="186"/>
      <c r="VN16" s="186"/>
      <c r="VO16" s="186"/>
      <c r="VP16" s="186"/>
      <c r="VQ16" s="186"/>
      <c r="VR16" s="186"/>
      <c r="VS16" s="186"/>
      <c r="VT16" s="186"/>
      <c r="VU16" s="186"/>
      <c r="VV16" s="186"/>
      <c r="VW16" s="186"/>
      <c r="VX16" s="186"/>
      <c r="VY16" s="186"/>
      <c r="VZ16" s="186"/>
      <c r="WA16" s="186"/>
      <c r="WB16" s="186"/>
      <c r="WC16" s="186"/>
      <c r="WD16" s="186"/>
      <c r="WE16" s="186"/>
      <c r="WF16" s="186"/>
      <c r="WG16" s="186"/>
      <c r="WH16" s="186"/>
      <c r="WI16" s="186"/>
      <c r="WJ16" s="186"/>
      <c r="WK16" s="186"/>
      <c r="WL16" s="186"/>
      <c r="WM16" s="186"/>
      <c r="WN16" s="186"/>
      <c r="WO16" s="186"/>
      <c r="WP16" s="186"/>
      <c r="WQ16" s="186"/>
      <c r="WR16" s="186"/>
      <c r="WS16" s="186"/>
      <c r="WT16" s="186"/>
      <c r="WU16" s="186"/>
      <c r="WV16" s="186"/>
      <c r="WW16" s="186"/>
      <c r="WX16" s="186"/>
      <c r="WY16" s="186"/>
      <c r="WZ16" s="186"/>
      <c r="XA16" s="186"/>
      <c r="XB16" s="186"/>
      <c r="XC16" s="186"/>
      <c r="XD16" s="186"/>
      <c r="XE16" s="186"/>
      <c r="XF16" s="186"/>
      <c r="XG16" s="186"/>
      <c r="XH16" s="186"/>
      <c r="XI16" s="186"/>
      <c r="XJ16" s="186"/>
      <c r="XK16" s="186"/>
      <c r="XL16" s="186"/>
      <c r="XM16" s="186"/>
      <c r="XN16" s="186"/>
      <c r="XO16" s="186"/>
      <c r="XP16" s="186"/>
      <c r="XQ16" s="186"/>
      <c r="XR16" s="186"/>
      <c r="XS16" s="186"/>
      <c r="XT16" s="186"/>
      <c r="XU16" s="186"/>
      <c r="XV16" s="186"/>
      <c r="XW16" s="186"/>
      <c r="XX16" s="186"/>
      <c r="XY16" s="186"/>
      <c r="XZ16" s="186"/>
      <c r="YA16" s="186"/>
      <c r="YB16" s="186"/>
      <c r="YC16" s="186"/>
      <c r="YD16" s="186"/>
      <c r="YE16" s="186"/>
      <c r="YF16" s="186"/>
      <c r="YG16" s="186"/>
      <c r="YH16" s="186"/>
      <c r="YI16" s="186"/>
      <c r="YJ16" s="186"/>
      <c r="YK16" s="186"/>
      <c r="YL16" s="186"/>
      <c r="YM16" s="186"/>
      <c r="YN16" s="186"/>
      <c r="YO16" s="186"/>
      <c r="YP16" s="186"/>
      <c r="YQ16" s="186"/>
      <c r="YR16" s="186"/>
      <c r="YS16" s="186"/>
      <c r="YT16" s="186"/>
      <c r="YU16" s="186"/>
      <c r="YV16" s="186"/>
      <c r="YW16" s="186"/>
      <c r="YX16" s="186"/>
      <c r="YY16" s="186"/>
      <c r="YZ16" s="186"/>
      <c r="ZA16" s="186"/>
      <c r="ZB16" s="186"/>
      <c r="ZC16" s="186"/>
      <c r="ZD16" s="186"/>
      <c r="ZE16" s="186"/>
      <c r="ZF16" s="186"/>
      <c r="ZG16" s="186"/>
      <c r="ZH16" s="186"/>
      <c r="ZI16" s="186"/>
      <c r="ZJ16" s="186"/>
      <c r="ZK16" s="186"/>
      <c r="ZL16" s="186"/>
      <c r="ZM16" s="186"/>
      <c r="ZN16" s="186"/>
      <c r="ZO16" s="186"/>
      <c r="ZP16" s="186"/>
      <c r="ZQ16" s="186"/>
      <c r="ZR16" s="186"/>
      <c r="ZS16" s="186"/>
      <c r="ZT16" s="186"/>
      <c r="ZU16" s="186"/>
      <c r="ZV16" s="186"/>
      <c r="ZW16" s="186"/>
      <c r="ZX16" s="186"/>
      <c r="ZY16" s="186"/>
      <c r="ZZ16" s="186"/>
      <c r="AAA16" s="186"/>
      <c r="AAB16" s="186"/>
      <c r="AAC16" s="186"/>
      <c r="AAD16" s="186"/>
      <c r="AAE16" s="186"/>
      <c r="AAF16" s="186"/>
      <c r="AAG16" s="186"/>
      <c r="AAH16" s="186"/>
      <c r="AAI16" s="186"/>
      <c r="AAJ16" s="186"/>
      <c r="AAK16" s="186"/>
      <c r="AAL16" s="186"/>
      <c r="AAM16" s="186"/>
      <c r="AAN16" s="186"/>
      <c r="AAO16" s="186"/>
      <c r="AAP16" s="186"/>
      <c r="AAQ16" s="186"/>
      <c r="AAR16" s="186"/>
      <c r="AAS16" s="186"/>
      <c r="AAT16" s="186"/>
      <c r="AAU16" s="186"/>
      <c r="AAV16" s="186"/>
      <c r="AAW16" s="186"/>
      <c r="AAX16" s="186"/>
      <c r="AAY16" s="186"/>
      <c r="AAZ16" s="186"/>
      <c r="ABA16" s="186"/>
      <c r="ABB16" s="186"/>
      <c r="ABC16" s="186"/>
      <c r="ABD16" s="186"/>
      <c r="ABE16" s="186"/>
      <c r="ABF16" s="186"/>
      <c r="ABG16" s="186"/>
      <c r="ABH16" s="186"/>
      <c r="ABI16" s="186"/>
      <c r="ABJ16" s="186"/>
      <c r="ABK16" s="186"/>
      <c r="ABL16" s="186"/>
      <c r="ABM16" s="186"/>
      <c r="ABN16" s="186"/>
      <c r="ABO16" s="186"/>
      <c r="ABP16" s="186"/>
      <c r="ABQ16" s="186"/>
      <c r="ABR16" s="186"/>
      <c r="ABS16" s="186"/>
      <c r="ABT16" s="186"/>
      <c r="ABU16" s="186"/>
      <c r="ABV16" s="186"/>
      <c r="ABW16" s="186"/>
      <c r="ABX16" s="186"/>
      <c r="ABY16" s="186"/>
      <c r="ABZ16" s="186"/>
      <c r="ACA16" s="186"/>
      <c r="ACB16" s="186"/>
      <c r="ACC16" s="186"/>
      <c r="ACD16" s="186"/>
      <c r="ACE16" s="186"/>
      <c r="ACF16" s="186"/>
      <c r="ACG16" s="186"/>
      <c r="ACH16" s="186"/>
      <c r="ACI16" s="186"/>
      <c r="ACJ16" s="186"/>
      <c r="ACK16" s="186"/>
      <c r="ACL16" s="186"/>
      <c r="ACM16" s="186"/>
      <c r="ACN16" s="186"/>
      <c r="ACO16" s="186"/>
      <c r="ACP16" s="186"/>
      <c r="ACQ16" s="186"/>
      <c r="ACR16" s="186"/>
      <c r="ACS16" s="186"/>
      <c r="ACT16" s="186"/>
      <c r="ACU16" s="186"/>
      <c r="ACV16" s="186"/>
      <c r="ACW16" s="186"/>
      <c r="ACX16" s="186"/>
      <c r="ACY16" s="186"/>
      <c r="ACZ16" s="186"/>
      <c r="ADA16" s="186"/>
      <c r="ADB16" s="186"/>
      <c r="ADC16" s="186"/>
      <c r="ADD16" s="186"/>
      <c r="ADE16" s="186"/>
      <c r="ADF16" s="186"/>
      <c r="ADG16" s="186"/>
      <c r="ADH16" s="186"/>
      <c r="ADI16" s="186"/>
      <c r="ADJ16" s="186"/>
      <c r="ADK16" s="186"/>
      <c r="ADL16" s="186"/>
      <c r="ADM16" s="186"/>
      <c r="ADN16" s="186"/>
      <c r="ADO16" s="186"/>
      <c r="ADP16" s="186"/>
      <c r="ADQ16" s="186"/>
      <c r="ADR16" s="186"/>
      <c r="ADS16" s="186"/>
      <c r="ADT16" s="186"/>
      <c r="ADU16" s="186"/>
      <c r="ADV16" s="186"/>
      <c r="ADW16" s="186"/>
      <c r="ADX16" s="186"/>
      <c r="ADY16" s="186"/>
      <c r="ADZ16" s="186"/>
      <c r="AEA16" s="186"/>
      <c r="AEB16" s="186"/>
      <c r="AEC16" s="186"/>
      <c r="AED16" s="186"/>
      <c r="AEE16" s="186"/>
      <c r="AEF16" s="186"/>
      <c r="AEG16" s="186"/>
      <c r="AEH16" s="186"/>
      <c r="AEI16" s="186"/>
      <c r="AEJ16" s="186"/>
      <c r="AEK16" s="186"/>
      <c r="AEL16" s="186"/>
      <c r="AEM16" s="186"/>
      <c r="AEN16" s="186"/>
      <c r="AEO16" s="186"/>
      <c r="AEP16" s="186"/>
      <c r="AEQ16" s="186"/>
      <c r="AER16" s="186"/>
      <c r="AES16" s="186"/>
      <c r="AET16" s="186"/>
      <c r="AEU16" s="186"/>
      <c r="AEV16" s="186"/>
      <c r="AEW16" s="186"/>
      <c r="AEX16" s="186"/>
      <c r="AEY16" s="186"/>
      <c r="AEZ16" s="186"/>
      <c r="AFA16" s="186"/>
      <c r="AFB16" s="186"/>
      <c r="AFC16" s="186"/>
      <c r="AFD16" s="186"/>
      <c r="AFE16" s="186"/>
      <c r="AFF16" s="186"/>
      <c r="AFG16" s="186"/>
      <c r="AFH16" s="186"/>
      <c r="AFI16" s="186"/>
      <c r="AFJ16" s="186"/>
      <c r="AFK16" s="186"/>
      <c r="AFL16" s="186"/>
      <c r="AFM16" s="186"/>
      <c r="AFN16" s="186"/>
      <c r="AFO16" s="186"/>
      <c r="AFP16" s="186"/>
      <c r="AFQ16" s="186"/>
      <c r="AFR16" s="186"/>
      <c r="AFS16" s="186"/>
      <c r="AFT16" s="186"/>
      <c r="AFU16" s="186"/>
      <c r="AFV16" s="186"/>
      <c r="AFW16" s="186"/>
      <c r="AFX16" s="186"/>
      <c r="AFY16" s="186"/>
      <c r="AFZ16" s="186"/>
      <c r="AGA16" s="186"/>
      <c r="AGB16" s="186"/>
      <c r="AGC16" s="186"/>
      <c r="AGD16" s="186"/>
      <c r="AGE16" s="186"/>
      <c r="AGF16" s="186"/>
      <c r="AGG16" s="186"/>
      <c r="AGH16" s="186"/>
      <c r="AGI16" s="186"/>
      <c r="AGJ16" s="186"/>
      <c r="AGK16" s="186"/>
      <c r="AGL16" s="186"/>
      <c r="AGM16" s="186"/>
      <c r="AGN16" s="186"/>
      <c r="AGO16" s="186"/>
      <c r="AGP16" s="186"/>
      <c r="AGQ16" s="186"/>
      <c r="AGR16" s="186"/>
      <c r="AGS16" s="186"/>
      <c r="AGT16" s="186"/>
      <c r="AGU16" s="186"/>
      <c r="AGV16" s="186"/>
      <c r="AGW16" s="186"/>
      <c r="AGX16" s="186"/>
      <c r="AGY16" s="186"/>
      <c r="AGZ16" s="186"/>
      <c r="AHA16" s="186"/>
      <c r="AHB16" s="186"/>
      <c r="AHC16" s="186"/>
      <c r="AHD16" s="186"/>
      <c r="AHE16" s="186"/>
      <c r="AHF16" s="186"/>
      <c r="AHG16" s="186"/>
      <c r="AHH16" s="186"/>
      <c r="AHI16" s="186"/>
      <c r="AHJ16" s="186"/>
      <c r="AHK16" s="186"/>
      <c r="AHL16" s="186"/>
      <c r="AHM16" s="186"/>
      <c r="AHN16" s="186"/>
      <c r="AHO16" s="186"/>
      <c r="AHP16" s="186"/>
      <c r="AHQ16" s="186"/>
      <c r="AHR16" s="186"/>
      <c r="AHS16" s="186"/>
      <c r="AHT16" s="186"/>
      <c r="AHU16" s="186"/>
      <c r="AHV16" s="186"/>
      <c r="AHW16" s="186"/>
      <c r="AHX16" s="186"/>
      <c r="AHY16" s="186"/>
      <c r="AHZ16" s="186"/>
      <c r="AIA16" s="186"/>
      <c r="AIB16" s="186"/>
      <c r="AIC16" s="186"/>
      <c r="AID16" s="186"/>
      <c r="AIE16" s="186"/>
      <c r="AIF16" s="186"/>
      <c r="AIG16" s="186"/>
      <c r="AIH16" s="186"/>
      <c r="AII16" s="186"/>
      <c r="AIJ16" s="186"/>
      <c r="AIK16" s="186"/>
      <c r="AIL16" s="186"/>
      <c r="AIM16" s="186"/>
      <c r="AIN16" s="186"/>
      <c r="AIO16" s="186"/>
      <c r="AIP16" s="186"/>
      <c r="AIQ16" s="186"/>
      <c r="AIR16" s="186"/>
      <c r="AIS16" s="186"/>
      <c r="AIT16" s="186"/>
      <c r="AIU16" s="186"/>
      <c r="AIV16" s="186"/>
      <c r="AIW16" s="186"/>
      <c r="AIX16" s="186"/>
      <c r="AIY16" s="186"/>
      <c r="AIZ16" s="186"/>
      <c r="AJA16" s="186"/>
      <c r="AJB16" s="186"/>
      <c r="AJC16" s="186"/>
      <c r="AJD16" s="186"/>
      <c r="AJE16" s="186"/>
      <c r="AJF16" s="186"/>
      <c r="AJG16" s="186"/>
      <c r="AJH16" s="186"/>
      <c r="AJI16" s="186"/>
      <c r="AJJ16" s="186"/>
      <c r="AJK16" s="186"/>
      <c r="AJL16" s="186"/>
      <c r="AJM16" s="186"/>
      <c r="AJN16" s="186"/>
      <c r="AJO16" s="186"/>
      <c r="AJP16" s="186"/>
      <c r="AJQ16" s="186"/>
      <c r="AJR16" s="186"/>
      <c r="AJS16" s="186"/>
      <c r="AJT16" s="186"/>
      <c r="AJU16" s="186"/>
      <c r="AJV16" s="186"/>
      <c r="AJW16" s="186"/>
      <c r="AJX16" s="186"/>
      <c r="AJY16" s="186"/>
      <c r="AJZ16" s="186"/>
      <c r="AKA16" s="186"/>
      <c r="AKB16" s="186"/>
      <c r="AKC16" s="186"/>
      <c r="AKD16" s="186"/>
      <c r="AKE16" s="186"/>
      <c r="AKF16" s="186"/>
      <c r="AKG16" s="186"/>
      <c r="AKH16" s="186"/>
      <c r="AKI16" s="186"/>
      <c r="AKJ16" s="186"/>
      <c r="AKK16" s="186"/>
      <c r="AKL16" s="186"/>
      <c r="AKM16" s="186"/>
      <c r="AKN16" s="186"/>
      <c r="AKO16" s="186"/>
      <c r="AKP16" s="186"/>
      <c r="AKQ16" s="186"/>
      <c r="AKR16" s="186"/>
      <c r="AKS16" s="186"/>
      <c r="AKT16" s="186"/>
      <c r="AKU16" s="186"/>
      <c r="AKV16" s="186"/>
      <c r="AKW16" s="186"/>
      <c r="AKX16" s="186"/>
      <c r="AKY16" s="186"/>
      <c r="AKZ16" s="186"/>
      <c r="ALA16" s="186"/>
      <c r="ALB16" s="186"/>
      <c r="ALC16" s="186"/>
      <c r="ALD16" s="186"/>
      <c r="ALE16" s="186"/>
      <c r="ALF16" s="186"/>
      <c r="ALG16" s="186"/>
      <c r="ALH16" s="186"/>
      <c r="ALI16" s="186"/>
      <c r="ALJ16" s="186"/>
      <c r="ALK16" s="186"/>
      <c r="ALL16" s="186"/>
      <c r="ALM16" s="186"/>
      <c r="ALN16" s="186"/>
      <c r="ALO16" s="186"/>
      <c r="ALP16" s="186"/>
      <c r="ALQ16" s="186"/>
      <c r="ALR16" s="186"/>
      <c r="ALS16" s="186"/>
      <c r="ALT16" s="186"/>
      <c r="ALU16" s="186"/>
      <c r="ALV16" s="186"/>
      <c r="ALW16" s="186"/>
      <c r="ALX16" s="186"/>
      <c r="ALY16" s="186"/>
      <c r="ALZ16" s="186"/>
      <c r="AMA16" s="186"/>
      <c r="AMB16" s="186"/>
      <c r="AMC16" s="186"/>
      <c r="AMD16" s="186"/>
      <c r="AME16" s="186"/>
      <c r="AMF16" s="186"/>
      <c r="AMG16" s="186"/>
      <c r="AMH16" s="186"/>
      <c r="AMI16" s="186"/>
      <c r="AMJ16" s="186"/>
      <c r="AMK16" s="186"/>
      <c r="AML16" s="186"/>
      <c r="AMM16" s="186"/>
      <c r="AMN16" s="186"/>
      <c r="AMO16" s="186"/>
      <c r="AMP16" s="186"/>
      <c r="AMQ16" s="186"/>
      <c r="AMR16" s="186"/>
      <c r="AMS16" s="186"/>
      <c r="AMT16" s="186"/>
      <c r="AMU16" s="186"/>
      <c r="AMV16" s="186"/>
      <c r="AMW16" s="186"/>
      <c r="AMX16" s="186"/>
      <c r="AMY16" s="186"/>
      <c r="AMZ16" s="186"/>
      <c r="ANA16" s="186"/>
      <c r="ANB16" s="186"/>
      <c r="ANC16" s="186"/>
      <c r="AND16" s="186"/>
      <c r="ANE16" s="186"/>
      <c r="ANF16" s="186"/>
    </row>
    <row r="17" spans="1:1046" x14ac:dyDescent="0.2">
      <c r="A17" s="2"/>
      <c r="B17" s="235"/>
      <c r="C17" s="23" t="s">
        <v>88</v>
      </c>
      <c r="D17" s="236">
        <f>STDEV(D13:D15)</f>
        <v>2.5166114784235766E-2</v>
      </c>
      <c r="E17" s="237">
        <f>STDEV(E13,E15)</f>
        <v>3.5355339059327882E-2</v>
      </c>
      <c r="F17" s="6">
        <f>STDEV(F13:F15)</f>
        <v>1.5275252316519529E-2</v>
      </c>
      <c r="G17" s="6">
        <f>STDEV(G13:G15)</f>
        <v>2.3094010767584539E-2</v>
      </c>
      <c r="H17" s="3">
        <f>STDEV(H13:H15)</f>
        <v>3.0000000000000249E-2</v>
      </c>
      <c r="I17" s="32">
        <f>STDEV(I13:I15)</f>
        <v>4.50924975282289E-2</v>
      </c>
      <c r="J17" s="35">
        <f>STDEV(J13:J14)</f>
        <v>4.9497474683057895E-2</v>
      </c>
      <c r="K17" s="32">
        <f>STDEV(K13:K14)</f>
        <v>7.778174593052109E-2</v>
      </c>
      <c r="L17" s="2">
        <f t="shared" ref="L17:BO17" si="16">STDEV(L13:L15)</f>
        <v>9.9999999999997868E-3</v>
      </c>
      <c r="M17" s="6">
        <f>STDEV(M13:M15)</f>
        <v>1.154700538379227E-2</v>
      </c>
      <c r="N17" s="35">
        <f>STDEV(N13:N15)</f>
        <v>3.5118845842842181E-2</v>
      </c>
      <c r="O17" s="7">
        <f>STDEV(O13:O15)</f>
        <v>3.2145502536643514E-2</v>
      </c>
      <c r="P17" s="6">
        <f t="shared" si="16"/>
        <v>2.0000000000000018E-2</v>
      </c>
      <c r="Q17" s="32">
        <f t="shared" si="16"/>
        <v>2.0816659994661878E-2</v>
      </c>
      <c r="R17" s="42">
        <f>STDEV(R14:R15)</f>
        <v>7.0710678118653244E-3</v>
      </c>
      <c r="S17" s="40">
        <f t="shared" si="16"/>
        <v>2.0000000000000018E-2</v>
      </c>
      <c r="T17" s="38">
        <f t="shared" si="16"/>
        <v>2.3094010767585053E-2</v>
      </c>
      <c r="U17" s="38">
        <f t="shared" si="16"/>
        <v>1.5275252316519626E-2</v>
      </c>
      <c r="V17" s="42">
        <f t="shared" si="16"/>
        <v>5.7735026918966474E-3</v>
      </c>
      <c r="W17" s="40">
        <f t="shared" si="16"/>
        <v>1.9999999999999574E-2</v>
      </c>
      <c r="X17" s="38">
        <f t="shared" si="16"/>
        <v>3.7859388972002035E-2</v>
      </c>
      <c r="Y17" s="43">
        <f t="shared" si="16"/>
        <v>2.5166114784236179E-2</v>
      </c>
      <c r="Z17" s="44">
        <f t="shared" si="16"/>
        <v>2.0000000000000018E-2</v>
      </c>
      <c r="AA17" s="40">
        <f t="shared" si="16"/>
        <v>5.7735026918961348E-3</v>
      </c>
      <c r="AB17" s="238"/>
      <c r="AC17" s="239"/>
      <c r="AD17" s="38">
        <f t="shared" si="16"/>
        <v>5.7735026918961348E-3</v>
      </c>
      <c r="AE17" s="40">
        <f t="shared" si="16"/>
        <v>3.2145502536643146E-2</v>
      </c>
      <c r="AF17" s="6">
        <f t="shared" si="16"/>
        <v>1.5275252316519142E-2</v>
      </c>
      <c r="AG17" s="32">
        <f t="shared" si="16"/>
        <v>1.7320508075689429E-2</v>
      </c>
      <c r="AH17" s="42">
        <f t="shared" si="16"/>
        <v>1.527525231651914E-2</v>
      </c>
      <c r="AI17" s="43">
        <f t="shared" si="16"/>
        <v>2.5166114784236117E-2</v>
      </c>
      <c r="AJ17" s="6">
        <f t="shared" si="16"/>
        <v>3.0550504633038766E-2</v>
      </c>
      <c r="AK17" s="6">
        <f t="shared" si="16"/>
        <v>3.4641016151377831E-2</v>
      </c>
      <c r="AL17" s="42">
        <f t="shared" si="16"/>
        <v>1.0000000000000231E-2</v>
      </c>
      <c r="AM17" s="6">
        <f t="shared" si="16"/>
        <v>3.0550504633039058E-2</v>
      </c>
      <c r="AN17" s="42">
        <f t="shared" si="16"/>
        <v>1.5275252316519529E-2</v>
      </c>
      <c r="AO17" s="32">
        <f t="shared" si="16"/>
        <v>3.055050463303877E-2</v>
      </c>
      <c r="AP17" s="6">
        <f t="shared" si="16"/>
        <v>1.5275252316519626E-2</v>
      </c>
      <c r="AQ17" s="32">
        <f t="shared" si="16"/>
        <v>2.6457513110646348E-2</v>
      </c>
      <c r="AR17" s="6">
        <f t="shared" si="16"/>
        <v>1.5275252316519527E-2</v>
      </c>
      <c r="AS17" s="6">
        <f t="shared" si="16"/>
        <v>2.0000000000000018E-2</v>
      </c>
      <c r="AT17" s="44">
        <f t="shared" si="16"/>
        <v>3.0550504633038669E-2</v>
      </c>
      <c r="AU17" s="40">
        <f t="shared" si="16"/>
        <v>3.0550504633038766E-2</v>
      </c>
      <c r="AV17" s="38">
        <f t="shared" si="16"/>
        <v>1.5275252316519626E-2</v>
      </c>
      <c r="AW17" s="40">
        <f t="shared" si="16"/>
        <v>1.0000000000000231E-2</v>
      </c>
      <c r="AX17" s="42">
        <f t="shared" si="16"/>
        <v>3.2145502536643007E-2</v>
      </c>
      <c r="AY17" s="38">
        <f t="shared" si="16"/>
        <v>5.7735026918961348E-3</v>
      </c>
      <c r="AZ17" s="42">
        <f t="shared" si="16"/>
        <v>2.9999999999999805E-2</v>
      </c>
      <c r="BA17" s="40">
        <f t="shared" si="16"/>
        <v>2.0000000000000018E-2</v>
      </c>
      <c r="BB17" s="38">
        <f t="shared" si="16"/>
        <v>2.0000000000000018E-2</v>
      </c>
      <c r="BC17" s="43">
        <f t="shared" si="16"/>
        <v>1.5275252316519626E-2</v>
      </c>
      <c r="BD17" s="38">
        <f t="shared" si="16"/>
        <v>1.0000000000000231E-2</v>
      </c>
      <c r="BE17" s="40">
        <f t="shared" si="16"/>
        <v>1.5275252316519626E-2</v>
      </c>
      <c r="BF17" s="38">
        <f t="shared" si="16"/>
        <v>2.0000000000000018E-2</v>
      </c>
      <c r="BG17" s="40">
        <f t="shared" si="16"/>
        <v>2.0000000000000018E-2</v>
      </c>
      <c r="BH17" s="42">
        <f t="shared" si="16"/>
        <v>2.0000000000000018E-2</v>
      </c>
      <c r="BI17" s="38">
        <f t="shared" si="16"/>
        <v>1.1547005383792781E-2</v>
      </c>
      <c r="BJ17" s="42">
        <f t="shared" si="16"/>
        <v>1.1547005383792781E-2</v>
      </c>
      <c r="BK17" s="40">
        <f t="shared" si="16"/>
        <v>2.5166114784236179E-2</v>
      </c>
      <c r="BL17" s="38">
        <f t="shared" si="16"/>
        <v>1.1547005383792781E-2</v>
      </c>
      <c r="BM17" s="43">
        <f t="shared" si="16"/>
        <v>1.7320508075688915E-2</v>
      </c>
      <c r="BN17" s="38">
        <f t="shared" si="16"/>
        <v>3.0550504633039158E-2</v>
      </c>
      <c r="BO17" s="40">
        <f t="shared" si="16"/>
        <v>3.6055512754639613E-2</v>
      </c>
      <c r="BP17" s="240"/>
      <c r="BQ17" s="239"/>
      <c r="BR17" s="42">
        <f t="shared" ref="BR17:EC17" si="17">STDEV(BR13:BR15)</f>
        <v>1.5275252316519626E-2</v>
      </c>
      <c r="BS17" s="38">
        <f t="shared" si="17"/>
        <v>2.0816659994660883E-2</v>
      </c>
      <c r="BT17" s="42">
        <f t="shared" si="17"/>
        <v>2.081665999466124E-2</v>
      </c>
      <c r="BU17" s="40">
        <f>STDEV(BU14:BU15)</f>
        <v>1.4142135623730649E-2</v>
      </c>
      <c r="BV17" s="38">
        <f t="shared" si="17"/>
        <v>2.0000000000000018E-2</v>
      </c>
      <c r="BW17" s="43">
        <f t="shared" si="17"/>
        <v>2.88675134594817E-2</v>
      </c>
      <c r="BX17" s="38">
        <f t="shared" si="17"/>
        <v>2.0000000000000018E-2</v>
      </c>
      <c r="BY17" s="40">
        <f t="shared" si="17"/>
        <v>1.9999999999999574E-2</v>
      </c>
      <c r="BZ17" s="42">
        <f t="shared" si="17"/>
        <v>5.7735026918961348E-3</v>
      </c>
      <c r="CA17" s="40">
        <f t="shared" si="17"/>
        <v>5.7735026918961348E-3</v>
      </c>
      <c r="CB17" s="42">
        <f t="shared" si="17"/>
        <v>3.0000000000000249E-2</v>
      </c>
      <c r="CC17" s="38">
        <f t="shared" si="17"/>
        <v>1.5275252316519626E-2</v>
      </c>
      <c r="CD17" s="42">
        <f t="shared" si="17"/>
        <v>2.9999999999999805E-2</v>
      </c>
      <c r="CE17" s="40">
        <f t="shared" si="17"/>
        <v>2.081665999466124E-2</v>
      </c>
      <c r="CF17" s="38">
        <f t="shared" si="17"/>
        <v>3.2145502536643514E-2</v>
      </c>
      <c r="CG17" s="43">
        <f t="shared" si="17"/>
        <v>4.0414518843273899E-2</v>
      </c>
      <c r="CH17" s="38">
        <f t="shared" si="17"/>
        <v>1.154700538379227E-2</v>
      </c>
      <c r="CI17" s="40">
        <f t="shared" si="17"/>
        <v>1.5275252316519142E-2</v>
      </c>
      <c r="CJ17" s="42">
        <f t="shared" si="17"/>
        <v>1.1547005383792781E-2</v>
      </c>
      <c r="CK17" s="40">
        <f t="shared" si="17"/>
        <v>1.1547005383792781E-2</v>
      </c>
      <c r="CL17" s="42">
        <f t="shared" si="17"/>
        <v>1.0000000000000231E-2</v>
      </c>
      <c r="CM17" s="38">
        <f t="shared" si="17"/>
        <v>1.5275252316519142E-2</v>
      </c>
      <c r="CN17" s="42">
        <f t="shared" si="17"/>
        <v>0</v>
      </c>
      <c r="CO17" s="40">
        <f t="shared" si="17"/>
        <v>9.9999999999997868E-3</v>
      </c>
      <c r="CP17" s="38">
        <f t="shared" si="17"/>
        <v>1.0877919644084146E-15</v>
      </c>
      <c r="CQ17" s="43">
        <f t="shared" si="17"/>
        <v>1.1547005383792781E-2</v>
      </c>
      <c r="CR17" s="38">
        <f t="shared" si="17"/>
        <v>2.6457513110645845E-2</v>
      </c>
      <c r="CS17" s="40">
        <f t="shared" si="17"/>
        <v>1.0000000000000231E-2</v>
      </c>
      <c r="CT17" s="42">
        <f t="shared" si="17"/>
        <v>1.1547005383792781E-2</v>
      </c>
      <c r="CU17" s="40">
        <f t="shared" si="17"/>
        <v>1.154700538379227E-2</v>
      </c>
      <c r="CV17" s="42">
        <f t="shared" si="17"/>
        <v>1.5275252316519529E-2</v>
      </c>
      <c r="CW17" s="38">
        <f t="shared" si="17"/>
        <v>5.7735026918961348E-3</v>
      </c>
      <c r="CX17" s="42">
        <f t="shared" si="17"/>
        <v>1.1547005383792781E-2</v>
      </c>
      <c r="CY17" s="40">
        <f t="shared" si="17"/>
        <v>3.0550504633038766E-2</v>
      </c>
      <c r="CZ17" s="38">
        <f t="shared" si="17"/>
        <v>5.7735026918961348E-3</v>
      </c>
      <c r="DA17" s="43">
        <f t="shared" si="17"/>
        <v>2.0000000000000018E-2</v>
      </c>
      <c r="DB17" s="6">
        <f t="shared" si="17"/>
        <v>0.58025856305616053</v>
      </c>
      <c r="DC17" s="32">
        <f t="shared" si="17"/>
        <v>2.0000000000000018E-2</v>
      </c>
      <c r="DD17" s="42">
        <f t="shared" si="17"/>
        <v>9.9999999999997868E-3</v>
      </c>
      <c r="DE17" s="40">
        <f t="shared" si="17"/>
        <v>5.7735026918961348E-3</v>
      </c>
      <c r="DF17" s="38">
        <f t="shared" si="17"/>
        <v>1.154700538379227E-2</v>
      </c>
      <c r="DG17" s="38">
        <f t="shared" si="17"/>
        <v>5.7735026918966474E-3</v>
      </c>
      <c r="DH17" s="42">
        <f t="shared" si="17"/>
        <v>5.7735026918961348E-3</v>
      </c>
      <c r="DI17" s="40">
        <f t="shared" si="17"/>
        <v>1.527525231651914E-2</v>
      </c>
      <c r="DJ17" s="38">
        <f t="shared" si="17"/>
        <v>1.0000000000000231E-2</v>
      </c>
      <c r="DK17" s="43">
        <f t="shared" si="17"/>
        <v>1.5275252316519529E-2</v>
      </c>
      <c r="DL17" s="6">
        <f t="shared" si="17"/>
        <v>1.1547005383792781E-2</v>
      </c>
      <c r="DM17" s="32">
        <f t="shared" si="17"/>
        <v>5.7735026918961348E-3</v>
      </c>
      <c r="DN17" s="42">
        <f t="shared" si="17"/>
        <v>2.0000000000000018E-2</v>
      </c>
      <c r="DO17" s="40">
        <f t="shared" si="17"/>
        <v>1.1547005383792781E-2</v>
      </c>
      <c r="DP17" s="38">
        <f t="shared" si="17"/>
        <v>5.7735026918961348E-3</v>
      </c>
      <c r="DQ17" s="38">
        <f t="shared" si="17"/>
        <v>2.0000000000000018E-2</v>
      </c>
      <c r="DR17" s="42">
        <f>STDEV(DR14:DR15)</f>
        <v>1.4142135623731277E-2</v>
      </c>
      <c r="DS17" s="40">
        <f t="shared" si="17"/>
        <v>2.6457513110645845E-2</v>
      </c>
      <c r="DT17" s="38">
        <f t="shared" si="17"/>
        <v>2.0000000000000018E-2</v>
      </c>
      <c r="DU17" s="43">
        <f t="shared" si="17"/>
        <v>1.0000000000000231E-2</v>
      </c>
      <c r="DV17" s="6">
        <f t="shared" si="17"/>
        <v>2.0816659994661382E-2</v>
      </c>
      <c r="DW17" s="32">
        <f t="shared" si="17"/>
        <v>5.7735026918966474E-3</v>
      </c>
      <c r="DX17" s="42">
        <f t="shared" si="17"/>
        <v>0</v>
      </c>
      <c r="DY17" s="40">
        <f t="shared" si="17"/>
        <v>5.7735026918961348E-3</v>
      </c>
      <c r="DZ17" s="38">
        <f t="shared" si="17"/>
        <v>1.1547005383792781E-2</v>
      </c>
      <c r="EA17" s="38">
        <f t="shared" si="17"/>
        <v>1.5275252316519626E-2</v>
      </c>
      <c r="EB17" s="42">
        <f t="shared" si="17"/>
        <v>1.154700538379227E-2</v>
      </c>
      <c r="EC17" s="40">
        <f t="shared" si="17"/>
        <v>1.5275252316519529E-2</v>
      </c>
      <c r="ED17" s="38">
        <f t="shared" ref="ED17:GC17" si="18">STDEV(ED13:ED15)</f>
        <v>5.7735026918961348E-3</v>
      </c>
      <c r="EE17" s="43">
        <f t="shared" si="18"/>
        <v>1.5275252316519626E-2</v>
      </c>
      <c r="EF17" s="6">
        <f t="shared" si="18"/>
        <v>1.5275252316519626E-2</v>
      </c>
      <c r="EG17" s="32">
        <f t="shared" si="18"/>
        <v>1.1547005383792781E-2</v>
      </c>
      <c r="EH17" s="42">
        <f t="shared" si="18"/>
        <v>9.9999999999997868E-3</v>
      </c>
      <c r="EI17" s="40">
        <f t="shared" si="18"/>
        <v>2.6457513110645845E-2</v>
      </c>
      <c r="EJ17" s="38">
        <f t="shared" si="18"/>
        <v>3.0550504633039155E-2</v>
      </c>
      <c r="EK17" s="38">
        <f t="shared" si="18"/>
        <v>2.0000000000000018E-2</v>
      </c>
      <c r="EL17" s="42">
        <f t="shared" si="18"/>
        <v>1.5275252316519626E-2</v>
      </c>
      <c r="EM17" s="40">
        <f t="shared" si="18"/>
        <v>1.0000000000000231E-2</v>
      </c>
      <c r="EN17" s="38">
        <f t="shared" si="18"/>
        <v>1.5275252316519626E-2</v>
      </c>
      <c r="EO17" s="43">
        <f t="shared" si="18"/>
        <v>1.5275252316519142E-2</v>
      </c>
      <c r="EP17" s="6">
        <f t="shared" si="18"/>
        <v>1.5275252316519529E-2</v>
      </c>
      <c r="EQ17" s="32">
        <f t="shared" si="18"/>
        <v>2.0000000000000018E-2</v>
      </c>
      <c r="ER17" s="42">
        <f t="shared" si="18"/>
        <v>5.7735026918961348E-3</v>
      </c>
      <c r="ES17" s="40">
        <f t="shared" si="18"/>
        <v>5.7735026918966474E-3</v>
      </c>
      <c r="ET17" s="38">
        <f t="shared" si="18"/>
        <v>1.5275252316519626E-2</v>
      </c>
      <c r="EU17" s="38">
        <f t="shared" si="18"/>
        <v>2.0000000000000018E-2</v>
      </c>
      <c r="EV17" s="42">
        <f t="shared" si="18"/>
        <v>9.9999999999997868E-3</v>
      </c>
      <c r="EW17" s="40">
        <f t="shared" si="18"/>
        <v>1.1547005383792781E-2</v>
      </c>
      <c r="EX17" s="38">
        <f t="shared" si="18"/>
        <v>2.0000000000000018E-2</v>
      </c>
      <c r="EY17" s="43">
        <f t="shared" si="18"/>
        <v>1.527525231651914E-2</v>
      </c>
      <c r="EZ17" s="6">
        <f t="shared" si="18"/>
        <v>5.7735026918966474E-3</v>
      </c>
      <c r="FA17" s="32">
        <f t="shared" si="18"/>
        <v>5.7735026918961348E-3</v>
      </c>
      <c r="FB17" s="42">
        <f t="shared" si="18"/>
        <v>4.0414518843273968E-2</v>
      </c>
      <c r="FC17" s="38">
        <f t="shared" si="18"/>
        <v>5.7735026918966474E-3</v>
      </c>
      <c r="FD17" s="42">
        <f t="shared" si="18"/>
        <v>5.7735026918966474E-3</v>
      </c>
      <c r="FE17" s="40">
        <f t="shared" si="18"/>
        <v>1.154700538379227E-2</v>
      </c>
      <c r="FF17" s="38">
        <f t="shared" si="18"/>
        <v>1.5275252316519142E-2</v>
      </c>
      <c r="FG17" s="40">
        <f t="shared" si="18"/>
        <v>2.3094010767585053E-2</v>
      </c>
      <c r="FH17" s="38">
        <f t="shared" si="18"/>
        <v>1.0000000000000231E-2</v>
      </c>
      <c r="FI17" s="43">
        <f t="shared" si="18"/>
        <v>5.7735026918966474E-3</v>
      </c>
      <c r="FJ17" s="2">
        <f t="shared" si="18"/>
        <v>1.0000000000000231E-2</v>
      </c>
      <c r="FK17" s="32">
        <f t="shared" si="18"/>
        <v>1.1547005383792781E-2</v>
      </c>
      <c r="FL17" s="47">
        <f t="shared" si="18"/>
        <v>9.9999999999997868E-3</v>
      </c>
      <c r="FM17" s="40">
        <f t="shared" si="18"/>
        <v>1.1547005383792781E-2</v>
      </c>
      <c r="FN17" s="38">
        <f t="shared" si="18"/>
        <v>5.7735026918966474E-3</v>
      </c>
      <c r="FO17" s="38">
        <f t="shared" si="18"/>
        <v>5.7735026918961348E-3</v>
      </c>
      <c r="FP17" s="42">
        <f t="shared" si="18"/>
        <v>1.0000000000000231E-2</v>
      </c>
      <c r="FQ17" s="40">
        <f t="shared" si="18"/>
        <v>2.6457513110645845E-2</v>
      </c>
      <c r="FR17" s="38">
        <f t="shared" si="18"/>
        <v>9.9999999999997868E-3</v>
      </c>
      <c r="FS17" s="43">
        <f t="shared" si="18"/>
        <v>9.9999999999997868E-3</v>
      </c>
      <c r="FT17" s="6">
        <f>STDEV(FT13:FT15)</f>
        <v>5.7735026918966474E-3</v>
      </c>
      <c r="FU17" s="32">
        <f>STDEV(FU13:FU15)</f>
        <v>3.7859388972001529E-2</v>
      </c>
      <c r="FV17" s="45">
        <f>STDEV(FV13:FV15)</f>
        <v>2.0000000000000018E-2</v>
      </c>
      <c r="FW17" s="45">
        <f>STDEV(FW13:FW15)</f>
        <v>2.0000000000000018E-2</v>
      </c>
      <c r="FX17" s="47">
        <f t="shared" si="18"/>
        <v>1.9999999999999574E-2</v>
      </c>
      <c r="FY17" s="49">
        <f t="shared" si="18"/>
        <v>2.0000000000000018E-2</v>
      </c>
      <c r="FZ17" s="47">
        <f t="shared" si="18"/>
        <v>2.0000000000000018E-2</v>
      </c>
      <c r="GA17" s="49">
        <f t="shared" si="18"/>
        <v>2.0000000000000018E-2</v>
      </c>
      <c r="GB17" s="45">
        <f t="shared" si="18"/>
        <v>9.9999999999997868E-3</v>
      </c>
      <c r="GC17" s="50">
        <f t="shared" si="18"/>
        <v>2.0000000000000462E-2</v>
      </c>
      <c r="GD17" s="2">
        <f>STDEV(GD13:GD15)</f>
        <v>9.9999999999997868E-3</v>
      </c>
      <c r="GE17" s="32">
        <f>STDEV(GE13:GE15)</f>
        <v>5.7735026918966474E-3</v>
      </c>
      <c r="GF17" s="42">
        <f>STDEV(GF13:GF15)</f>
        <v>1.0000000000000231E-2</v>
      </c>
      <c r="GG17" s="40">
        <f>STDEV(GG13:GG15)</f>
        <v>5.7735026918966474E-3</v>
      </c>
      <c r="GH17" s="38">
        <f t="shared" ref="GH17:GM17" si="19">STDEV(GH13:GH15)</f>
        <v>5.7735026918961348E-3</v>
      </c>
      <c r="GI17" s="38">
        <f t="shared" si="19"/>
        <v>5.7735026918961348E-3</v>
      </c>
      <c r="GJ17" s="47">
        <f t="shared" si="19"/>
        <v>9.9999999999997868E-3</v>
      </c>
      <c r="GK17" s="40">
        <f t="shared" si="19"/>
        <v>1.5275252316519626E-2</v>
      </c>
      <c r="GL17" s="38">
        <f t="shared" si="19"/>
        <v>5.7735026918961348E-3</v>
      </c>
      <c r="GM17" s="50">
        <f t="shared" si="19"/>
        <v>1.0000000000000231E-2</v>
      </c>
      <c r="GN17" s="6">
        <f>STDEV(GN13:GN15)</f>
        <v>0</v>
      </c>
      <c r="GO17" s="32">
        <f>STDEV(GO13:GO15)</f>
        <v>1.154700538379227E-2</v>
      </c>
      <c r="GP17" s="42">
        <f>STDEV(GP13:GP15)</f>
        <v>0.57743686523578774</v>
      </c>
      <c r="GQ17" s="40">
        <f>STDEV(GQ13:GQ15)</f>
        <v>1.5275252316519626E-2</v>
      </c>
      <c r="GR17" s="38">
        <f t="shared" ref="GR17:GW17" si="20">STDEV(GR13:GR15)</f>
        <v>1.0000000000000231E-2</v>
      </c>
      <c r="GS17" s="38">
        <f t="shared" si="20"/>
        <v>1.527525231651914E-2</v>
      </c>
      <c r="GT17" s="42">
        <f t="shared" si="20"/>
        <v>1.154700538379227E-2</v>
      </c>
      <c r="GU17" s="40">
        <f t="shared" si="20"/>
        <v>0</v>
      </c>
      <c r="GV17" s="38">
        <f t="shared" si="20"/>
        <v>1.1547005383792781E-2</v>
      </c>
      <c r="GW17" s="43">
        <f t="shared" si="20"/>
        <v>1.154700538379227E-2</v>
      </c>
    </row>
    <row r="18" spans="1:1046" x14ac:dyDescent="0.2">
      <c r="A18" s="1"/>
      <c r="B18" s="241" t="s">
        <v>89</v>
      </c>
      <c r="C18" s="51">
        <v>1</v>
      </c>
      <c r="D18" s="242">
        <v>630</v>
      </c>
      <c r="E18" s="243">
        <v>2310</v>
      </c>
      <c r="F18" s="53">
        <v>527</v>
      </c>
      <c r="G18" s="54">
        <v>2250</v>
      </c>
      <c r="H18" s="56">
        <v>1093</v>
      </c>
      <c r="I18" s="58">
        <v>2080</v>
      </c>
      <c r="J18" s="75">
        <v>1075</v>
      </c>
      <c r="K18" s="58">
        <v>1832</v>
      </c>
      <c r="L18" s="54">
        <v>1092</v>
      </c>
      <c r="M18" s="59">
        <v>1578</v>
      </c>
      <c r="N18" s="56">
        <v>1181</v>
      </c>
      <c r="O18" s="60">
        <v>1581</v>
      </c>
      <c r="P18" s="59">
        <v>1187</v>
      </c>
      <c r="Q18" s="58">
        <v>1488</v>
      </c>
      <c r="R18" s="3">
        <v>1090</v>
      </c>
      <c r="S18" s="33">
        <v>1018</v>
      </c>
      <c r="T18" s="217">
        <v>1226</v>
      </c>
      <c r="U18" s="2">
        <v>1558</v>
      </c>
      <c r="V18" s="36">
        <v>1139</v>
      </c>
      <c r="W18" s="28">
        <v>1458</v>
      </c>
      <c r="X18" s="2">
        <v>1173</v>
      </c>
      <c r="Y18" s="4">
        <v>1474</v>
      </c>
      <c r="Z18" s="79">
        <v>1231</v>
      </c>
      <c r="AA18" s="28">
        <v>1573</v>
      </c>
      <c r="AB18" s="208"/>
      <c r="AC18" s="209"/>
      <c r="AD18" s="59">
        <v>1153</v>
      </c>
      <c r="AE18" s="66">
        <v>1652</v>
      </c>
      <c r="AF18" s="56">
        <v>1159</v>
      </c>
      <c r="AG18" s="58">
        <v>1931</v>
      </c>
      <c r="AH18" s="3">
        <v>1153</v>
      </c>
      <c r="AI18" s="4">
        <v>1848</v>
      </c>
      <c r="AJ18" s="59">
        <v>1169</v>
      </c>
      <c r="AK18" s="59">
        <v>1554</v>
      </c>
      <c r="AL18" s="56">
        <v>1070</v>
      </c>
      <c r="AM18" s="58">
        <v>1405</v>
      </c>
      <c r="AN18" s="53">
        <v>1135</v>
      </c>
      <c r="AO18" s="64">
        <v>1399</v>
      </c>
      <c r="AP18" s="59">
        <v>1120</v>
      </c>
      <c r="AQ18" s="58">
        <v>1393</v>
      </c>
      <c r="AR18" s="59">
        <v>1153</v>
      </c>
      <c r="AS18" s="65">
        <v>1393</v>
      </c>
      <c r="AT18" s="2">
        <v>1099</v>
      </c>
      <c r="AU18" s="28">
        <v>1335</v>
      </c>
      <c r="AV18" s="2">
        <v>1136</v>
      </c>
      <c r="AW18" s="28">
        <v>1315</v>
      </c>
      <c r="AX18" s="3">
        <v>1158</v>
      </c>
      <c r="AY18" s="217">
        <v>1297</v>
      </c>
      <c r="AZ18" s="3">
        <v>1131</v>
      </c>
      <c r="BA18" s="28">
        <v>1293</v>
      </c>
      <c r="BB18" s="2">
        <v>1153</v>
      </c>
      <c r="BC18" s="4">
        <v>1301</v>
      </c>
      <c r="BD18" s="2">
        <v>1311</v>
      </c>
      <c r="BE18" s="28">
        <v>1372</v>
      </c>
      <c r="BF18" s="2">
        <v>1285</v>
      </c>
      <c r="BG18" s="28">
        <v>1385</v>
      </c>
      <c r="BH18" s="36">
        <v>1338</v>
      </c>
      <c r="BI18" s="2">
        <v>1391</v>
      </c>
      <c r="BJ18" s="36">
        <v>1331</v>
      </c>
      <c r="BK18" s="28">
        <v>1412</v>
      </c>
      <c r="BL18" s="2">
        <v>1352</v>
      </c>
      <c r="BM18" s="4">
        <v>1444</v>
      </c>
      <c r="BN18" s="2">
        <v>1291</v>
      </c>
      <c r="BO18" s="28">
        <v>1317</v>
      </c>
      <c r="BP18" s="210"/>
      <c r="BQ18" s="211"/>
      <c r="BR18" s="3">
        <v>1645</v>
      </c>
      <c r="BS18" s="2">
        <v>1637</v>
      </c>
      <c r="BT18" s="36">
        <v>1651</v>
      </c>
      <c r="BU18" s="28">
        <v>1877</v>
      </c>
      <c r="BV18" s="2">
        <v>1680</v>
      </c>
      <c r="BW18" s="4">
        <v>1912</v>
      </c>
      <c r="BX18" s="2">
        <v>1719</v>
      </c>
      <c r="BY18" s="28">
        <v>1923</v>
      </c>
      <c r="BZ18" s="3">
        <v>1654</v>
      </c>
      <c r="CA18" s="28">
        <v>1825</v>
      </c>
      <c r="CB18" s="3">
        <v>1679</v>
      </c>
      <c r="CC18" s="217">
        <v>1883</v>
      </c>
      <c r="CD18" s="36">
        <v>2180</v>
      </c>
      <c r="CE18" s="28">
        <v>1843</v>
      </c>
      <c r="CF18" s="2">
        <v>2160</v>
      </c>
      <c r="CG18" s="4">
        <v>1878</v>
      </c>
      <c r="CH18" s="62">
        <v>2280</v>
      </c>
      <c r="CI18" s="28">
        <v>1963</v>
      </c>
      <c r="CJ18" s="3">
        <v>2270</v>
      </c>
      <c r="CK18" s="28">
        <v>2190</v>
      </c>
      <c r="CL18" s="36">
        <v>2210</v>
      </c>
      <c r="CM18" s="217">
        <v>2170</v>
      </c>
      <c r="CN18" s="3">
        <v>2340</v>
      </c>
      <c r="CO18" s="28">
        <v>2210</v>
      </c>
      <c r="CP18" s="2">
        <v>1246</v>
      </c>
      <c r="CQ18" s="4">
        <v>2250</v>
      </c>
      <c r="CR18" s="2">
        <v>1288</v>
      </c>
      <c r="CS18" s="28">
        <v>1946</v>
      </c>
      <c r="CT18" s="3">
        <v>1325</v>
      </c>
      <c r="CU18" s="28">
        <v>1759</v>
      </c>
      <c r="CV18" s="3">
        <v>1243</v>
      </c>
      <c r="CW18" s="2">
        <v>1635</v>
      </c>
      <c r="CX18" s="3">
        <v>1250</v>
      </c>
      <c r="CY18" s="28">
        <v>1513</v>
      </c>
      <c r="CZ18" s="2">
        <v>1088</v>
      </c>
      <c r="DA18" s="4">
        <v>1461</v>
      </c>
      <c r="DB18" s="59">
        <v>1553</v>
      </c>
      <c r="DC18" s="58">
        <v>1115</v>
      </c>
      <c r="DD18" s="3">
        <v>1397</v>
      </c>
      <c r="DE18" s="28">
        <v>2020</v>
      </c>
      <c r="DF18" s="2">
        <v>1710</v>
      </c>
      <c r="DG18" s="2">
        <v>1151</v>
      </c>
      <c r="DH18" s="3">
        <v>1635</v>
      </c>
      <c r="DI18" s="33">
        <v>2050</v>
      </c>
      <c r="DJ18" s="2">
        <v>1865</v>
      </c>
      <c r="DK18" s="4">
        <v>1523</v>
      </c>
      <c r="DL18" s="59">
        <v>1761</v>
      </c>
      <c r="DM18" s="58">
        <v>1519</v>
      </c>
      <c r="DN18" s="3">
        <v>2030</v>
      </c>
      <c r="DO18" s="33">
        <v>1966</v>
      </c>
      <c r="DP18" s="2">
        <v>2150</v>
      </c>
      <c r="DQ18" s="2">
        <v>1980</v>
      </c>
      <c r="DR18" s="36">
        <v>2030</v>
      </c>
      <c r="DS18" s="28">
        <v>2040</v>
      </c>
      <c r="DT18" s="217">
        <v>2050</v>
      </c>
      <c r="DU18" s="4">
        <v>2040</v>
      </c>
      <c r="DV18" s="54">
        <v>2150</v>
      </c>
      <c r="DW18" s="66">
        <v>2040</v>
      </c>
      <c r="DX18" s="3">
        <v>2100</v>
      </c>
      <c r="DY18" s="28">
        <v>2070</v>
      </c>
      <c r="DZ18" s="2">
        <v>2110</v>
      </c>
      <c r="EA18" s="217">
        <v>1944</v>
      </c>
      <c r="EB18" s="3">
        <v>1615</v>
      </c>
      <c r="EC18" s="33">
        <v>1950</v>
      </c>
      <c r="ED18" s="2">
        <v>1636</v>
      </c>
      <c r="EE18" s="4">
        <v>2060</v>
      </c>
      <c r="EF18" s="59">
        <v>1612</v>
      </c>
      <c r="EG18" s="66">
        <v>1834</v>
      </c>
      <c r="EH18" s="3">
        <v>1865</v>
      </c>
      <c r="EI18" s="33">
        <v>1791</v>
      </c>
      <c r="EJ18" s="2">
        <v>1938</v>
      </c>
      <c r="EK18" s="2">
        <v>1823</v>
      </c>
      <c r="EL18" s="3">
        <v>1383</v>
      </c>
      <c r="EM18" s="28">
        <v>1189</v>
      </c>
      <c r="EN18" s="2">
        <v>1397</v>
      </c>
      <c r="EO18" s="67">
        <v>1179</v>
      </c>
      <c r="EP18" s="59">
        <v>1672</v>
      </c>
      <c r="EQ18" s="66">
        <v>1616</v>
      </c>
      <c r="ER18" s="3">
        <v>1454</v>
      </c>
      <c r="ES18" s="28">
        <v>1690</v>
      </c>
      <c r="ET18" s="2">
        <v>1559</v>
      </c>
      <c r="EU18" s="2">
        <v>1602</v>
      </c>
      <c r="EV18" s="3">
        <v>1039</v>
      </c>
      <c r="EW18" s="28">
        <v>1191</v>
      </c>
      <c r="EX18" s="217">
        <v>1585</v>
      </c>
      <c r="EY18" s="67">
        <v>1623</v>
      </c>
      <c r="EZ18" s="59">
        <v>2390</v>
      </c>
      <c r="FA18" s="58">
        <v>1401</v>
      </c>
      <c r="FB18" s="3">
        <v>1355</v>
      </c>
      <c r="FC18" s="2">
        <v>1260</v>
      </c>
      <c r="FD18" s="3">
        <v>1233</v>
      </c>
      <c r="FE18" s="28">
        <v>1254</v>
      </c>
      <c r="FF18" s="2">
        <v>1015</v>
      </c>
      <c r="FG18" s="28">
        <v>1373</v>
      </c>
      <c r="FH18" s="2">
        <v>1370</v>
      </c>
      <c r="FI18" s="4">
        <v>1382</v>
      </c>
      <c r="FJ18" s="59">
        <v>1024</v>
      </c>
      <c r="FK18" s="58">
        <v>1066</v>
      </c>
      <c r="FL18" s="3">
        <v>970</v>
      </c>
      <c r="FM18" s="28">
        <v>1020</v>
      </c>
      <c r="FN18" s="2">
        <v>993</v>
      </c>
      <c r="FO18" s="2">
        <v>1150</v>
      </c>
      <c r="FP18" s="3">
        <v>1325</v>
      </c>
      <c r="FQ18" s="33">
        <v>1523</v>
      </c>
      <c r="FR18" s="2">
        <v>1053</v>
      </c>
      <c r="FS18" s="4">
        <v>1124</v>
      </c>
      <c r="FT18" s="59">
        <v>1762</v>
      </c>
      <c r="FU18" s="58">
        <v>1418</v>
      </c>
      <c r="FV18" s="2">
        <v>1305</v>
      </c>
      <c r="FW18" s="2">
        <v>1647</v>
      </c>
      <c r="FX18" s="3">
        <v>1330</v>
      </c>
      <c r="FY18" s="28">
        <v>1332</v>
      </c>
      <c r="FZ18" s="3">
        <v>1305</v>
      </c>
      <c r="GA18" s="28">
        <v>1647</v>
      </c>
      <c r="GB18" s="2">
        <v>1401</v>
      </c>
      <c r="GC18" s="4">
        <v>1492</v>
      </c>
      <c r="GD18" s="59">
        <v>1469</v>
      </c>
      <c r="GE18" s="58">
        <v>1593</v>
      </c>
      <c r="GF18" s="3">
        <v>2180</v>
      </c>
      <c r="GG18" s="28">
        <v>1234</v>
      </c>
      <c r="GH18" s="2">
        <v>1307</v>
      </c>
      <c r="GI18" s="2">
        <v>1193</v>
      </c>
      <c r="GJ18" s="36">
        <v>2380</v>
      </c>
      <c r="GK18" s="28">
        <v>2060</v>
      </c>
      <c r="GL18" s="2">
        <v>1344</v>
      </c>
      <c r="GM18" s="4">
        <v>1294</v>
      </c>
      <c r="GN18" s="59">
        <v>1455</v>
      </c>
      <c r="GO18" s="66">
        <v>2270</v>
      </c>
      <c r="GP18" s="3">
        <v>1186</v>
      </c>
      <c r="GQ18" s="28">
        <v>2320</v>
      </c>
      <c r="GR18" s="2">
        <v>1346</v>
      </c>
      <c r="GS18" s="2">
        <v>1388</v>
      </c>
      <c r="GT18" s="3">
        <v>1202</v>
      </c>
      <c r="GU18" s="28">
        <v>1364</v>
      </c>
      <c r="GV18" s="2">
        <v>1266</v>
      </c>
      <c r="GW18" s="4">
        <v>1299</v>
      </c>
    </row>
    <row r="19" spans="1:1046" x14ac:dyDescent="0.2">
      <c r="A19" s="2"/>
      <c r="B19" s="205"/>
      <c r="C19" s="23">
        <v>2</v>
      </c>
      <c r="D19" s="212">
        <v>505</v>
      </c>
      <c r="E19" s="213">
        <v>2260</v>
      </c>
      <c r="F19" s="68">
        <v>514</v>
      </c>
      <c r="G19" s="217">
        <v>2270</v>
      </c>
      <c r="H19" s="3">
        <v>1085</v>
      </c>
      <c r="I19" s="33">
        <v>1989</v>
      </c>
      <c r="J19" s="36">
        <v>1072</v>
      </c>
      <c r="K19" s="33">
        <v>1774</v>
      </c>
      <c r="L19" s="217">
        <v>1088</v>
      </c>
      <c r="M19" s="2">
        <v>1577</v>
      </c>
      <c r="N19" s="3">
        <v>1182</v>
      </c>
      <c r="O19" s="67">
        <v>1584</v>
      </c>
      <c r="P19" s="2">
        <v>1187</v>
      </c>
      <c r="Q19" s="28">
        <v>1492</v>
      </c>
      <c r="R19" s="36">
        <v>1071</v>
      </c>
      <c r="S19" s="28">
        <v>1036</v>
      </c>
      <c r="T19" s="217">
        <v>1216</v>
      </c>
      <c r="U19" s="2">
        <v>1558</v>
      </c>
      <c r="V19" s="3">
        <v>1159</v>
      </c>
      <c r="W19" s="28">
        <v>1462</v>
      </c>
      <c r="X19" s="2">
        <v>1164</v>
      </c>
      <c r="Y19" s="4">
        <v>1480</v>
      </c>
      <c r="Z19" s="79">
        <v>1248</v>
      </c>
      <c r="AA19" s="33">
        <v>1557</v>
      </c>
      <c r="AB19" s="214"/>
      <c r="AC19" s="211"/>
      <c r="AD19" s="2">
        <v>1150</v>
      </c>
      <c r="AE19" s="33">
        <v>1640</v>
      </c>
      <c r="AF19" s="3">
        <v>1145</v>
      </c>
      <c r="AG19" s="28">
        <v>1920</v>
      </c>
      <c r="AH19" s="3">
        <v>1156</v>
      </c>
      <c r="AI19" s="4">
        <v>1845</v>
      </c>
      <c r="AJ19" s="2">
        <v>1174</v>
      </c>
      <c r="AK19" s="2">
        <v>1557</v>
      </c>
      <c r="AL19" s="36">
        <v>1095</v>
      </c>
      <c r="AM19" s="28">
        <v>1403</v>
      </c>
      <c r="AN19" s="62">
        <v>1137</v>
      </c>
      <c r="AO19" s="62">
        <v>1401</v>
      </c>
      <c r="AP19" s="3">
        <v>1112</v>
      </c>
      <c r="AQ19" s="33">
        <v>1372</v>
      </c>
      <c r="AR19" s="2">
        <v>1152</v>
      </c>
      <c r="AS19" s="4">
        <v>1383</v>
      </c>
      <c r="AT19" s="2">
        <v>1107</v>
      </c>
      <c r="AU19" s="33">
        <v>1358</v>
      </c>
      <c r="AV19" s="2">
        <v>1135</v>
      </c>
      <c r="AW19" s="28">
        <v>1305</v>
      </c>
      <c r="AX19" s="3">
        <v>1154</v>
      </c>
      <c r="AY19" s="2">
        <v>1315</v>
      </c>
      <c r="AZ19" s="3">
        <v>1131</v>
      </c>
      <c r="BA19" s="28">
        <v>1280</v>
      </c>
      <c r="BB19" s="2">
        <v>1150</v>
      </c>
      <c r="BC19" s="4">
        <v>1298</v>
      </c>
      <c r="BD19" s="2">
        <v>1307</v>
      </c>
      <c r="BE19" s="28">
        <v>1372</v>
      </c>
      <c r="BF19" s="2">
        <v>1287</v>
      </c>
      <c r="BG19" s="28">
        <v>1385</v>
      </c>
      <c r="BH19" s="36">
        <v>1330</v>
      </c>
      <c r="BI19" s="2">
        <v>1398</v>
      </c>
      <c r="BJ19" s="3">
        <v>1301</v>
      </c>
      <c r="BK19" s="28">
        <v>1404</v>
      </c>
      <c r="BL19" s="2">
        <v>1356</v>
      </c>
      <c r="BM19" s="4">
        <v>1431</v>
      </c>
      <c r="BN19" s="2">
        <v>1289</v>
      </c>
      <c r="BO19" s="28">
        <v>1314</v>
      </c>
      <c r="BP19" s="210"/>
      <c r="BQ19" s="211"/>
      <c r="BR19" s="3">
        <v>1643</v>
      </c>
      <c r="BS19" s="2">
        <v>1630</v>
      </c>
      <c r="BT19" s="36">
        <v>1645</v>
      </c>
      <c r="BU19" s="28">
        <v>1882</v>
      </c>
      <c r="BV19" s="2">
        <v>1678</v>
      </c>
      <c r="BW19" s="4">
        <v>1919</v>
      </c>
      <c r="BX19" s="2">
        <v>1706</v>
      </c>
      <c r="BY19" s="28">
        <v>1918</v>
      </c>
      <c r="BZ19" s="3">
        <v>1660</v>
      </c>
      <c r="CA19" s="28">
        <v>1825</v>
      </c>
      <c r="CB19" s="36">
        <v>1653</v>
      </c>
      <c r="CC19" s="217">
        <v>1883</v>
      </c>
      <c r="CD19" s="36">
        <v>2180</v>
      </c>
      <c r="CE19" s="28">
        <v>1840</v>
      </c>
      <c r="CF19" s="2">
        <v>2160</v>
      </c>
      <c r="CG19" s="4">
        <v>1877</v>
      </c>
      <c r="CH19" s="68">
        <v>2310</v>
      </c>
      <c r="CI19" s="28">
        <v>1956</v>
      </c>
      <c r="CJ19" s="3">
        <v>2280</v>
      </c>
      <c r="CK19" s="33">
        <v>2200</v>
      </c>
      <c r="CL19" s="36">
        <v>2220</v>
      </c>
      <c r="CM19" s="217">
        <v>2150</v>
      </c>
      <c r="CN19" s="3">
        <v>2340</v>
      </c>
      <c r="CO19" s="28">
        <v>2210</v>
      </c>
      <c r="CP19" s="2">
        <v>1256</v>
      </c>
      <c r="CQ19" s="4">
        <v>2240</v>
      </c>
      <c r="CR19" s="2">
        <v>1292</v>
      </c>
      <c r="CS19" s="28">
        <v>1936</v>
      </c>
      <c r="CT19" s="3">
        <v>1327</v>
      </c>
      <c r="CU19" s="28">
        <v>1759</v>
      </c>
      <c r="CV19" s="3">
        <v>1247</v>
      </c>
      <c r="CW19" s="2">
        <v>1637</v>
      </c>
      <c r="CX19" s="3">
        <v>1249</v>
      </c>
      <c r="CY19" s="28">
        <v>1513</v>
      </c>
      <c r="CZ19" s="2">
        <v>1090</v>
      </c>
      <c r="DA19" s="4">
        <v>1450</v>
      </c>
      <c r="DB19" s="2">
        <v>1563</v>
      </c>
      <c r="DC19" s="28">
        <v>1117</v>
      </c>
      <c r="DD19" s="3">
        <v>1399</v>
      </c>
      <c r="DE19" s="33">
        <v>2040</v>
      </c>
      <c r="DF19" s="2">
        <v>1712</v>
      </c>
      <c r="DG19" s="2">
        <v>1153</v>
      </c>
      <c r="DH19" s="3">
        <v>1632</v>
      </c>
      <c r="DI19" s="33">
        <v>2040</v>
      </c>
      <c r="DJ19" s="2">
        <v>1869</v>
      </c>
      <c r="DK19" s="4">
        <v>1515</v>
      </c>
      <c r="DL19" s="2">
        <v>1772</v>
      </c>
      <c r="DM19" s="28">
        <v>1526</v>
      </c>
      <c r="DN19" s="36">
        <v>2010</v>
      </c>
      <c r="DO19" s="33">
        <v>1948</v>
      </c>
      <c r="DP19" s="2">
        <v>2160</v>
      </c>
      <c r="DQ19" s="2">
        <v>1980</v>
      </c>
      <c r="DR19" s="36">
        <v>2040</v>
      </c>
      <c r="DS19" s="33">
        <v>2070</v>
      </c>
      <c r="DT19" s="2">
        <v>2070</v>
      </c>
      <c r="DU19" s="67">
        <v>2070</v>
      </c>
      <c r="DV19" s="217">
        <v>2160</v>
      </c>
      <c r="DW19" s="33">
        <v>2050</v>
      </c>
      <c r="DX19" s="36">
        <v>2130</v>
      </c>
      <c r="DY19" s="28">
        <v>2080</v>
      </c>
      <c r="DZ19" s="217">
        <v>2150</v>
      </c>
      <c r="EA19" s="2">
        <v>1956</v>
      </c>
      <c r="EB19" s="3">
        <v>1609</v>
      </c>
      <c r="EC19" s="33">
        <v>1952</v>
      </c>
      <c r="ED19" s="2">
        <v>1636</v>
      </c>
      <c r="EE19" s="4">
        <v>2050</v>
      </c>
      <c r="EF19" s="2">
        <v>1616</v>
      </c>
      <c r="EG19" s="33">
        <v>1834</v>
      </c>
      <c r="EH19" s="36">
        <v>1884</v>
      </c>
      <c r="EI19" s="33">
        <v>1786</v>
      </c>
      <c r="EJ19" s="2">
        <v>1938</v>
      </c>
      <c r="EK19" s="2">
        <v>1816</v>
      </c>
      <c r="EL19" s="3">
        <v>1386</v>
      </c>
      <c r="EM19" s="28">
        <v>1188</v>
      </c>
      <c r="EN19" s="2">
        <v>1398</v>
      </c>
      <c r="EO19" s="67">
        <v>1179</v>
      </c>
      <c r="EP19" s="2">
        <v>1674</v>
      </c>
      <c r="EQ19" s="28">
        <v>1633</v>
      </c>
      <c r="ER19" s="3">
        <v>1455</v>
      </c>
      <c r="ES19" s="28">
        <v>1691</v>
      </c>
      <c r="ET19" s="217">
        <v>1579</v>
      </c>
      <c r="EU19" s="2">
        <v>1603</v>
      </c>
      <c r="EV19" s="3">
        <v>1041</v>
      </c>
      <c r="EW19" s="28">
        <v>1193</v>
      </c>
      <c r="EX19" s="217">
        <v>1580</v>
      </c>
      <c r="EY19" s="4">
        <v>1591</v>
      </c>
      <c r="EZ19" s="217">
        <v>2410</v>
      </c>
      <c r="FA19" s="28">
        <v>1402</v>
      </c>
      <c r="FB19" s="36">
        <v>1313</v>
      </c>
      <c r="FC19" s="2">
        <v>1251</v>
      </c>
      <c r="FD19" s="3">
        <v>1242</v>
      </c>
      <c r="FE19" s="28">
        <v>1244</v>
      </c>
      <c r="FF19" s="217">
        <v>1107</v>
      </c>
      <c r="FG19" s="28">
        <v>1368</v>
      </c>
      <c r="FH19" s="2">
        <v>1372</v>
      </c>
      <c r="FI19" s="4">
        <v>1381</v>
      </c>
      <c r="FJ19" s="2">
        <v>1029</v>
      </c>
      <c r="FK19" s="28">
        <v>1069</v>
      </c>
      <c r="FL19" s="3">
        <v>974</v>
      </c>
      <c r="FM19" s="28">
        <v>1021</v>
      </c>
      <c r="FN19" s="2">
        <v>999</v>
      </c>
      <c r="FO19" s="2">
        <v>1154</v>
      </c>
      <c r="FP19" s="36">
        <v>1285</v>
      </c>
      <c r="FQ19" s="33">
        <v>1515</v>
      </c>
      <c r="FR19" s="2">
        <v>1056</v>
      </c>
      <c r="FS19" s="4">
        <v>1124</v>
      </c>
      <c r="FT19" s="217">
        <v>1798</v>
      </c>
      <c r="FU19" s="28">
        <v>1417</v>
      </c>
      <c r="FV19" s="2">
        <v>1306</v>
      </c>
      <c r="FW19" s="2">
        <v>1648</v>
      </c>
      <c r="FX19" s="3">
        <v>1331</v>
      </c>
      <c r="FY19" s="28">
        <v>1338</v>
      </c>
      <c r="FZ19" s="3">
        <v>1306</v>
      </c>
      <c r="GA19" s="28">
        <v>1648</v>
      </c>
      <c r="GB19" s="2">
        <v>1401</v>
      </c>
      <c r="GC19" s="4">
        <v>1494</v>
      </c>
      <c r="GD19" s="217">
        <v>1489</v>
      </c>
      <c r="GE19" s="28">
        <v>1597</v>
      </c>
      <c r="GF19" s="3">
        <v>2190</v>
      </c>
      <c r="GG19" s="28">
        <v>1236</v>
      </c>
      <c r="GH19" s="2">
        <v>1303</v>
      </c>
      <c r="GI19" s="217">
        <v>1221</v>
      </c>
      <c r="GJ19" s="36">
        <v>2380</v>
      </c>
      <c r="GK19" s="28">
        <v>2060</v>
      </c>
      <c r="GL19" s="217">
        <v>1377</v>
      </c>
      <c r="GM19" s="4">
        <v>1302</v>
      </c>
      <c r="GN19" s="2">
        <v>1457</v>
      </c>
      <c r="GO19" s="33">
        <v>2280</v>
      </c>
      <c r="GP19" s="3">
        <v>1190</v>
      </c>
      <c r="GQ19" s="28">
        <v>2320</v>
      </c>
      <c r="GR19" s="2">
        <v>1347</v>
      </c>
      <c r="GS19" s="2">
        <v>1390</v>
      </c>
      <c r="GT19" s="36">
        <v>1212</v>
      </c>
      <c r="GU19" s="28">
        <v>1364</v>
      </c>
      <c r="GV19" s="2">
        <v>1263</v>
      </c>
      <c r="GW19" s="4">
        <v>1302</v>
      </c>
    </row>
    <row r="20" spans="1:1046" x14ac:dyDescent="0.2">
      <c r="A20" s="2"/>
      <c r="B20" s="205"/>
      <c r="C20" s="23">
        <v>3</v>
      </c>
      <c r="D20" s="212">
        <v>506</v>
      </c>
      <c r="E20" s="213">
        <v>2270</v>
      </c>
      <c r="F20" s="68">
        <v>517</v>
      </c>
      <c r="G20" s="2">
        <v>2290</v>
      </c>
      <c r="H20" s="3">
        <v>1075</v>
      </c>
      <c r="I20" s="33">
        <v>1989</v>
      </c>
      <c r="J20" s="3">
        <v>1054</v>
      </c>
      <c r="K20" s="33">
        <v>1782</v>
      </c>
      <c r="L20" s="2">
        <v>1108</v>
      </c>
      <c r="M20" s="2">
        <v>1578</v>
      </c>
      <c r="N20" s="3">
        <v>1183</v>
      </c>
      <c r="O20" s="4">
        <v>1561</v>
      </c>
      <c r="P20" s="2">
        <v>1193</v>
      </c>
      <c r="Q20" s="28">
        <v>1495</v>
      </c>
      <c r="R20" s="36">
        <v>1079</v>
      </c>
      <c r="S20" s="33">
        <v>1024</v>
      </c>
      <c r="T20" s="2">
        <v>1198</v>
      </c>
      <c r="U20" s="2">
        <v>1558</v>
      </c>
      <c r="V20" s="36">
        <v>1147</v>
      </c>
      <c r="W20" s="28">
        <v>1449</v>
      </c>
      <c r="X20" s="2">
        <v>1163</v>
      </c>
      <c r="Y20" s="4">
        <v>1464</v>
      </c>
      <c r="Z20" s="79">
        <v>1235</v>
      </c>
      <c r="AA20" s="33">
        <v>1545</v>
      </c>
      <c r="AB20" s="214"/>
      <c r="AC20" s="211"/>
      <c r="AD20" s="2">
        <v>1141</v>
      </c>
      <c r="AE20" s="28">
        <v>1670</v>
      </c>
      <c r="AF20" s="3">
        <v>1151</v>
      </c>
      <c r="AG20" s="28">
        <v>1914</v>
      </c>
      <c r="AH20" s="3">
        <v>1152</v>
      </c>
      <c r="AI20" s="4">
        <v>1832</v>
      </c>
      <c r="AJ20" s="2">
        <v>1173</v>
      </c>
      <c r="AK20" s="2">
        <v>1557</v>
      </c>
      <c r="AL20" s="36">
        <v>1105</v>
      </c>
      <c r="AM20" s="28">
        <v>1398</v>
      </c>
      <c r="AN20" s="62">
        <v>1128</v>
      </c>
      <c r="AO20" s="62">
        <v>1390</v>
      </c>
      <c r="AP20" s="3">
        <v>1116</v>
      </c>
      <c r="AQ20" s="33">
        <v>1355</v>
      </c>
      <c r="AR20" s="2">
        <v>1153</v>
      </c>
      <c r="AS20" s="4">
        <v>1402</v>
      </c>
      <c r="AT20" s="2">
        <v>1103</v>
      </c>
      <c r="AU20" s="33">
        <v>1366</v>
      </c>
      <c r="AV20" s="2">
        <v>1136</v>
      </c>
      <c r="AW20" s="28">
        <v>1308</v>
      </c>
      <c r="AX20" s="3">
        <v>1141</v>
      </c>
      <c r="AY20" s="217">
        <v>1292</v>
      </c>
      <c r="AZ20" s="3">
        <v>1125</v>
      </c>
      <c r="BA20" s="28">
        <v>1291</v>
      </c>
      <c r="BB20" s="2">
        <v>1144</v>
      </c>
      <c r="BC20" s="4">
        <v>1296</v>
      </c>
      <c r="BD20" s="2">
        <v>1315</v>
      </c>
      <c r="BE20" s="28">
        <v>1374</v>
      </c>
      <c r="BF20" s="2">
        <v>1288</v>
      </c>
      <c r="BG20" s="28">
        <v>1394</v>
      </c>
      <c r="BH20" s="3">
        <v>1309</v>
      </c>
      <c r="BI20" s="2">
        <v>1392</v>
      </c>
      <c r="BJ20" s="36">
        <v>1323</v>
      </c>
      <c r="BK20" s="28">
        <v>1421</v>
      </c>
      <c r="BL20" s="2">
        <v>1355</v>
      </c>
      <c r="BM20" s="4">
        <v>1444</v>
      </c>
      <c r="BN20" s="2">
        <v>1295</v>
      </c>
      <c r="BO20" s="28">
        <v>1310</v>
      </c>
      <c r="BP20" s="210"/>
      <c r="BQ20" s="211"/>
      <c r="BR20" s="3">
        <v>1643</v>
      </c>
      <c r="BS20" s="2">
        <v>1630</v>
      </c>
      <c r="BT20" s="3">
        <v>1621</v>
      </c>
      <c r="BU20" s="28">
        <v>1877</v>
      </c>
      <c r="BV20" s="2">
        <v>1670</v>
      </c>
      <c r="BW20" s="4">
        <v>1917</v>
      </c>
      <c r="BX20" s="2">
        <v>1702</v>
      </c>
      <c r="BY20" s="28">
        <v>1932</v>
      </c>
      <c r="BZ20" s="3">
        <v>1665</v>
      </c>
      <c r="CA20" s="28">
        <v>1827</v>
      </c>
      <c r="CB20" s="36">
        <v>1642</v>
      </c>
      <c r="CC20" s="2">
        <v>1868</v>
      </c>
      <c r="CD20" s="3">
        <v>2160</v>
      </c>
      <c r="CE20" s="28">
        <v>1831</v>
      </c>
      <c r="CF20" s="2">
        <v>2160</v>
      </c>
      <c r="CG20" s="4">
        <v>1881</v>
      </c>
      <c r="CH20" s="68">
        <v>2310</v>
      </c>
      <c r="CI20" s="28">
        <v>1970</v>
      </c>
      <c r="CJ20" s="3">
        <v>2280</v>
      </c>
      <c r="CK20" s="33">
        <v>2210</v>
      </c>
      <c r="CL20" s="3">
        <v>2200</v>
      </c>
      <c r="CM20" s="2">
        <v>2300</v>
      </c>
      <c r="CN20" s="3">
        <v>2350</v>
      </c>
      <c r="CO20" s="28">
        <v>2210</v>
      </c>
      <c r="CP20" s="2">
        <v>1262</v>
      </c>
      <c r="CQ20" s="4">
        <v>2240</v>
      </c>
      <c r="CR20" s="2">
        <v>1292</v>
      </c>
      <c r="CS20" s="28">
        <v>1931</v>
      </c>
      <c r="CT20" s="3">
        <v>1329</v>
      </c>
      <c r="CU20" s="28">
        <v>1757</v>
      </c>
      <c r="CV20" s="3">
        <v>1231</v>
      </c>
      <c r="CW20" s="2">
        <v>1635</v>
      </c>
      <c r="CX20" s="3">
        <v>1250</v>
      </c>
      <c r="CY20" s="28">
        <v>1498</v>
      </c>
      <c r="CZ20" s="2">
        <v>1088</v>
      </c>
      <c r="DA20" s="4">
        <v>1452</v>
      </c>
      <c r="DB20" s="2">
        <v>1566</v>
      </c>
      <c r="DC20" s="28">
        <v>1114</v>
      </c>
      <c r="DD20" s="3">
        <v>1389</v>
      </c>
      <c r="DE20" s="33">
        <v>2040</v>
      </c>
      <c r="DF20" s="2">
        <v>1717</v>
      </c>
      <c r="DG20" s="2">
        <v>1153</v>
      </c>
      <c r="DH20" s="3">
        <v>1621</v>
      </c>
      <c r="DI20" s="28">
        <v>2060</v>
      </c>
      <c r="DJ20" s="2">
        <v>1883</v>
      </c>
      <c r="DK20" s="4">
        <v>1513</v>
      </c>
      <c r="DL20" s="2">
        <v>1782</v>
      </c>
      <c r="DM20" s="28">
        <v>1518</v>
      </c>
      <c r="DN20" s="36">
        <v>1995</v>
      </c>
      <c r="DO20" s="28">
        <v>1912</v>
      </c>
      <c r="DP20" s="2">
        <v>2150</v>
      </c>
      <c r="DQ20" s="2">
        <v>1975</v>
      </c>
      <c r="DR20" s="3">
        <v>2060</v>
      </c>
      <c r="DS20" s="33">
        <v>2070</v>
      </c>
      <c r="DT20" s="217">
        <v>2050</v>
      </c>
      <c r="DU20" s="67">
        <v>2070</v>
      </c>
      <c r="DV20" s="2">
        <v>2170</v>
      </c>
      <c r="DW20" s="28">
        <v>2090</v>
      </c>
      <c r="DX20" s="36">
        <v>2130</v>
      </c>
      <c r="DY20" s="28">
        <v>2080</v>
      </c>
      <c r="DZ20" s="217">
        <v>2130</v>
      </c>
      <c r="EA20" s="217">
        <v>1938</v>
      </c>
      <c r="EB20" s="3">
        <v>1610</v>
      </c>
      <c r="EC20" s="28">
        <v>1969</v>
      </c>
      <c r="ED20" s="2">
        <v>1641</v>
      </c>
      <c r="EE20" s="4">
        <v>2050</v>
      </c>
      <c r="EF20" s="2">
        <v>1615</v>
      </c>
      <c r="EG20" s="28">
        <v>1820</v>
      </c>
      <c r="EH20" s="36">
        <v>1898</v>
      </c>
      <c r="EI20" s="28">
        <v>1806</v>
      </c>
      <c r="EJ20" s="2">
        <v>1931</v>
      </c>
      <c r="EK20" s="2">
        <v>1809</v>
      </c>
      <c r="EL20" s="3">
        <v>1386</v>
      </c>
      <c r="EM20" s="28">
        <v>1188</v>
      </c>
      <c r="EN20" s="2">
        <v>1396</v>
      </c>
      <c r="EO20" s="4">
        <v>1166</v>
      </c>
      <c r="EP20" s="2">
        <v>1673</v>
      </c>
      <c r="EQ20" s="33">
        <v>1603</v>
      </c>
      <c r="ER20" s="3">
        <v>1454</v>
      </c>
      <c r="ES20" s="28">
        <v>1688</v>
      </c>
      <c r="ET20" s="217">
        <v>1593</v>
      </c>
      <c r="EU20" s="2">
        <v>1613</v>
      </c>
      <c r="EV20" s="3">
        <v>1043</v>
      </c>
      <c r="EW20" s="28">
        <v>1193</v>
      </c>
      <c r="EX20" s="2">
        <v>1560</v>
      </c>
      <c r="EY20" s="67">
        <v>1616</v>
      </c>
      <c r="EZ20" s="217">
        <v>2400</v>
      </c>
      <c r="FA20" s="28">
        <v>1400</v>
      </c>
      <c r="FB20" s="36">
        <v>1319</v>
      </c>
      <c r="FC20" s="2">
        <v>1248</v>
      </c>
      <c r="FD20" s="3">
        <v>1228</v>
      </c>
      <c r="FE20" s="28">
        <v>1251</v>
      </c>
      <c r="FF20" s="217">
        <v>1068</v>
      </c>
      <c r="FG20" s="28">
        <v>1373</v>
      </c>
      <c r="FH20" s="2">
        <v>1369</v>
      </c>
      <c r="FI20" s="4">
        <v>1380</v>
      </c>
      <c r="FJ20" s="2">
        <v>1030</v>
      </c>
      <c r="FK20" s="28">
        <v>1071</v>
      </c>
      <c r="FL20" s="3">
        <v>976</v>
      </c>
      <c r="FM20" s="28">
        <v>1022</v>
      </c>
      <c r="FN20" s="2">
        <v>1005</v>
      </c>
      <c r="FO20" s="2">
        <v>1152</v>
      </c>
      <c r="FP20" s="36">
        <v>1256</v>
      </c>
      <c r="FQ20" s="28">
        <v>1462</v>
      </c>
      <c r="FR20" s="2">
        <v>1058</v>
      </c>
      <c r="FS20" s="4">
        <v>1126</v>
      </c>
      <c r="FT20" s="217">
        <v>1799</v>
      </c>
      <c r="FU20" s="28">
        <v>1420</v>
      </c>
      <c r="FV20" s="2">
        <v>1303</v>
      </c>
      <c r="FW20" s="2">
        <v>1656</v>
      </c>
      <c r="FX20" s="3">
        <v>1322</v>
      </c>
      <c r="FY20" s="28">
        <v>1342</v>
      </c>
      <c r="FZ20" s="3">
        <v>1303</v>
      </c>
      <c r="GA20" s="28">
        <v>1656</v>
      </c>
      <c r="GB20" s="2">
        <v>1403</v>
      </c>
      <c r="GC20" s="4">
        <v>1495</v>
      </c>
      <c r="GD20" s="217">
        <v>1503</v>
      </c>
      <c r="GE20" s="28">
        <v>1598</v>
      </c>
      <c r="GF20" s="3">
        <v>2170</v>
      </c>
      <c r="GG20" s="28">
        <v>1227</v>
      </c>
      <c r="GH20" s="2">
        <v>1308</v>
      </c>
      <c r="GI20" s="217">
        <v>1224</v>
      </c>
      <c r="GJ20" s="3">
        <v>2360</v>
      </c>
      <c r="GK20" s="28">
        <v>2060</v>
      </c>
      <c r="GL20" s="217">
        <v>1384</v>
      </c>
      <c r="GM20" s="4">
        <v>1306</v>
      </c>
      <c r="GN20" s="2">
        <v>1457</v>
      </c>
      <c r="GO20" s="28">
        <v>2290</v>
      </c>
      <c r="GP20" s="3">
        <v>1190</v>
      </c>
      <c r="GQ20" s="28">
        <v>2330</v>
      </c>
      <c r="GR20" s="2">
        <v>1351</v>
      </c>
      <c r="GS20" s="2">
        <v>1397</v>
      </c>
      <c r="GT20" s="36">
        <v>1214</v>
      </c>
      <c r="GU20" s="28">
        <v>1364</v>
      </c>
      <c r="GV20" s="2">
        <v>1255</v>
      </c>
      <c r="GW20" s="4">
        <v>1321</v>
      </c>
    </row>
    <row r="21" spans="1:1046" s="234" customFormat="1" ht="15" x14ac:dyDescent="0.2">
      <c r="A21" s="2"/>
      <c r="B21" s="244"/>
      <c r="C21" s="220" t="s">
        <v>87</v>
      </c>
      <c r="D21" s="245">
        <f>AVERAGE(D19,D20)</f>
        <v>505.5</v>
      </c>
      <c r="E21" s="246">
        <f>AVERAGE(E19,E20)</f>
        <v>2265</v>
      </c>
      <c r="F21" s="247">
        <f>AVERAGE(F19,F20)</f>
        <v>515.5</v>
      </c>
      <c r="G21" s="247">
        <f>AVERAGE(G18,G19)</f>
        <v>2260</v>
      </c>
      <c r="H21" s="248">
        <f>AVERAGE(H18,H19,H20)</f>
        <v>1084.3333333333333</v>
      </c>
      <c r="I21" s="249">
        <f>AVERAGE(I19,I20)</f>
        <v>1989</v>
      </c>
      <c r="J21" s="250">
        <f>AVERAGE(J18,J19)</f>
        <v>1073.5</v>
      </c>
      <c r="K21" s="251">
        <f>AVERAGE(K19,K20)</f>
        <v>1778</v>
      </c>
      <c r="L21" s="252">
        <f>AVERAGE(L18,L19)</f>
        <v>1090</v>
      </c>
      <c r="M21" s="253">
        <f>AVERAGE(M18,M19,M20)</f>
        <v>1577.6666666666667</v>
      </c>
      <c r="N21" s="224">
        <f>AVERAGE(N18,N19,N20)</f>
        <v>1182</v>
      </c>
      <c r="O21" s="254">
        <f>AVERAGE(O18,O19)</f>
        <v>1582.5</v>
      </c>
      <c r="P21" s="228">
        <f t="shared" ref="P21:BM21" si="21">AVERAGE(P18,P19,P20)</f>
        <v>1189</v>
      </c>
      <c r="Q21" s="255">
        <f t="shared" si="21"/>
        <v>1491.6666666666667</v>
      </c>
      <c r="R21" s="256">
        <f>AVERAGE(R19,R20)</f>
        <v>1075</v>
      </c>
      <c r="S21" s="251">
        <f>AVERAGE(S18,S20)</f>
        <v>1021</v>
      </c>
      <c r="T21" s="247">
        <f>AVERAGE(T18,T19)</f>
        <v>1221</v>
      </c>
      <c r="U21" s="228">
        <f t="shared" si="21"/>
        <v>1558</v>
      </c>
      <c r="V21" s="250">
        <f>AVERAGE(V18,V20)</f>
        <v>1143</v>
      </c>
      <c r="W21" s="255">
        <f t="shared" si="21"/>
        <v>1456.3333333333333</v>
      </c>
      <c r="X21" s="253">
        <f t="shared" si="21"/>
        <v>1166.6666666666667</v>
      </c>
      <c r="Y21" s="257">
        <f t="shared" si="21"/>
        <v>1472.6666666666667</v>
      </c>
      <c r="Z21" s="228">
        <f t="shared" si="21"/>
        <v>1238</v>
      </c>
      <c r="AA21" s="249">
        <f>AVERAGE(AA19,AA20)</f>
        <v>1551</v>
      </c>
      <c r="AB21" s="224"/>
      <c r="AC21" s="231"/>
      <c r="AD21" s="228">
        <f t="shared" si="21"/>
        <v>1148</v>
      </c>
      <c r="AE21" s="251">
        <f>AVERAGE(AE18,AE19)</f>
        <v>1646</v>
      </c>
      <c r="AF21" s="248">
        <f t="shared" si="21"/>
        <v>1151.6666666666667</v>
      </c>
      <c r="AG21" s="255">
        <f t="shared" si="21"/>
        <v>1921.6666666666667</v>
      </c>
      <c r="AH21" s="253">
        <f t="shared" si="21"/>
        <v>1153.6666666666667</v>
      </c>
      <c r="AI21" s="257">
        <f t="shared" si="21"/>
        <v>1841.6666666666667</v>
      </c>
      <c r="AJ21" s="228">
        <f t="shared" si="21"/>
        <v>1172</v>
      </c>
      <c r="AK21" s="228">
        <f t="shared" si="21"/>
        <v>1556</v>
      </c>
      <c r="AL21" s="256">
        <f>AVERAGE(AL19,AL20)</f>
        <v>1100</v>
      </c>
      <c r="AM21" s="231">
        <f t="shared" si="21"/>
        <v>1402</v>
      </c>
      <c r="AN21" s="253">
        <f t="shared" si="21"/>
        <v>1133.3333333333333</v>
      </c>
      <c r="AO21" s="253">
        <f t="shared" si="21"/>
        <v>1396.6666666666667</v>
      </c>
      <c r="AP21" s="224">
        <f t="shared" si="21"/>
        <v>1116</v>
      </c>
      <c r="AQ21" s="249">
        <f>AVERAGE(AQ19,AQ20)</f>
        <v>1363.5</v>
      </c>
      <c r="AR21" s="253">
        <f t="shared" si="21"/>
        <v>1152.6666666666667</v>
      </c>
      <c r="AS21" s="257">
        <f t="shared" si="21"/>
        <v>1392.6666666666667</v>
      </c>
      <c r="AT21" s="228">
        <f>AVERAGE(AT18,AT19,AT20)</f>
        <v>1103</v>
      </c>
      <c r="AU21" s="251">
        <f>AVERAGE(AU19,AU20)</f>
        <v>1362</v>
      </c>
      <c r="AV21" s="253">
        <f t="shared" si="21"/>
        <v>1135.6666666666667</v>
      </c>
      <c r="AW21" s="255">
        <f t="shared" si="21"/>
        <v>1309.3333333333333</v>
      </c>
      <c r="AX21" s="224">
        <f>AVERAGE(AX18,AX19,AX20)</f>
        <v>1151</v>
      </c>
      <c r="AY21" s="247">
        <f>AVERAGE(AY19,AY20)</f>
        <v>1303.5</v>
      </c>
      <c r="AZ21" s="224">
        <f t="shared" si="21"/>
        <v>1129</v>
      </c>
      <c r="BA21" s="231">
        <f t="shared" si="21"/>
        <v>1288</v>
      </c>
      <c r="BB21" s="228">
        <f t="shared" si="21"/>
        <v>1149</v>
      </c>
      <c r="BC21" s="257">
        <f t="shared" si="21"/>
        <v>1298.3333333333333</v>
      </c>
      <c r="BD21" s="228">
        <f t="shared" si="21"/>
        <v>1311</v>
      </c>
      <c r="BE21" s="255">
        <f t="shared" si="21"/>
        <v>1372.6666666666667</v>
      </c>
      <c r="BF21" s="253">
        <f t="shared" si="21"/>
        <v>1286.6666666666667</v>
      </c>
      <c r="BG21" s="255">
        <f t="shared" si="21"/>
        <v>1388</v>
      </c>
      <c r="BH21" s="256">
        <f>AVERAGE(BH18,BH19)</f>
        <v>1334</v>
      </c>
      <c r="BI21" s="253">
        <f>AVERAGE(BI18,BI19,BI20)</f>
        <v>1393.6666666666667</v>
      </c>
      <c r="BJ21" s="250">
        <f>AVERAGE(BJ18,BJ20)</f>
        <v>1327</v>
      </c>
      <c r="BK21" s="255">
        <f t="shared" si="21"/>
        <v>1412.3333333333333</v>
      </c>
      <c r="BL21" s="253">
        <f t="shared" si="21"/>
        <v>1354.3333333333333</v>
      </c>
      <c r="BM21" s="257">
        <f t="shared" si="21"/>
        <v>1439.6666666666667</v>
      </c>
      <c r="BN21" s="253">
        <f>AVERAGE(BN18,BN19,BN20)</f>
        <v>1291.6666666666667</v>
      </c>
      <c r="BO21" s="255">
        <f>AVERAGE(BO18,BO19,BO20)</f>
        <v>1313.6666666666667</v>
      </c>
      <c r="BP21" s="253"/>
      <c r="BQ21" s="255"/>
      <c r="BR21" s="248">
        <f t="shared" ref="BR21:DQ21" si="22">AVERAGE(BR18,BR19,BR20)</f>
        <v>1643.6666666666667</v>
      </c>
      <c r="BS21" s="253">
        <f t="shared" si="22"/>
        <v>1632.3333333333333</v>
      </c>
      <c r="BT21" s="250">
        <f>AVERAGE(BT18,BT19)</f>
        <v>1648</v>
      </c>
      <c r="BU21" s="255">
        <f t="shared" si="22"/>
        <v>1878.6666666666667</v>
      </c>
      <c r="BV21" s="253">
        <f t="shared" si="22"/>
        <v>1676</v>
      </c>
      <c r="BW21" s="257">
        <f t="shared" si="22"/>
        <v>1916</v>
      </c>
      <c r="BX21" s="228">
        <f t="shared" si="22"/>
        <v>1709</v>
      </c>
      <c r="BY21" s="255">
        <f>AVERAGE(BY18,BY19,BY20)</f>
        <v>1924.3333333333333</v>
      </c>
      <c r="BZ21" s="248">
        <f t="shared" si="22"/>
        <v>1659.6666666666667</v>
      </c>
      <c r="CA21" s="255">
        <f t="shared" si="22"/>
        <v>1825.6666666666667</v>
      </c>
      <c r="CB21" s="256">
        <f>AVERAGE(CB19,CB20)</f>
        <v>1647.5</v>
      </c>
      <c r="CC21" s="247">
        <f>AVERAGE(CC18,CC19)</f>
        <v>1883</v>
      </c>
      <c r="CD21" s="250">
        <f>AVERAGE(CD18,CD19)</f>
        <v>2180</v>
      </c>
      <c r="CE21" s="255">
        <f t="shared" si="22"/>
        <v>1838</v>
      </c>
      <c r="CF21" s="253">
        <f t="shared" si="22"/>
        <v>2160</v>
      </c>
      <c r="CG21" s="257">
        <f t="shared" si="22"/>
        <v>1878.6666666666667</v>
      </c>
      <c r="CH21" s="247">
        <f>AVERAGE(CH19,CH20)</f>
        <v>2310</v>
      </c>
      <c r="CI21" s="255">
        <f t="shared" si="22"/>
        <v>1963</v>
      </c>
      <c r="CJ21" s="248">
        <f t="shared" si="22"/>
        <v>2276.6666666666665</v>
      </c>
      <c r="CK21" s="249">
        <f t="shared" si="22"/>
        <v>2200</v>
      </c>
      <c r="CL21" s="256">
        <f t="shared" si="22"/>
        <v>2210</v>
      </c>
      <c r="CM21" s="247">
        <f>AVERAGE(CM18,CM19)</f>
        <v>2160</v>
      </c>
      <c r="CN21" s="248">
        <f t="shared" si="22"/>
        <v>2343.3333333333335</v>
      </c>
      <c r="CO21" s="255">
        <f t="shared" si="22"/>
        <v>2210</v>
      </c>
      <c r="CP21" s="253">
        <f t="shared" si="22"/>
        <v>1254.6666666666667</v>
      </c>
      <c r="CQ21" s="257">
        <f t="shared" si="22"/>
        <v>2243.3333333333335</v>
      </c>
      <c r="CR21" s="253">
        <f t="shared" si="22"/>
        <v>1290.6666666666667</v>
      </c>
      <c r="CS21" s="255">
        <f t="shared" si="22"/>
        <v>1937.6666666666667</v>
      </c>
      <c r="CT21" s="248">
        <f t="shared" si="22"/>
        <v>1327</v>
      </c>
      <c r="CU21" s="255">
        <f t="shared" si="22"/>
        <v>1758.3333333333333</v>
      </c>
      <c r="CV21" s="248">
        <f t="shared" si="22"/>
        <v>1240.3333333333333</v>
      </c>
      <c r="CW21" s="253">
        <f t="shared" si="22"/>
        <v>1635.6666666666667</v>
      </c>
      <c r="CX21" s="248">
        <f t="shared" si="22"/>
        <v>1249.6666666666667</v>
      </c>
      <c r="CY21" s="255">
        <f t="shared" si="22"/>
        <v>1508</v>
      </c>
      <c r="CZ21" s="253">
        <f t="shared" si="22"/>
        <v>1088.6666666666667</v>
      </c>
      <c r="DA21" s="257">
        <f t="shared" si="22"/>
        <v>1454.3333333333333</v>
      </c>
      <c r="DB21" s="253">
        <f t="shared" si="22"/>
        <v>1560.6666666666667</v>
      </c>
      <c r="DC21" s="255">
        <f t="shared" si="22"/>
        <v>1115.3333333333333</v>
      </c>
      <c r="DD21" s="224">
        <f t="shared" si="22"/>
        <v>1395</v>
      </c>
      <c r="DE21" s="249">
        <f>AVERAGE(DE19,DE20)</f>
        <v>2040</v>
      </c>
      <c r="DF21" s="253">
        <f t="shared" si="22"/>
        <v>1713</v>
      </c>
      <c r="DG21" s="253">
        <f t="shared" si="22"/>
        <v>1152.3333333333333</v>
      </c>
      <c r="DH21" s="248">
        <f t="shared" si="22"/>
        <v>1629.3333333333333</v>
      </c>
      <c r="DI21" s="249">
        <f>AVERAGE(DI18,DI19)</f>
        <v>2045</v>
      </c>
      <c r="DJ21" s="253">
        <f>AVERAGE(DJ18,DJ19)</f>
        <v>1867</v>
      </c>
      <c r="DK21" s="257">
        <f t="shared" si="22"/>
        <v>1517</v>
      </c>
      <c r="DL21" s="253">
        <f t="shared" si="22"/>
        <v>1771.6666666666667</v>
      </c>
      <c r="DM21" s="255">
        <f t="shared" si="22"/>
        <v>1521</v>
      </c>
      <c r="DN21" s="250">
        <f>AVERAGE(DN19,DN20)</f>
        <v>2002.5</v>
      </c>
      <c r="DO21" s="251">
        <f>AVERAGE(DO18,DO19)</f>
        <v>1957</v>
      </c>
      <c r="DP21" s="253">
        <f t="shared" si="22"/>
        <v>2153.3333333333335</v>
      </c>
      <c r="DQ21" s="253">
        <f t="shared" si="22"/>
        <v>1978.3333333333333</v>
      </c>
      <c r="DR21" s="250">
        <f>AVERAGE(DR18,DR19)</f>
        <v>2035</v>
      </c>
      <c r="DS21" s="249">
        <f>AVERAGE(DS19,DS20)</f>
        <v>2070</v>
      </c>
      <c r="DT21" s="247">
        <f>AVERAGE(DT18,DT20)</f>
        <v>2050</v>
      </c>
      <c r="DU21" s="254">
        <f>AVERAGE(DU19,DU20)</f>
        <v>2070</v>
      </c>
      <c r="DV21" s="252">
        <f>AVERAGE(DV18,DV19)</f>
        <v>2155</v>
      </c>
      <c r="DW21" s="249">
        <f>AVERAGE(DW18,DW19)</f>
        <v>2045</v>
      </c>
      <c r="DX21" s="256">
        <f>AVERAGE(DX19,DX20)</f>
        <v>2130</v>
      </c>
      <c r="DY21" s="255">
        <f t="shared" ref="DY21:EN21" si="23">AVERAGE(DY18,DY19,DY20)</f>
        <v>2076.6666666666665</v>
      </c>
      <c r="DZ21" s="247">
        <f t="shared" si="23"/>
        <v>2130</v>
      </c>
      <c r="EA21" s="252">
        <f>AVERAGE(EA18,EA20)</f>
        <v>1941</v>
      </c>
      <c r="EB21" s="248">
        <f t="shared" si="23"/>
        <v>1611.3333333333333</v>
      </c>
      <c r="EC21" s="249">
        <f>AVERAGE(EC18,EC19)</f>
        <v>1951</v>
      </c>
      <c r="ED21" s="253">
        <f t="shared" si="23"/>
        <v>1637.6666666666667</v>
      </c>
      <c r="EE21" s="257">
        <f t="shared" si="23"/>
        <v>2053.3333333333335</v>
      </c>
      <c r="EF21" s="253">
        <f t="shared" si="23"/>
        <v>1614.3333333333333</v>
      </c>
      <c r="EG21" s="249">
        <f>AVERAGE(EG18,EG19)</f>
        <v>1834</v>
      </c>
      <c r="EH21" s="250">
        <f>AVERAGE(EH19,EH20)</f>
        <v>1891</v>
      </c>
      <c r="EI21" s="249">
        <f>AVERAGE(EI18,EI19)</f>
        <v>1788.5</v>
      </c>
      <c r="EJ21" s="253">
        <f t="shared" si="23"/>
        <v>1935.6666666666667</v>
      </c>
      <c r="EK21" s="253">
        <f t="shared" si="23"/>
        <v>1816</v>
      </c>
      <c r="EL21" s="248">
        <f t="shared" si="23"/>
        <v>1385</v>
      </c>
      <c r="EM21" s="255">
        <f t="shared" si="23"/>
        <v>1188.3333333333333</v>
      </c>
      <c r="EN21" s="253">
        <f t="shared" si="23"/>
        <v>1397</v>
      </c>
      <c r="EO21" s="254">
        <f>AVERAGE(EO18,EO19)</f>
        <v>1179</v>
      </c>
      <c r="EP21" s="253">
        <f t="shared" ref="EP21:EY21" si="24">AVERAGE(EP18,EP19,EP20)</f>
        <v>1673</v>
      </c>
      <c r="EQ21" s="249">
        <f t="shared" si="24"/>
        <v>1617.3333333333333</v>
      </c>
      <c r="ER21" s="248">
        <f t="shared" si="24"/>
        <v>1454.3333333333333</v>
      </c>
      <c r="ES21" s="255">
        <f t="shared" si="24"/>
        <v>1689.6666666666667</v>
      </c>
      <c r="ET21" s="247">
        <f>AVERAGE(ET19,ET20)</f>
        <v>1586</v>
      </c>
      <c r="EU21" s="228">
        <f t="shared" si="24"/>
        <v>1606</v>
      </c>
      <c r="EV21" s="248">
        <f t="shared" si="24"/>
        <v>1041</v>
      </c>
      <c r="EW21" s="255">
        <f t="shared" si="24"/>
        <v>1192.3333333333333</v>
      </c>
      <c r="EX21" s="247">
        <f>AVERAGE(EX18,EX19)</f>
        <v>1582.5</v>
      </c>
      <c r="EY21" s="254">
        <f t="shared" si="24"/>
        <v>1610</v>
      </c>
      <c r="EZ21" s="252">
        <f>AVERAGE(EZ19,EZ20)</f>
        <v>2405</v>
      </c>
      <c r="FA21" s="255">
        <f t="shared" ref="FA21:FS21" si="25">AVERAGE(FA18,FA19,FA20)</f>
        <v>1401</v>
      </c>
      <c r="FB21" s="256">
        <f>AVERAGE(FB19,FB20)</f>
        <v>1316</v>
      </c>
      <c r="FC21" s="228">
        <f t="shared" si="25"/>
        <v>1253</v>
      </c>
      <c r="FD21" s="248">
        <f t="shared" si="25"/>
        <v>1234.3333333333333</v>
      </c>
      <c r="FE21" s="255">
        <f t="shared" si="25"/>
        <v>1249.6666666666667</v>
      </c>
      <c r="FF21" s="247">
        <f>AVERAGE(FF19,FF20)</f>
        <v>1087.5</v>
      </c>
      <c r="FG21" s="255">
        <f t="shared" si="25"/>
        <v>1371.3333333333333</v>
      </c>
      <c r="FH21" s="253">
        <f t="shared" si="25"/>
        <v>1370.3333333333333</v>
      </c>
      <c r="FI21" s="257">
        <f t="shared" si="25"/>
        <v>1381</v>
      </c>
      <c r="FJ21" s="253">
        <f t="shared" si="25"/>
        <v>1027.6666666666667</v>
      </c>
      <c r="FK21" s="255">
        <f t="shared" si="25"/>
        <v>1068.6666666666667</v>
      </c>
      <c r="FL21" s="248">
        <f t="shared" si="25"/>
        <v>973.33333333333337</v>
      </c>
      <c r="FM21" s="255">
        <f t="shared" si="25"/>
        <v>1021</v>
      </c>
      <c r="FN21" s="253">
        <f t="shared" si="25"/>
        <v>999</v>
      </c>
      <c r="FO21" s="253">
        <f t="shared" si="25"/>
        <v>1152</v>
      </c>
      <c r="FP21" s="250">
        <f>AVERAGE(FP19,FP20)</f>
        <v>1270.5</v>
      </c>
      <c r="FQ21" s="249">
        <f>AVERAGE(FQ18,FQ19)</f>
        <v>1519</v>
      </c>
      <c r="FR21" s="253">
        <f t="shared" si="25"/>
        <v>1055.6666666666667</v>
      </c>
      <c r="FS21" s="257">
        <f t="shared" si="25"/>
        <v>1124.6666666666667</v>
      </c>
      <c r="FT21" s="247">
        <f>AVERAGE(FT19,FT20)</f>
        <v>1798.5</v>
      </c>
      <c r="FU21" s="255">
        <f>AVERAGE(FU18,FU19,FU20)</f>
        <v>1418.3333333333333</v>
      </c>
      <c r="FV21" s="253">
        <f>AVERAGE(FV18,FV19,FV20)</f>
        <v>1304.6666666666667</v>
      </c>
      <c r="FW21" s="253">
        <f>AVERAGE(FW18,FW19,FW20)</f>
        <v>1650.3333333333333</v>
      </c>
      <c r="FX21" s="248">
        <f t="shared" ref="FX21:GC21" si="26">AVERAGE(FX18,FX19,FX20)</f>
        <v>1327.6666666666667</v>
      </c>
      <c r="FY21" s="255">
        <f t="shared" si="26"/>
        <v>1337.3333333333333</v>
      </c>
      <c r="FZ21" s="248">
        <f t="shared" si="26"/>
        <v>1304.6666666666667</v>
      </c>
      <c r="GA21" s="255">
        <f t="shared" si="26"/>
        <v>1650.3333333333333</v>
      </c>
      <c r="GB21" s="253">
        <f t="shared" si="26"/>
        <v>1401.6666666666667</v>
      </c>
      <c r="GC21" s="257">
        <f t="shared" si="26"/>
        <v>1493.6666666666667</v>
      </c>
      <c r="GD21" s="252">
        <f>AVERAGE(GD19,GD20)</f>
        <v>1496</v>
      </c>
      <c r="GE21" s="255">
        <f t="shared" ref="GE21:GW21" si="27">AVERAGE(GE18,GE19,GE20)</f>
        <v>1596</v>
      </c>
      <c r="GF21" s="224">
        <f t="shared" si="27"/>
        <v>2180</v>
      </c>
      <c r="GG21" s="255">
        <f t="shared" si="27"/>
        <v>1232.3333333333333</v>
      </c>
      <c r="GH21" s="253">
        <f t="shared" si="27"/>
        <v>1306</v>
      </c>
      <c r="GI21" s="247">
        <f>AVERAGE(GI19,GI20)</f>
        <v>1222.5</v>
      </c>
      <c r="GJ21" s="250">
        <f>AVERAGE(GJ18,GJ19)</f>
        <v>2380</v>
      </c>
      <c r="GK21" s="255">
        <f t="shared" si="27"/>
        <v>2060</v>
      </c>
      <c r="GL21" s="247">
        <f>AVERAGE(GL19,GL20)</f>
        <v>1380.5</v>
      </c>
      <c r="GM21" s="257">
        <f t="shared" si="27"/>
        <v>1300.6666666666667</v>
      </c>
      <c r="GN21" s="253">
        <f t="shared" si="27"/>
        <v>1456.3333333333333</v>
      </c>
      <c r="GO21" s="249">
        <f>AVERAGE(GO18,GO19)</f>
        <v>2275</v>
      </c>
      <c r="GP21" s="248">
        <f t="shared" si="27"/>
        <v>1188.6666666666667</v>
      </c>
      <c r="GQ21" s="255">
        <f t="shared" si="27"/>
        <v>2323.3333333333335</v>
      </c>
      <c r="GR21" s="253">
        <f t="shared" si="27"/>
        <v>1348</v>
      </c>
      <c r="GS21" s="253">
        <f t="shared" si="27"/>
        <v>1391.6666666666667</v>
      </c>
      <c r="GT21" s="250">
        <f>AVERAGE(GT19,GT20)</f>
        <v>1213</v>
      </c>
      <c r="GU21" s="255">
        <f t="shared" si="27"/>
        <v>1364</v>
      </c>
      <c r="GV21" s="253">
        <f t="shared" si="27"/>
        <v>1261.3333333333333</v>
      </c>
      <c r="GW21" s="257">
        <f t="shared" si="27"/>
        <v>1307.3333333333333</v>
      </c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86"/>
      <c r="IC21" s="186"/>
      <c r="ID21" s="186"/>
      <c r="IE21" s="186"/>
      <c r="IF21" s="186"/>
      <c r="IG21" s="186"/>
      <c r="IH21" s="186"/>
      <c r="II21" s="186"/>
      <c r="IJ21" s="186"/>
      <c r="IK21" s="186"/>
      <c r="IL21" s="186"/>
      <c r="IM21" s="186"/>
      <c r="IN21" s="186"/>
      <c r="IO21" s="186"/>
      <c r="IP21" s="186"/>
      <c r="IQ21" s="186"/>
      <c r="IR21" s="186"/>
      <c r="IS21" s="186"/>
      <c r="IT21" s="186"/>
      <c r="IU21" s="186"/>
      <c r="IV21" s="186"/>
      <c r="IW21" s="186"/>
      <c r="IX21" s="186"/>
      <c r="IY21" s="186"/>
      <c r="IZ21" s="186"/>
      <c r="JA21" s="186"/>
      <c r="JB21" s="186"/>
      <c r="JC21" s="186"/>
      <c r="JD21" s="186"/>
      <c r="JE21" s="186"/>
      <c r="JF21" s="186"/>
      <c r="JG21" s="186"/>
      <c r="JH21" s="186"/>
      <c r="JI21" s="186"/>
      <c r="JJ21" s="186"/>
      <c r="JK21" s="186"/>
      <c r="JL21" s="186"/>
      <c r="JM21" s="186"/>
      <c r="JN21" s="186"/>
      <c r="JO21" s="186"/>
      <c r="JP21" s="186"/>
      <c r="JQ21" s="186"/>
      <c r="JR21" s="186"/>
      <c r="JS21" s="186"/>
      <c r="JT21" s="186"/>
      <c r="JU21" s="186"/>
      <c r="JV21" s="186"/>
      <c r="JW21" s="186"/>
      <c r="JX21" s="186"/>
      <c r="JY21" s="186"/>
      <c r="JZ21" s="186"/>
      <c r="KA21" s="186"/>
      <c r="KB21" s="186"/>
      <c r="KC21" s="186"/>
      <c r="KD21" s="186"/>
      <c r="KE21" s="186"/>
      <c r="KF21" s="186"/>
      <c r="KG21" s="186"/>
      <c r="KH21" s="186"/>
      <c r="KI21" s="186"/>
      <c r="KJ21" s="186"/>
      <c r="KK21" s="186"/>
      <c r="KL21" s="186"/>
      <c r="KM21" s="186"/>
      <c r="KN21" s="186"/>
      <c r="KO21" s="186"/>
      <c r="KP21" s="186"/>
      <c r="KQ21" s="186"/>
      <c r="KR21" s="186"/>
      <c r="KS21" s="186"/>
      <c r="KT21" s="186"/>
      <c r="KU21" s="186"/>
      <c r="KV21" s="186"/>
      <c r="KW21" s="186"/>
      <c r="KX21" s="186"/>
      <c r="KY21" s="186"/>
      <c r="KZ21" s="186"/>
      <c r="LA21" s="186"/>
      <c r="LB21" s="186"/>
      <c r="LC21" s="186"/>
      <c r="LD21" s="186"/>
      <c r="LE21" s="186"/>
      <c r="LF21" s="186"/>
      <c r="LG21" s="186"/>
      <c r="LH21" s="186"/>
      <c r="LI21" s="186"/>
      <c r="LJ21" s="186"/>
      <c r="LK21" s="186"/>
      <c r="LL21" s="186"/>
      <c r="LM21" s="186"/>
      <c r="LN21" s="186"/>
      <c r="LO21" s="186"/>
      <c r="LP21" s="186"/>
      <c r="LQ21" s="186"/>
      <c r="LR21" s="186"/>
      <c r="LS21" s="186"/>
      <c r="LT21" s="186"/>
      <c r="LU21" s="186"/>
      <c r="LV21" s="186"/>
      <c r="LW21" s="186"/>
      <c r="LX21" s="186"/>
      <c r="LY21" s="186"/>
      <c r="LZ21" s="186"/>
      <c r="MA21" s="186"/>
      <c r="MB21" s="186"/>
      <c r="MC21" s="186"/>
      <c r="MD21" s="186"/>
      <c r="ME21" s="186"/>
      <c r="MF21" s="186"/>
      <c r="MG21" s="186"/>
      <c r="MH21" s="186"/>
      <c r="MI21" s="186"/>
      <c r="MJ21" s="186"/>
      <c r="MK21" s="186"/>
      <c r="ML21" s="186"/>
      <c r="MM21" s="186"/>
      <c r="MN21" s="186"/>
      <c r="MO21" s="186"/>
      <c r="MP21" s="186"/>
      <c r="MQ21" s="186"/>
      <c r="MR21" s="186"/>
      <c r="MS21" s="186"/>
      <c r="MT21" s="186"/>
      <c r="MU21" s="186"/>
      <c r="MV21" s="186"/>
      <c r="MW21" s="186"/>
      <c r="MX21" s="186"/>
      <c r="MY21" s="186"/>
      <c r="MZ21" s="186"/>
      <c r="NA21" s="186"/>
      <c r="NB21" s="186"/>
      <c r="NC21" s="186"/>
      <c r="ND21" s="186"/>
      <c r="NE21" s="186"/>
      <c r="NF21" s="186"/>
      <c r="NG21" s="186"/>
      <c r="NH21" s="186"/>
      <c r="NI21" s="186"/>
      <c r="NJ21" s="186"/>
      <c r="NK21" s="186"/>
      <c r="NL21" s="186"/>
      <c r="NM21" s="186"/>
      <c r="NN21" s="186"/>
      <c r="NO21" s="186"/>
      <c r="NP21" s="186"/>
      <c r="NQ21" s="186"/>
      <c r="NR21" s="186"/>
      <c r="NS21" s="186"/>
      <c r="NT21" s="186"/>
      <c r="NU21" s="186"/>
      <c r="NV21" s="186"/>
      <c r="NW21" s="186"/>
      <c r="NX21" s="186"/>
      <c r="NY21" s="186"/>
      <c r="NZ21" s="186"/>
      <c r="OA21" s="186"/>
      <c r="OB21" s="186"/>
      <c r="OC21" s="186"/>
      <c r="OD21" s="186"/>
      <c r="OE21" s="186"/>
      <c r="OF21" s="186"/>
      <c r="OG21" s="186"/>
      <c r="OH21" s="186"/>
      <c r="OI21" s="186"/>
      <c r="OJ21" s="186"/>
      <c r="OK21" s="186"/>
      <c r="OL21" s="186"/>
      <c r="OM21" s="186"/>
      <c r="ON21" s="186"/>
      <c r="OO21" s="186"/>
      <c r="OP21" s="186"/>
      <c r="OQ21" s="186"/>
      <c r="OR21" s="186"/>
      <c r="OS21" s="186"/>
      <c r="OT21" s="186"/>
      <c r="OU21" s="186"/>
      <c r="OV21" s="186"/>
      <c r="OW21" s="186"/>
      <c r="OX21" s="186"/>
      <c r="OY21" s="186"/>
      <c r="OZ21" s="186"/>
      <c r="PA21" s="186"/>
      <c r="PB21" s="186"/>
      <c r="PC21" s="186"/>
      <c r="PD21" s="186"/>
      <c r="PE21" s="186"/>
      <c r="PF21" s="186"/>
      <c r="PG21" s="186"/>
      <c r="PH21" s="186"/>
      <c r="PI21" s="186"/>
      <c r="PJ21" s="186"/>
      <c r="PK21" s="186"/>
      <c r="PL21" s="186"/>
      <c r="PM21" s="186"/>
      <c r="PN21" s="186"/>
      <c r="PO21" s="186"/>
      <c r="PP21" s="186"/>
      <c r="PQ21" s="186"/>
      <c r="PR21" s="186"/>
      <c r="PS21" s="186"/>
      <c r="PT21" s="186"/>
      <c r="PU21" s="186"/>
      <c r="PV21" s="186"/>
      <c r="PW21" s="186"/>
      <c r="PX21" s="186"/>
      <c r="PY21" s="186"/>
      <c r="PZ21" s="186"/>
      <c r="QA21" s="186"/>
      <c r="QB21" s="186"/>
      <c r="QC21" s="186"/>
      <c r="QD21" s="186"/>
      <c r="QE21" s="186"/>
      <c r="QF21" s="186"/>
      <c r="QG21" s="186"/>
      <c r="QH21" s="186"/>
      <c r="QI21" s="186"/>
      <c r="QJ21" s="186"/>
      <c r="QK21" s="186"/>
      <c r="QL21" s="186"/>
      <c r="QM21" s="186"/>
      <c r="QN21" s="186"/>
      <c r="QO21" s="186"/>
      <c r="QP21" s="186"/>
      <c r="QQ21" s="186"/>
      <c r="QR21" s="186"/>
      <c r="QS21" s="186"/>
      <c r="QT21" s="186"/>
      <c r="QU21" s="186"/>
      <c r="QV21" s="186"/>
      <c r="QW21" s="186"/>
      <c r="QX21" s="186"/>
      <c r="QY21" s="186"/>
      <c r="QZ21" s="186"/>
      <c r="RA21" s="186"/>
      <c r="RB21" s="186"/>
      <c r="RC21" s="186"/>
      <c r="RD21" s="186"/>
      <c r="RE21" s="186"/>
      <c r="RF21" s="186"/>
      <c r="RG21" s="186"/>
      <c r="RH21" s="186"/>
      <c r="RI21" s="186"/>
      <c r="RJ21" s="186"/>
      <c r="RK21" s="186"/>
      <c r="RL21" s="186"/>
      <c r="RM21" s="186"/>
      <c r="RN21" s="186"/>
      <c r="RO21" s="186"/>
      <c r="RP21" s="186"/>
      <c r="RQ21" s="186"/>
      <c r="RR21" s="186"/>
      <c r="RS21" s="186"/>
      <c r="RT21" s="186"/>
      <c r="RU21" s="186"/>
      <c r="RV21" s="186"/>
      <c r="RW21" s="186"/>
      <c r="RX21" s="186"/>
      <c r="RY21" s="186"/>
      <c r="RZ21" s="186"/>
      <c r="SA21" s="186"/>
      <c r="SB21" s="186"/>
      <c r="SC21" s="186"/>
      <c r="SD21" s="186"/>
      <c r="SE21" s="186"/>
      <c r="SF21" s="186"/>
      <c r="SG21" s="186"/>
      <c r="SH21" s="186"/>
      <c r="SI21" s="186"/>
      <c r="SJ21" s="186"/>
      <c r="SK21" s="186"/>
      <c r="SL21" s="186"/>
      <c r="SM21" s="186"/>
      <c r="SN21" s="186"/>
      <c r="SO21" s="186"/>
      <c r="SP21" s="186"/>
      <c r="SQ21" s="186"/>
      <c r="SR21" s="186"/>
      <c r="SS21" s="186"/>
      <c r="ST21" s="186"/>
      <c r="SU21" s="186"/>
      <c r="SV21" s="186"/>
      <c r="SW21" s="186"/>
      <c r="SX21" s="186"/>
      <c r="SY21" s="186"/>
      <c r="SZ21" s="186"/>
      <c r="TA21" s="186"/>
      <c r="TB21" s="186"/>
      <c r="TC21" s="186"/>
      <c r="TD21" s="186"/>
      <c r="TE21" s="186"/>
      <c r="TF21" s="186"/>
      <c r="TG21" s="186"/>
      <c r="TH21" s="186"/>
      <c r="TI21" s="186"/>
      <c r="TJ21" s="186"/>
      <c r="TK21" s="186"/>
      <c r="TL21" s="186"/>
      <c r="TM21" s="186"/>
      <c r="TN21" s="186"/>
      <c r="TO21" s="186"/>
      <c r="TP21" s="186"/>
      <c r="TQ21" s="186"/>
      <c r="TR21" s="186"/>
      <c r="TS21" s="186"/>
      <c r="TT21" s="186"/>
      <c r="TU21" s="186"/>
      <c r="TV21" s="186"/>
      <c r="TW21" s="186"/>
      <c r="TX21" s="186"/>
      <c r="TY21" s="186"/>
      <c r="TZ21" s="186"/>
      <c r="UA21" s="186"/>
      <c r="UB21" s="186"/>
      <c r="UC21" s="186"/>
      <c r="UD21" s="186"/>
      <c r="UE21" s="186"/>
      <c r="UF21" s="186"/>
      <c r="UG21" s="186"/>
      <c r="UH21" s="186"/>
      <c r="UI21" s="186"/>
      <c r="UJ21" s="186"/>
      <c r="UK21" s="186"/>
      <c r="UL21" s="186"/>
      <c r="UM21" s="186"/>
      <c r="UN21" s="186"/>
      <c r="UO21" s="186"/>
      <c r="UP21" s="186"/>
      <c r="UQ21" s="186"/>
      <c r="UR21" s="186"/>
      <c r="US21" s="186"/>
      <c r="UT21" s="186"/>
      <c r="UU21" s="186"/>
      <c r="UV21" s="186"/>
      <c r="UW21" s="186"/>
      <c r="UX21" s="186"/>
      <c r="UY21" s="186"/>
      <c r="UZ21" s="186"/>
      <c r="VA21" s="186"/>
      <c r="VB21" s="186"/>
      <c r="VC21" s="186"/>
      <c r="VD21" s="186"/>
      <c r="VE21" s="186"/>
      <c r="VF21" s="186"/>
      <c r="VG21" s="186"/>
      <c r="VH21" s="186"/>
      <c r="VI21" s="186"/>
      <c r="VJ21" s="186"/>
      <c r="VK21" s="186"/>
      <c r="VL21" s="186"/>
      <c r="VM21" s="186"/>
      <c r="VN21" s="186"/>
      <c r="VO21" s="186"/>
      <c r="VP21" s="186"/>
      <c r="VQ21" s="186"/>
      <c r="VR21" s="186"/>
      <c r="VS21" s="186"/>
      <c r="VT21" s="186"/>
      <c r="VU21" s="186"/>
      <c r="VV21" s="186"/>
      <c r="VW21" s="186"/>
      <c r="VX21" s="186"/>
      <c r="VY21" s="186"/>
      <c r="VZ21" s="186"/>
      <c r="WA21" s="186"/>
      <c r="WB21" s="186"/>
      <c r="WC21" s="186"/>
      <c r="WD21" s="186"/>
      <c r="WE21" s="186"/>
      <c r="WF21" s="186"/>
      <c r="WG21" s="186"/>
      <c r="WH21" s="186"/>
      <c r="WI21" s="186"/>
      <c r="WJ21" s="186"/>
      <c r="WK21" s="186"/>
      <c r="WL21" s="186"/>
      <c r="WM21" s="186"/>
      <c r="WN21" s="186"/>
      <c r="WO21" s="186"/>
      <c r="WP21" s="186"/>
      <c r="WQ21" s="186"/>
      <c r="WR21" s="186"/>
      <c r="WS21" s="186"/>
      <c r="WT21" s="186"/>
      <c r="WU21" s="186"/>
      <c r="WV21" s="186"/>
      <c r="WW21" s="186"/>
      <c r="WX21" s="186"/>
      <c r="WY21" s="186"/>
      <c r="WZ21" s="186"/>
      <c r="XA21" s="186"/>
      <c r="XB21" s="186"/>
      <c r="XC21" s="186"/>
      <c r="XD21" s="186"/>
      <c r="XE21" s="186"/>
      <c r="XF21" s="186"/>
      <c r="XG21" s="186"/>
      <c r="XH21" s="186"/>
      <c r="XI21" s="186"/>
      <c r="XJ21" s="186"/>
      <c r="XK21" s="186"/>
      <c r="XL21" s="186"/>
      <c r="XM21" s="186"/>
      <c r="XN21" s="186"/>
      <c r="XO21" s="186"/>
      <c r="XP21" s="186"/>
      <c r="XQ21" s="186"/>
      <c r="XR21" s="186"/>
      <c r="XS21" s="186"/>
      <c r="XT21" s="186"/>
      <c r="XU21" s="186"/>
      <c r="XV21" s="186"/>
      <c r="XW21" s="186"/>
      <c r="XX21" s="186"/>
      <c r="XY21" s="186"/>
      <c r="XZ21" s="186"/>
      <c r="YA21" s="186"/>
      <c r="YB21" s="186"/>
      <c r="YC21" s="186"/>
      <c r="YD21" s="186"/>
      <c r="YE21" s="186"/>
      <c r="YF21" s="186"/>
      <c r="YG21" s="186"/>
      <c r="YH21" s="186"/>
      <c r="YI21" s="186"/>
      <c r="YJ21" s="186"/>
      <c r="YK21" s="186"/>
      <c r="YL21" s="186"/>
      <c r="YM21" s="186"/>
      <c r="YN21" s="186"/>
      <c r="YO21" s="186"/>
      <c r="YP21" s="186"/>
      <c r="YQ21" s="186"/>
      <c r="YR21" s="186"/>
      <c r="YS21" s="186"/>
      <c r="YT21" s="186"/>
      <c r="YU21" s="186"/>
      <c r="YV21" s="186"/>
      <c r="YW21" s="186"/>
      <c r="YX21" s="186"/>
      <c r="YY21" s="186"/>
      <c r="YZ21" s="186"/>
      <c r="ZA21" s="186"/>
      <c r="ZB21" s="186"/>
      <c r="ZC21" s="186"/>
      <c r="ZD21" s="186"/>
      <c r="ZE21" s="186"/>
      <c r="ZF21" s="186"/>
      <c r="ZG21" s="186"/>
      <c r="ZH21" s="186"/>
      <c r="ZI21" s="186"/>
      <c r="ZJ21" s="186"/>
      <c r="ZK21" s="186"/>
      <c r="ZL21" s="186"/>
      <c r="ZM21" s="186"/>
      <c r="ZN21" s="186"/>
      <c r="ZO21" s="186"/>
      <c r="ZP21" s="186"/>
      <c r="ZQ21" s="186"/>
      <c r="ZR21" s="186"/>
      <c r="ZS21" s="186"/>
      <c r="ZT21" s="186"/>
      <c r="ZU21" s="186"/>
      <c r="ZV21" s="186"/>
      <c r="ZW21" s="186"/>
      <c r="ZX21" s="186"/>
      <c r="ZY21" s="186"/>
      <c r="ZZ21" s="186"/>
      <c r="AAA21" s="186"/>
      <c r="AAB21" s="186"/>
      <c r="AAC21" s="186"/>
      <c r="AAD21" s="186"/>
      <c r="AAE21" s="186"/>
      <c r="AAF21" s="186"/>
      <c r="AAG21" s="186"/>
      <c r="AAH21" s="186"/>
      <c r="AAI21" s="186"/>
      <c r="AAJ21" s="186"/>
      <c r="AAK21" s="186"/>
      <c r="AAL21" s="186"/>
      <c r="AAM21" s="186"/>
      <c r="AAN21" s="186"/>
      <c r="AAO21" s="186"/>
      <c r="AAP21" s="186"/>
      <c r="AAQ21" s="186"/>
      <c r="AAR21" s="186"/>
      <c r="AAS21" s="186"/>
      <c r="AAT21" s="186"/>
      <c r="AAU21" s="186"/>
      <c r="AAV21" s="186"/>
      <c r="AAW21" s="186"/>
      <c r="AAX21" s="186"/>
      <c r="AAY21" s="186"/>
      <c r="AAZ21" s="186"/>
      <c r="ABA21" s="186"/>
      <c r="ABB21" s="186"/>
      <c r="ABC21" s="186"/>
      <c r="ABD21" s="186"/>
      <c r="ABE21" s="186"/>
      <c r="ABF21" s="186"/>
      <c r="ABG21" s="186"/>
      <c r="ABH21" s="186"/>
      <c r="ABI21" s="186"/>
      <c r="ABJ21" s="186"/>
      <c r="ABK21" s="186"/>
      <c r="ABL21" s="186"/>
      <c r="ABM21" s="186"/>
      <c r="ABN21" s="186"/>
      <c r="ABO21" s="186"/>
      <c r="ABP21" s="186"/>
      <c r="ABQ21" s="186"/>
      <c r="ABR21" s="186"/>
      <c r="ABS21" s="186"/>
      <c r="ABT21" s="186"/>
      <c r="ABU21" s="186"/>
      <c r="ABV21" s="186"/>
      <c r="ABW21" s="186"/>
      <c r="ABX21" s="186"/>
      <c r="ABY21" s="186"/>
      <c r="ABZ21" s="186"/>
      <c r="ACA21" s="186"/>
      <c r="ACB21" s="186"/>
      <c r="ACC21" s="186"/>
      <c r="ACD21" s="186"/>
      <c r="ACE21" s="186"/>
      <c r="ACF21" s="186"/>
      <c r="ACG21" s="186"/>
      <c r="ACH21" s="186"/>
      <c r="ACI21" s="186"/>
      <c r="ACJ21" s="186"/>
      <c r="ACK21" s="186"/>
      <c r="ACL21" s="186"/>
      <c r="ACM21" s="186"/>
      <c r="ACN21" s="186"/>
      <c r="ACO21" s="186"/>
      <c r="ACP21" s="186"/>
      <c r="ACQ21" s="186"/>
      <c r="ACR21" s="186"/>
      <c r="ACS21" s="186"/>
      <c r="ACT21" s="186"/>
      <c r="ACU21" s="186"/>
      <c r="ACV21" s="186"/>
      <c r="ACW21" s="186"/>
      <c r="ACX21" s="186"/>
      <c r="ACY21" s="186"/>
      <c r="ACZ21" s="186"/>
      <c r="ADA21" s="186"/>
      <c r="ADB21" s="186"/>
      <c r="ADC21" s="186"/>
      <c r="ADD21" s="186"/>
      <c r="ADE21" s="186"/>
      <c r="ADF21" s="186"/>
      <c r="ADG21" s="186"/>
      <c r="ADH21" s="186"/>
      <c r="ADI21" s="186"/>
      <c r="ADJ21" s="186"/>
      <c r="ADK21" s="186"/>
      <c r="ADL21" s="186"/>
      <c r="ADM21" s="186"/>
      <c r="ADN21" s="186"/>
      <c r="ADO21" s="186"/>
      <c r="ADP21" s="186"/>
      <c r="ADQ21" s="186"/>
      <c r="ADR21" s="186"/>
      <c r="ADS21" s="186"/>
      <c r="ADT21" s="186"/>
      <c r="ADU21" s="186"/>
      <c r="ADV21" s="186"/>
      <c r="ADW21" s="186"/>
      <c r="ADX21" s="186"/>
      <c r="ADY21" s="186"/>
      <c r="ADZ21" s="186"/>
      <c r="AEA21" s="186"/>
      <c r="AEB21" s="186"/>
      <c r="AEC21" s="186"/>
      <c r="AED21" s="186"/>
      <c r="AEE21" s="186"/>
      <c r="AEF21" s="186"/>
      <c r="AEG21" s="186"/>
      <c r="AEH21" s="186"/>
      <c r="AEI21" s="186"/>
      <c r="AEJ21" s="186"/>
      <c r="AEK21" s="186"/>
      <c r="AEL21" s="186"/>
      <c r="AEM21" s="186"/>
      <c r="AEN21" s="186"/>
      <c r="AEO21" s="186"/>
      <c r="AEP21" s="186"/>
      <c r="AEQ21" s="186"/>
      <c r="AER21" s="186"/>
      <c r="AES21" s="186"/>
      <c r="AET21" s="186"/>
      <c r="AEU21" s="186"/>
      <c r="AEV21" s="186"/>
      <c r="AEW21" s="186"/>
      <c r="AEX21" s="186"/>
      <c r="AEY21" s="186"/>
      <c r="AEZ21" s="186"/>
      <c r="AFA21" s="186"/>
      <c r="AFB21" s="186"/>
      <c r="AFC21" s="186"/>
      <c r="AFD21" s="186"/>
      <c r="AFE21" s="186"/>
      <c r="AFF21" s="186"/>
      <c r="AFG21" s="186"/>
      <c r="AFH21" s="186"/>
      <c r="AFI21" s="186"/>
      <c r="AFJ21" s="186"/>
      <c r="AFK21" s="186"/>
      <c r="AFL21" s="186"/>
      <c r="AFM21" s="186"/>
      <c r="AFN21" s="186"/>
      <c r="AFO21" s="186"/>
      <c r="AFP21" s="186"/>
      <c r="AFQ21" s="186"/>
      <c r="AFR21" s="186"/>
      <c r="AFS21" s="186"/>
      <c r="AFT21" s="186"/>
      <c r="AFU21" s="186"/>
      <c r="AFV21" s="186"/>
      <c r="AFW21" s="186"/>
      <c r="AFX21" s="186"/>
      <c r="AFY21" s="186"/>
      <c r="AFZ21" s="186"/>
      <c r="AGA21" s="186"/>
      <c r="AGB21" s="186"/>
      <c r="AGC21" s="186"/>
      <c r="AGD21" s="186"/>
      <c r="AGE21" s="186"/>
      <c r="AGF21" s="186"/>
      <c r="AGG21" s="186"/>
      <c r="AGH21" s="186"/>
      <c r="AGI21" s="186"/>
      <c r="AGJ21" s="186"/>
      <c r="AGK21" s="186"/>
      <c r="AGL21" s="186"/>
      <c r="AGM21" s="186"/>
      <c r="AGN21" s="186"/>
      <c r="AGO21" s="186"/>
      <c r="AGP21" s="186"/>
      <c r="AGQ21" s="186"/>
      <c r="AGR21" s="186"/>
      <c r="AGS21" s="186"/>
      <c r="AGT21" s="186"/>
      <c r="AGU21" s="186"/>
      <c r="AGV21" s="186"/>
      <c r="AGW21" s="186"/>
      <c r="AGX21" s="186"/>
      <c r="AGY21" s="186"/>
      <c r="AGZ21" s="186"/>
      <c r="AHA21" s="186"/>
      <c r="AHB21" s="186"/>
      <c r="AHC21" s="186"/>
      <c r="AHD21" s="186"/>
      <c r="AHE21" s="186"/>
      <c r="AHF21" s="186"/>
      <c r="AHG21" s="186"/>
      <c r="AHH21" s="186"/>
      <c r="AHI21" s="186"/>
      <c r="AHJ21" s="186"/>
      <c r="AHK21" s="186"/>
      <c r="AHL21" s="186"/>
      <c r="AHM21" s="186"/>
      <c r="AHN21" s="186"/>
      <c r="AHO21" s="186"/>
      <c r="AHP21" s="186"/>
      <c r="AHQ21" s="186"/>
      <c r="AHR21" s="186"/>
      <c r="AHS21" s="186"/>
      <c r="AHT21" s="186"/>
      <c r="AHU21" s="186"/>
      <c r="AHV21" s="186"/>
      <c r="AHW21" s="186"/>
      <c r="AHX21" s="186"/>
      <c r="AHY21" s="186"/>
      <c r="AHZ21" s="186"/>
      <c r="AIA21" s="186"/>
      <c r="AIB21" s="186"/>
      <c r="AIC21" s="186"/>
      <c r="AID21" s="186"/>
      <c r="AIE21" s="186"/>
      <c r="AIF21" s="186"/>
      <c r="AIG21" s="186"/>
      <c r="AIH21" s="186"/>
      <c r="AII21" s="186"/>
      <c r="AIJ21" s="186"/>
      <c r="AIK21" s="186"/>
      <c r="AIL21" s="186"/>
      <c r="AIM21" s="186"/>
      <c r="AIN21" s="186"/>
      <c r="AIO21" s="186"/>
      <c r="AIP21" s="186"/>
      <c r="AIQ21" s="186"/>
      <c r="AIR21" s="186"/>
      <c r="AIS21" s="186"/>
      <c r="AIT21" s="186"/>
      <c r="AIU21" s="186"/>
      <c r="AIV21" s="186"/>
      <c r="AIW21" s="186"/>
      <c r="AIX21" s="186"/>
      <c r="AIY21" s="186"/>
      <c r="AIZ21" s="186"/>
      <c r="AJA21" s="186"/>
      <c r="AJB21" s="186"/>
      <c r="AJC21" s="186"/>
      <c r="AJD21" s="186"/>
      <c r="AJE21" s="186"/>
      <c r="AJF21" s="186"/>
      <c r="AJG21" s="186"/>
      <c r="AJH21" s="186"/>
      <c r="AJI21" s="186"/>
      <c r="AJJ21" s="186"/>
      <c r="AJK21" s="186"/>
      <c r="AJL21" s="186"/>
      <c r="AJM21" s="186"/>
      <c r="AJN21" s="186"/>
      <c r="AJO21" s="186"/>
      <c r="AJP21" s="186"/>
      <c r="AJQ21" s="186"/>
      <c r="AJR21" s="186"/>
      <c r="AJS21" s="186"/>
      <c r="AJT21" s="186"/>
      <c r="AJU21" s="186"/>
      <c r="AJV21" s="186"/>
      <c r="AJW21" s="186"/>
      <c r="AJX21" s="186"/>
      <c r="AJY21" s="186"/>
      <c r="AJZ21" s="186"/>
      <c r="AKA21" s="186"/>
      <c r="AKB21" s="186"/>
      <c r="AKC21" s="186"/>
      <c r="AKD21" s="186"/>
      <c r="AKE21" s="186"/>
      <c r="AKF21" s="186"/>
      <c r="AKG21" s="186"/>
      <c r="AKH21" s="186"/>
      <c r="AKI21" s="186"/>
      <c r="AKJ21" s="186"/>
      <c r="AKK21" s="186"/>
      <c r="AKL21" s="186"/>
      <c r="AKM21" s="186"/>
      <c r="AKN21" s="186"/>
      <c r="AKO21" s="186"/>
      <c r="AKP21" s="186"/>
      <c r="AKQ21" s="186"/>
      <c r="AKR21" s="186"/>
      <c r="AKS21" s="186"/>
      <c r="AKT21" s="186"/>
      <c r="AKU21" s="186"/>
      <c r="AKV21" s="186"/>
      <c r="AKW21" s="186"/>
      <c r="AKX21" s="186"/>
      <c r="AKY21" s="186"/>
      <c r="AKZ21" s="186"/>
      <c r="ALA21" s="186"/>
      <c r="ALB21" s="186"/>
      <c r="ALC21" s="186"/>
      <c r="ALD21" s="186"/>
      <c r="ALE21" s="186"/>
      <c r="ALF21" s="186"/>
      <c r="ALG21" s="186"/>
      <c r="ALH21" s="186"/>
      <c r="ALI21" s="186"/>
      <c r="ALJ21" s="186"/>
      <c r="ALK21" s="186"/>
      <c r="ALL21" s="186"/>
      <c r="ALM21" s="186"/>
      <c r="ALN21" s="186"/>
      <c r="ALO21" s="186"/>
      <c r="ALP21" s="186"/>
      <c r="ALQ21" s="186"/>
      <c r="ALR21" s="186"/>
      <c r="ALS21" s="186"/>
      <c r="ALT21" s="186"/>
      <c r="ALU21" s="186"/>
      <c r="ALV21" s="186"/>
      <c r="ALW21" s="186"/>
      <c r="ALX21" s="186"/>
      <c r="ALY21" s="186"/>
      <c r="ALZ21" s="186"/>
      <c r="AMA21" s="186"/>
      <c r="AMB21" s="186"/>
      <c r="AMC21" s="186"/>
      <c r="AMD21" s="186"/>
      <c r="AME21" s="186"/>
      <c r="AMF21" s="186"/>
      <c r="AMG21" s="186"/>
      <c r="AMH21" s="186"/>
      <c r="AMI21" s="186"/>
      <c r="AMJ21" s="186"/>
      <c r="AMK21" s="186"/>
      <c r="AML21" s="186"/>
      <c r="AMM21" s="186"/>
      <c r="AMN21" s="186"/>
      <c r="AMO21" s="186"/>
      <c r="AMP21" s="186"/>
      <c r="AMQ21" s="186"/>
      <c r="AMR21" s="186"/>
      <c r="AMS21" s="186"/>
      <c r="AMT21" s="186"/>
      <c r="AMU21" s="186"/>
      <c r="AMV21" s="186"/>
      <c r="AMW21" s="186"/>
      <c r="AMX21" s="186"/>
      <c r="AMY21" s="186"/>
      <c r="AMZ21" s="186"/>
      <c r="ANA21" s="186"/>
      <c r="ANB21" s="186"/>
      <c r="ANC21" s="186"/>
      <c r="AND21" s="186"/>
      <c r="ANE21" s="186"/>
      <c r="ANF21" s="186"/>
    </row>
    <row r="22" spans="1:1046" x14ac:dyDescent="0.2">
      <c r="A22" s="2"/>
      <c r="B22" s="258"/>
      <c r="C22" s="69" t="s">
        <v>88</v>
      </c>
      <c r="D22" s="259">
        <f>STDEV(D19:D20)</f>
        <v>0.70710678118654757</v>
      </c>
      <c r="E22" s="260">
        <f>STDEV(E19:E20)</f>
        <v>7.0710678118654755</v>
      </c>
      <c r="F22" s="38">
        <f>STDEV(F19:F20)</f>
        <v>2.1213203435596424</v>
      </c>
      <c r="G22" s="71">
        <f>STDEV(G18:G19)</f>
        <v>14.142135623730951</v>
      </c>
      <c r="H22" s="42">
        <f>STDEV(H19:H20)</f>
        <v>7.0710678118654755</v>
      </c>
      <c r="I22" s="40">
        <f>STDEV(I19:I20)</f>
        <v>0</v>
      </c>
      <c r="J22" s="42">
        <f>STDEV(J18:J19)</f>
        <v>2.1213203435596424</v>
      </c>
      <c r="K22" s="40">
        <f>STDEV(K19:K20)</f>
        <v>5.6568542494923806</v>
      </c>
      <c r="L22" s="38">
        <f>STDEV(L18:L19)</f>
        <v>2.8284271247461903</v>
      </c>
      <c r="M22" s="38">
        <f>STDEV(M18:M20)</f>
        <v>0.57735026918962584</v>
      </c>
      <c r="N22" s="42">
        <f>STDEV(N18:N20)</f>
        <v>1</v>
      </c>
      <c r="O22" s="43">
        <f>STDEV(O18:O19)</f>
        <v>2.1213203435596424</v>
      </c>
      <c r="P22" s="38">
        <f>STDEV(P18:P20)</f>
        <v>3.4641016151377544</v>
      </c>
      <c r="Q22" s="40">
        <f>STDEV(Q18:Q19)</f>
        <v>2.8284271247461903</v>
      </c>
      <c r="R22" s="35">
        <f>STDEV(R19:R20)</f>
        <v>5.6568542494923806</v>
      </c>
      <c r="S22" s="32">
        <f>STDEV(S18,S20)</f>
        <v>4.2426406871192848</v>
      </c>
      <c r="T22" s="6">
        <f>STDEV(T18:T19)</f>
        <v>7.0710678118654755</v>
      </c>
      <c r="U22" s="6">
        <f>STDEV(U18:U19)</f>
        <v>0</v>
      </c>
      <c r="V22" s="35">
        <f>STDEV(V18,V20)</f>
        <v>5.6568542494923806</v>
      </c>
      <c r="W22" s="32">
        <f>STDEV(W18:W20)</f>
        <v>6.6583281184793925</v>
      </c>
      <c r="X22" s="6">
        <f>STDEV(X18:X20)</f>
        <v>5.5075705472861012</v>
      </c>
      <c r="Y22" s="7">
        <f>STDEV(Y18:Y20)</f>
        <v>8.0829037686547611</v>
      </c>
      <c r="Z22" s="44">
        <f t="shared" ref="Z22:CJ22" si="28">STDEV(Z18:Z20)</f>
        <v>8.8881944173155887</v>
      </c>
      <c r="AA22" s="40">
        <f>STDEV(AA19:AA20)</f>
        <v>8.4852813742385695</v>
      </c>
      <c r="AB22" s="261"/>
      <c r="AC22" s="262"/>
      <c r="AD22" s="38">
        <f t="shared" si="28"/>
        <v>6.2449979983983983</v>
      </c>
      <c r="AE22" s="40">
        <f>STDEV(AE18:AE19)</f>
        <v>8.4852813742385695</v>
      </c>
      <c r="AF22" s="35">
        <f t="shared" si="28"/>
        <v>7.0237691685684922</v>
      </c>
      <c r="AG22" s="32">
        <f t="shared" si="28"/>
        <v>8.6216781042517088</v>
      </c>
      <c r="AH22" s="42">
        <f t="shared" si="28"/>
        <v>2.0816659994661331</v>
      </c>
      <c r="AI22" s="43">
        <f t="shared" si="28"/>
        <v>8.5049005481153817</v>
      </c>
      <c r="AJ22" s="38">
        <f t="shared" si="28"/>
        <v>2.6457513110645907</v>
      </c>
      <c r="AK22" s="38">
        <f t="shared" si="28"/>
        <v>1.7320508075688772</v>
      </c>
      <c r="AL22" s="42">
        <f>STDEV(AL19:AL20)</f>
        <v>7.0710678118654755</v>
      </c>
      <c r="AM22" s="40">
        <f t="shared" si="28"/>
        <v>3.6055512754639891</v>
      </c>
      <c r="AN22" s="38">
        <f t="shared" si="28"/>
        <v>4.7258156262526088</v>
      </c>
      <c r="AO22" s="38">
        <f t="shared" si="28"/>
        <v>5.8594652770823146</v>
      </c>
      <c r="AP22" s="42">
        <f t="shared" si="28"/>
        <v>4</v>
      </c>
      <c r="AQ22" s="40">
        <f>STDEV(AQ19:AQ20)</f>
        <v>12.020815280171307</v>
      </c>
      <c r="AR22" s="38">
        <f t="shared" si="28"/>
        <v>0.57735026918962584</v>
      </c>
      <c r="AS22" s="43">
        <f t="shared" si="28"/>
        <v>9.5043849529221678</v>
      </c>
      <c r="AT22" s="38">
        <f t="shared" si="28"/>
        <v>4</v>
      </c>
      <c r="AU22" s="40">
        <f>STDEV(AU19:AU20)</f>
        <v>5.6568542494923806</v>
      </c>
      <c r="AV22" s="38">
        <f t="shared" si="28"/>
        <v>0.57735026918962584</v>
      </c>
      <c r="AW22" s="40">
        <f t="shared" si="28"/>
        <v>5.1316014394468841</v>
      </c>
      <c r="AX22" s="42">
        <f t="shared" si="28"/>
        <v>8.8881944173155887</v>
      </c>
      <c r="AY22" s="38">
        <f>STDEV(AY18,AY20)</f>
        <v>3.5355339059327378</v>
      </c>
      <c r="AZ22" s="42">
        <f t="shared" si="28"/>
        <v>3.4641016151377544</v>
      </c>
      <c r="BA22" s="40">
        <f t="shared" si="28"/>
        <v>7</v>
      </c>
      <c r="BB22" s="38">
        <f t="shared" si="28"/>
        <v>4.5825756949558398</v>
      </c>
      <c r="BC22" s="43">
        <f t="shared" si="28"/>
        <v>2.5166114784235836</v>
      </c>
      <c r="BD22" s="38">
        <f t="shared" si="28"/>
        <v>4</v>
      </c>
      <c r="BE22" s="40">
        <f t="shared" si="28"/>
        <v>1.1547005383792515</v>
      </c>
      <c r="BF22" s="38">
        <f t="shared" si="28"/>
        <v>1.5275252316519465</v>
      </c>
      <c r="BG22" s="40">
        <f t="shared" si="28"/>
        <v>5.196152422706632</v>
      </c>
      <c r="BH22" s="42">
        <f>STDEV(BH18:BH19)</f>
        <v>5.6568542494923806</v>
      </c>
      <c r="BI22" s="38">
        <f t="shared" si="28"/>
        <v>3.7859388972001824</v>
      </c>
      <c r="BJ22" s="42">
        <f>STDEV(BJ18,BJ20)</f>
        <v>5.6568542494923806</v>
      </c>
      <c r="BK22" s="40">
        <f t="shared" si="28"/>
        <v>8.5049005481153817</v>
      </c>
      <c r="BL22" s="38">
        <f t="shared" si="28"/>
        <v>2.0816659994661331</v>
      </c>
      <c r="BM22" s="43">
        <f t="shared" si="28"/>
        <v>7.5055534994651349</v>
      </c>
      <c r="BN22" s="38">
        <f t="shared" si="28"/>
        <v>3.0550504633038935</v>
      </c>
      <c r="BO22" s="40">
        <f t="shared" si="28"/>
        <v>3.5118845842842465</v>
      </c>
      <c r="BP22" s="263"/>
      <c r="BQ22" s="262"/>
      <c r="BR22" s="42">
        <f t="shared" si="28"/>
        <v>1.1547005383792515</v>
      </c>
      <c r="BS22" s="38">
        <f t="shared" si="28"/>
        <v>4.0414518843273806</v>
      </c>
      <c r="BT22" s="42">
        <f>STDEV(BT18:BT19)</f>
        <v>4.2426406871192848</v>
      </c>
      <c r="BU22" s="40">
        <f t="shared" si="28"/>
        <v>2.8867513459481291</v>
      </c>
      <c r="BV22" s="38">
        <f t="shared" si="28"/>
        <v>5.2915026221291814</v>
      </c>
      <c r="BW22" s="43">
        <f t="shared" si="28"/>
        <v>3.6055512754639891</v>
      </c>
      <c r="BX22" s="38">
        <f>STDEV(BX18:BX20)</f>
        <v>8.8881944173155887</v>
      </c>
      <c r="BY22" s="40">
        <f>STDEV(BY18:BY20)</f>
        <v>7.0945988845975876</v>
      </c>
      <c r="BZ22" s="42">
        <f t="shared" si="28"/>
        <v>5.5075705472861012</v>
      </c>
      <c r="CA22" s="40">
        <f t="shared" si="28"/>
        <v>1.1547005383792515</v>
      </c>
      <c r="CB22" s="42">
        <f>STDEV(CB19:CB20)</f>
        <v>7.7781745930520225</v>
      </c>
      <c r="CC22" s="72">
        <f>STDEV(CC18:CC19)</f>
        <v>0</v>
      </c>
      <c r="CD22" s="42">
        <f>STDEV(CD18:CD19)</f>
        <v>0</v>
      </c>
      <c r="CE22" s="40">
        <f t="shared" si="28"/>
        <v>6.2449979983983983</v>
      </c>
      <c r="CF22" s="38">
        <f t="shared" si="28"/>
        <v>0</v>
      </c>
      <c r="CG22" s="43">
        <f t="shared" si="28"/>
        <v>2.0816659994661331</v>
      </c>
      <c r="CH22" s="38">
        <f>STDEV(CH19:CH20)</f>
        <v>0</v>
      </c>
      <c r="CI22" s="40">
        <f t="shared" si="28"/>
        <v>7</v>
      </c>
      <c r="CJ22" s="42">
        <f t="shared" si="28"/>
        <v>5.7735026918962582</v>
      </c>
      <c r="CK22" s="40">
        <f>STDEV(CK19:CK20)</f>
        <v>7.0710678118654755</v>
      </c>
      <c r="CL22" s="42">
        <f>STDEV(CL18:CL19)</f>
        <v>7.0710678118654755</v>
      </c>
      <c r="CM22" s="38">
        <f>STDEV(CM18:CM19)</f>
        <v>14.142135623730951</v>
      </c>
      <c r="CN22" s="42">
        <f t="shared" ref="CN22:EW22" si="29">STDEV(CN18:CN20)</f>
        <v>5.7735026918962582</v>
      </c>
      <c r="CO22" s="40">
        <f t="shared" si="29"/>
        <v>0</v>
      </c>
      <c r="CP22" s="38">
        <f t="shared" si="29"/>
        <v>8.0829037686547611</v>
      </c>
      <c r="CQ22" s="43">
        <f t="shared" si="29"/>
        <v>5.7735026918962582</v>
      </c>
      <c r="CR22" s="38">
        <f t="shared" si="29"/>
        <v>2.3094010767585034</v>
      </c>
      <c r="CS22" s="40">
        <f t="shared" si="29"/>
        <v>7.6376261582597333</v>
      </c>
      <c r="CT22" s="42">
        <f t="shared" si="29"/>
        <v>2</v>
      </c>
      <c r="CU22" s="40">
        <f t="shared" si="29"/>
        <v>1.1547005383792515</v>
      </c>
      <c r="CV22" s="42">
        <f t="shared" si="29"/>
        <v>8.3266639978645305</v>
      </c>
      <c r="CW22" s="38">
        <f t="shared" si="29"/>
        <v>1.1547005383792515</v>
      </c>
      <c r="CX22" s="42">
        <f t="shared" si="29"/>
        <v>0.57735026918962584</v>
      </c>
      <c r="CY22" s="40">
        <f t="shared" si="29"/>
        <v>8.6602540378443873</v>
      </c>
      <c r="CZ22" s="38">
        <f t="shared" si="29"/>
        <v>1.1547005383792515</v>
      </c>
      <c r="DA22" s="43">
        <f t="shared" si="29"/>
        <v>5.8594652770823146</v>
      </c>
      <c r="DB22" s="38">
        <f t="shared" si="29"/>
        <v>6.8068592855540455</v>
      </c>
      <c r="DC22" s="40">
        <f>STDEV(DC18:DC20)</f>
        <v>1.5275252316519465</v>
      </c>
      <c r="DD22" s="35">
        <f t="shared" si="29"/>
        <v>5.2915026221291814</v>
      </c>
      <c r="DE22" s="32">
        <f>STDEV(DE19:DE20)</f>
        <v>0</v>
      </c>
      <c r="DF22" s="6">
        <f t="shared" si="29"/>
        <v>3.6055512754639891</v>
      </c>
      <c r="DG22" s="6">
        <f t="shared" si="29"/>
        <v>1.1547005383792515</v>
      </c>
      <c r="DH22" s="35">
        <f t="shared" si="29"/>
        <v>7.3711147958319936</v>
      </c>
      <c r="DI22" s="32">
        <f>STDEV(DI18:DI19)</f>
        <v>7.0710678118654755</v>
      </c>
      <c r="DJ22" s="6">
        <f>STDEV(DJ18:DJ19)</f>
        <v>2.8284271247461903</v>
      </c>
      <c r="DK22" s="7">
        <f t="shared" si="29"/>
        <v>5.2915026221291814</v>
      </c>
      <c r="DL22" s="71">
        <f>STDEV(DL18:DL20)</f>
        <v>10.503967504392486</v>
      </c>
      <c r="DM22" s="40">
        <f t="shared" si="29"/>
        <v>4.358898943540674</v>
      </c>
      <c r="DN22" s="35">
        <f>STDEV(DN19:DN20)</f>
        <v>10.606601717798213</v>
      </c>
      <c r="DO22" s="32">
        <f>STDEV(DO18:DO19)</f>
        <v>12.727922061357855</v>
      </c>
      <c r="DP22" s="6">
        <f t="shared" si="29"/>
        <v>5.7735026918962582</v>
      </c>
      <c r="DQ22" s="6">
        <f t="shared" si="29"/>
        <v>2.8867513459481291</v>
      </c>
      <c r="DR22" s="35">
        <f>STDEV(DR18:DR19)</f>
        <v>7.0710678118654755</v>
      </c>
      <c r="DS22" s="32">
        <f>STDEV(DS19:DS20)</f>
        <v>0</v>
      </c>
      <c r="DT22" s="6">
        <f>STDEV(DT18,DT20)</f>
        <v>0</v>
      </c>
      <c r="DU22" s="7">
        <f>STDEV(DU19:DU20)</f>
        <v>0</v>
      </c>
      <c r="DV22" s="38">
        <f>STDEV(DV18:DV19)</f>
        <v>7.0710678118654755</v>
      </c>
      <c r="DW22" s="40">
        <f>STDEV(DW18:DW19)</f>
        <v>7.0710678118654755</v>
      </c>
      <c r="DX22" s="35">
        <f>STDEV(DX19:DX20)</f>
        <v>0</v>
      </c>
      <c r="DY22" s="32">
        <f t="shared" si="29"/>
        <v>5.7735026918962582</v>
      </c>
      <c r="DZ22" s="6">
        <f>STDEV(DZ19:DZ20)</f>
        <v>14.142135623730951</v>
      </c>
      <c r="EA22" s="6">
        <f>STDEV(EA18,EA20)</f>
        <v>4.2426406871192848</v>
      </c>
      <c r="EB22" s="35">
        <f t="shared" si="29"/>
        <v>3.2145502536643185</v>
      </c>
      <c r="EC22" s="32">
        <f>STDEV(EC18:EC19)</f>
        <v>1.4142135623730951</v>
      </c>
      <c r="ED22" s="6">
        <f t="shared" si="29"/>
        <v>2.8867513459481291</v>
      </c>
      <c r="EE22" s="7">
        <f t="shared" si="29"/>
        <v>5.7735026918962582</v>
      </c>
      <c r="EF22" s="38">
        <f t="shared" si="29"/>
        <v>2.0816659994661331</v>
      </c>
      <c r="EG22" s="40">
        <f>STDEV(EG18:EG19)</f>
        <v>0</v>
      </c>
      <c r="EH22" s="35">
        <f>STDEV(EH19:EH20)</f>
        <v>9.8994949366116654</v>
      </c>
      <c r="EI22" s="32">
        <f>STDEV(EI18:EI19)</f>
        <v>3.5355339059327378</v>
      </c>
      <c r="EJ22" s="6">
        <f t="shared" si="29"/>
        <v>4.0414518843273806</v>
      </c>
      <c r="EK22" s="6">
        <f t="shared" si="29"/>
        <v>7</v>
      </c>
      <c r="EL22" s="35">
        <f t="shared" si="29"/>
        <v>1.7320508075688772</v>
      </c>
      <c r="EM22" s="32">
        <f t="shared" si="29"/>
        <v>0.57735026918962584</v>
      </c>
      <c r="EN22" s="2">
        <f t="shared" si="29"/>
        <v>1</v>
      </c>
      <c r="EO22" s="7">
        <f t="shared" si="29"/>
        <v>7.5055534994651349</v>
      </c>
      <c r="EP22" s="38">
        <f t="shared" si="29"/>
        <v>1</v>
      </c>
      <c r="EQ22" s="40">
        <f>STDEV(EQ18,EQ20)</f>
        <v>9.1923881554251174</v>
      </c>
      <c r="ER22" s="35">
        <f t="shared" si="29"/>
        <v>0.57735026918962584</v>
      </c>
      <c r="ES22" s="32">
        <f t="shared" si="29"/>
        <v>1.5275252316519465</v>
      </c>
      <c r="ET22" s="6">
        <f>STDEV(ET19:ET20)</f>
        <v>9.8994949366116654</v>
      </c>
      <c r="EU22" s="6">
        <f t="shared" si="29"/>
        <v>6.0827625302982193</v>
      </c>
      <c r="EV22" s="35">
        <f t="shared" si="29"/>
        <v>2</v>
      </c>
      <c r="EW22" s="32">
        <f t="shared" si="29"/>
        <v>1.1547005383792515</v>
      </c>
      <c r="EX22" s="6">
        <f>STDEV(EX18:EX19)</f>
        <v>3.5355339059327378</v>
      </c>
      <c r="EY22" s="7">
        <f>STDEV(EY18,EY20)</f>
        <v>4.9497474683058327</v>
      </c>
      <c r="EZ22" s="38">
        <f>STDEV(EZ19:EZ20)</f>
        <v>7.0710678118654755</v>
      </c>
      <c r="FA22" s="40">
        <f t="shared" ref="FA22:FS22" si="30">STDEV(FA18:FA20)</f>
        <v>1</v>
      </c>
      <c r="FB22" s="35">
        <f>STDEV(FB19:FB20)</f>
        <v>4.2426406871192848</v>
      </c>
      <c r="FC22" s="6">
        <f t="shared" si="30"/>
        <v>6.2449979983983983</v>
      </c>
      <c r="FD22" s="35">
        <f t="shared" si="30"/>
        <v>7.0945988845975876</v>
      </c>
      <c r="FE22" s="32">
        <f t="shared" si="30"/>
        <v>5.1316014394468841</v>
      </c>
      <c r="FF22" s="6">
        <f>STDEV(FF19:FF20)</f>
        <v>27.577164466275352</v>
      </c>
      <c r="FG22" s="32">
        <f t="shared" si="30"/>
        <v>2.8867513459481291</v>
      </c>
      <c r="FH22" s="6">
        <f t="shared" si="30"/>
        <v>1.5275252316519465</v>
      </c>
      <c r="FI22" s="7">
        <f t="shared" si="30"/>
        <v>1</v>
      </c>
      <c r="FJ22" s="38">
        <f t="shared" si="30"/>
        <v>3.2145502536643185</v>
      </c>
      <c r="FK22" s="40">
        <f t="shared" si="30"/>
        <v>2.5166114784235836</v>
      </c>
      <c r="FL22" s="35">
        <f t="shared" si="30"/>
        <v>3.0550504633038931</v>
      </c>
      <c r="FM22" s="28">
        <f t="shared" si="30"/>
        <v>1</v>
      </c>
      <c r="FN22" s="2">
        <f t="shared" si="30"/>
        <v>6</v>
      </c>
      <c r="FO22" s="2">
        <f t="shared" si="30"/>
        <v>2</v>
      </c>
      <c r="FP22" s="35">
        <f>STDEV(FP19:FP20)</f>
        <v>20.506096654409877</v>
      </c>
      <c r="FQ22" s="32">
        <f>STDEV(FQ18:FQ19)</f>
        <v>5.6568542494923806</v>
      </c>
      <c r="FR22" s="6">
        <f t="shared" si="30"/>
        <v>2.5166114784235836</v>
      </c>
      <c r="FS22" s="7">
        <f t="shared" si="30"/>
        <v>1.1547005383792515</v>
      </c>
      <c r="FT22" s="38">
        <f>STDEV(FT19:FT20)</f>
        <v>0.70710678118654757</v>
      </c>
      <c r="FU22" s="40">
        <f t="shared" ref="FU22:GC22" si="31">STDEV(FU18:FU20)</f>
        <v>1.5275252316519465</v>
      </c>
      <c r="FV22" s="6">
        <f t="shared" si="31"/>
        <v>1.5275252316519465</v>
      </c>
      <c r="FW22" s="6">
        <f t="shared" si="31"/>
        <v>4.9328828623162471</v>
      </c>
      <c r="FX22" s="35">
        <f t="shared" si="31"/>
        <v>4.9328828623162471</v>
      </c>
      <c r="FY22" s="32">
        <f t="shared" si="31"/>
        <v>5.0332229568471671</v>
      </c>
      <c r="FZ22" s="35">
        <f t="shared" si="31"/>
        <v>1.5275252316519465</v>
      </c>
      <c r="GA22" s="32">
        <f t="shared" si="31"/>
        <v>4.9328828623162471</v>
      </c>
      <c r="GB22" s="6">
        <f t="shared" si="31"/>
        <v>1.1547005383792515</v>
      </c>
      <c r="GC22" s="7">
        <f t="shared" si="31"/>
        <v>1.5275252316519465</v>
      </c>
      <c r="GD22" s="38">
        <f>STDEV(GD19:GD20)</f>
        <v>9.8994949366116654</v>
      </c>
      <c r="GE22" s="40">
        <f>STDEV(GE18:GE20)</f>
        <v>2.6457513110645907</v>
      </c>
      <c r="GF22" s="35">
        <f>STDEV(GF18:GF20)</f>
        <v>10</v>
      </c>
      <c r="GG22" s="32">
        <f>STDEV(GG18:GG20)</f>
        <v>4.7258156262526088</v>
      </c>
      <c r="GH22" s="6">
        <f t="shared" ref="GH22:GM22" si="32">STDEV(GH18:GH20)</f>
        <v>2.6457513110645907</v>
      </c>
      <c r="GI22" s="6">
        <f>STDEV(GI19:GI20)</f>
        <v>2.1213203435596424</v>
      </c>
      <c r="GJ22" s="35">
        <f>STDEV(GJ18:GJ19)</f>
        <v>0</v>
      </c>
      <c r="GK22" s="32">
        <f t="shared" si="32"/>
        <v>0</v>
      </c>
      <c r="GL22" s="6">
        <f>STDEV(GL19:GL20)</f>
        <v>4.9497474683058327</v>
      </c>
      <c r="GM22" s="7">
        <f t="shared" si="32"/>
        <v>6.1101009266077861</v>
      </c>
      <c r="GN22" s="38">
        <f>STDEV(GN18:GN20)</f>
        <v>1.1547005383792515</v>
      </c>
      <c r="GO22" s="40">
        <f>STDEV(GO18:GO20)</f>
        <v>10</v>
      </c>
      <c r="GP22" s="35">
        <f>STDEV(GP18:GP20)</f>
        <v>2.3094010767585034</v>
      </c>
      <c r="GQ22" s="32">
        <f>STDEV(GQ18:GQ20)</f>
        <v>5.7735026918962582</v>
      </c>
      <c r="GR22" s="6">
        <f t="shared" ref="GR22:GW22" si="33">STDEV(GR18:GR20)</f>
        <v>2.6457513110645907</v>
      </c>
      <c r="GS22" s="6">
        <f t="shared" si="33"/>
        <v>4.7258156262526088</v>
      </c>
      <c r="GT22" s="35">
        <f>STDEV(GT19:GT20)</f>
        <v>1.4142135623730951</v>
      </c>
      <c r="GU22" s="32">
        <f t="shared" si="33"/>
        <v>0</v>
      </c>
      <c r="GV22" s="6">
        <f t="shared" si="33"/>
        <v>5.6862407030773268</v>
      </c>
      <c r="GW22" s="7">
        <f t="shared" si="33"/>
        <v>11.930353445448853</v>
      </c>
    </row>
    <row r="23" spans="1:1046" x14ac:dyDescent="0.2">
      <c r="A23" s="1"/>
      <c r="B23" s="241" t="s">
        <v>90</v>
      </c>
      <c r="C23" s="51">
        <v>1</v>
      </c>
      <c r="D23" s="242">
        <v>441</v>
      </c>
      <c r="E23" s="243">
        <v>1630</v>
      </c>
      <c r="F23" s="53">
        <v>375</v>
      </c>
      <c r="G23" s="59">
        <v>1590</v>
      </c>
      <c r="H23" s="75">
        <v>777</v>
      </c>
      <c r="I23" s="58">
        <v>1480</v>
      </c>
      <c r="J23" s="75">
        <v>763</v>
      </c>
      <c r="K23" s="58">
        <v>1300</v>
      </c>
      <c r="L23" s="54">
        <v>775</v>
      </c>
      <c r="M23" s="59">
        <v>1120</v>
      </c>
      <c r="N23" s="56">
        <v>843</v>
      </c>
      <c r="O23" s="65">
        <v>1120</v>
      </c>
      <c r="P23" s="59">
        <v>842</v>
      </c>
      <c r="Q23" s="58">
        <v>1060</v>
      </c>
      <c r="R23" s="56">
        <v>774</v>
      </c>
      <c r="S23" s="66">
        <v>724</v>
      </c>
      <c r="T23" s="54">
        <v>868</v>
      </c>
      <c r="U23" s="59">
        <v>1110</v>
      </c>
      <c r="V23" s="56">
        <v>808</v>
      </c>
      <c r="W23" s="58">
        <v>1040</v>
      </c>
      <c r="X23" s="59">
        <v>833</v>
      </c>
      <c r="Y23" s="65">
        <v>1050</v>
      </c>
      <c r="Z23" s="264">
        <v>872</v>
      </c>
      <c r="AA23" s="28">
        <v>1120</v>
      </c>
      <c r="AB23" s="214"/>
      <c r="AC23" s="211"/>
      <c r="AD23" s="56">
        <v>818</v>
      </c>
      <c r="AE23" s="58">
        <v>1180</v>
      </c>
      <c r="AF23" s="56">
        <v>825</v>
      </c>
      <c r="AG23" s="58">
        <v>1370</v>
      </c>
      <c r="AH23" s="3">
        <v>818</v>
      </c>
      <c r="AI23" s="4">
        <v>1310</v>
      </c>
      <c r="AJ23" s="2">
        <v>833</v>
      </c>
      <c r="AK23" s="2">
        <v>1110</v>
      </c>
      <c r="AL23" s="3">
        <v>760</v>
      </c>
      <c r="AM23" s="28">
        <v>998</v>
      </c>
      <c r="AN23" s="62">
        <v>805</v>
      </c>
      <c r="AO23" s="62">
        <v>993</v>
      </c>
      <c r="AP23" s="36">
        <v>796</v>
      </c>
      <c r="AQ23" s="33">
        <v>981</v>
      </c>
      <c r="AR23" s="2">
        <v>819</v>
      </c>
      <c r="AS23" s="4">
        <v>989</v>
      </c>
      <c r="AT23" s="2">
        <v>784</v>
      </c>
      <c r="AU23" s="28">
        <v>950</v>
      </c>
      <c r="AV23" s="2">
        <v>807</v>
      </c>
      <c r="AW23" s="28">
        <v>934</v>
      </c>
      <c r="AX23" s="3">
        <v>823</v>
      </c>
      <c r="AY23" s="217">
        <v>921</v>
      </c>
      <c r="AZ23" s="3">
        <v>803</v>
      </c>
      <c r="BA23" s="28">
        <v>919</v>
      </c>
      <c r="BB23" s="2">
        <v>818</v>
      </c>
      <c r="BC23" s="4">
        <v>923</v>
      </c>
      <c r="BD23" s="2">
        <v>931</v>
      </c>
      <c r="BE23" s="28">
        <v>975</v>
      </c>
      <c r="BF23" s="2">
        <v>912</v>
      </c>
      <c r="BG23" s="33">
        <v>981</v>
      </c>
      <c r="BH23" s="3">
        <v>950</v>
      </c>
      <c r="BI23" s="2">
        <v>991</v>
      </c>
      <c r="BJ23" s="3">
        <v>945</v>
      </c>
      <c r="BK23" s="28">
        <v>1000</v>
      </c>
      <c r="BL23" s="2">
        <v>960</v>
      </c>
      <c r="BM23" s="67">
        <v>1030</v>
      </c>
      <c r="BN23" s="2">
        <v>941</v>
      </c>
      <c r="BO23" s="28">
        <v>931</v>
      </c>
      <c r="BP23" s="210"/>
      <c r="BQ23" s="211"/>
      <c r="BR23" s="3">
        <v>1170</v>
      </c>
      <c r="BS23" s="2">
        <v>1160</v>
      </c>
      <c r="BT23" s="36">
        <v>1180</v>
      </c>
      <c r="BU23" s="28">
        <v>1330</v>
      </c>
      <c r="BV23" s="2">
        <v>1190</v>
      </c>
      <c r="BW23" s="4">
        <v>1360</v>
      </c>
      <c r="BX23" s="2">
        <v>1220</v>
      </c>
      <c r="BY23" s="28">
        <v>1370</v>
      </c>
      <c r="BZ23" s="3">
        <v>1180</v>
      </c>
      <c r="CA23" s="28">
        <v>1300</v>
      </c>
      <c r="CB23" s="3">
        <v>1190</v>
      </c>
      <c r="CC23" s="2">
        <v>1340</v>
      </c>
      <c r="CD23" s="36">
        <v>1560</v>
      </c>
      <c r="CE23" s="28">
        <v>1310</v>
      </c>
      <c r="CF23" s="2">
        <v>1530</v>
      </c>
      <c r="CG23" s="4">
        <v>1340</v>
      </c>
      <c r="CH23" s="62">
        <v>1630</v>
      </c>
      <c r="CI23" s="28">
        <v>1390</v>
      </c>
      <c r="CJ23" s="3">
        <v>1600</v>
      </c>
      <c r="CK23" s="28">
        <v>1550</v>
      </c>
      <c r="CL23" s="3">
        <v>1570</v>
      </c>
      <c r="CM23" s="217">
        <v>1540</v>
      </c>
      <c r="CN23" s="3">
        <v>1660</v>
      </c>
      <c r="CO23" s="28">
        <v>1570</v>
      </c>
      <c r="CP23" s="2">
        <v>886</v>
      </c>
      <c r="CQ23" s="67">
        <v>1590</v>
      </c>
      <c r="CR23" s="2">
        <v>915</v>
      </c>
      <c r="CS23" s="28">
        <v>1380</v>
      </c>
      <c r="CT23" s="3">
        <v>942</v>
      </c>
      <c r="CU23" s="28">
        <v>1250</v>
      </c>
      <c r="CV23" s="3">
        <v>884</v>
      </c>
      <c r="CW23" s="2">
        <v>1160</v>
      </c>
      <c r="CX23" s="3">
        <v>887</v>
      </c>
      <c r="CY23" s="28">
        <v>1070</v>
      </c>
      <c r="CZ23" s="2">
        <v>772</v>
      </c>
      <c r="DA23" s="4">
        <v>1040</v>
      </c>
      <c r="DB23" s="59">
        <v>1100</v>
      </c>
      <c r="DC23" s="58">
        <v>790</v>
      </c>
      <c r="DD23" s="56">
        <v>990</v>
      </c>
      <c r="DE23" s="58">
        <v>1430</v>
      </c>
      <c r="DF23" s="59">
        <v>1210</v>
      </c>
      <c r="DG23" s="59">
        <v>815</v>
      </c>
      <c r="DH23" s="56">
        <v>1160</v>
      </c>
      <c r="DI23" s="58">
        <v>1450</v>
      </c>
      <c r="DJ23" s="59">
        <v>1330</v>
      </c>
      <c r="DK23" s="65">
        <v>1080</v>
      </c>
      <c r="DL23" s="59">
        <v>1260</v>
      </c>
      <c r="DM23" s="58">
        <v>1080</v>
      </c>
      <c r="DN23" s="56">
        <v>1440</v>
      </c>
      <c r="DO23" s="66">
        <v>1400</v>
      </c>
      <c r="DP23" s="59">
        <v>1530</v>
      </c>
      <c r="DQ23" s="53">
        <v>1410</v>
      </c>
      <c r="DR23" s="56">
        <v>1440</v>
      </c>
      <c r="DS23" s="58">
        <v>1460</v>
      </c>
      <c r="DT23" s="59">
        <v>1460</v>
      </c>
      <c r="DU23" s="65">
        <v>1450</v>
      </c>
      <c r="DV23" s="59">
        <v>1530</v>
      </c>
      <c r="DW23" s="66">
        <v>1440</v>
      </c>
      <c r="DX23" s="56">
        <v>1490</v>
      </c>
      <c r="DY23" s="64">
        <v>1470</v>
      </c>
      <c r="DZ23" s="59">
        <v>1500</v>
      </c>
      <c r="EA23" s="59">
        <v>1380</v>
      </c>
      <c r="EB23" s="56">
        <v>1150</v>
      </c>
      <c r="EC23" s="58">
        <v>1380</v>
      </c>
      <c r="ED23" s="59">
        <v>1160</v>
      </c>
      <c r="EE23" s="65">
        <v>1460</v>
      </c>
      <c r="EF23" s="59">
        <v>1140</v>
      </c>
      <c r="EG23" s="58">
        <v>1300</v>
      </c>
      <c r="EH23" s="56">
        <v>1330</v>
      </c>
      <c r="EI23" s="58">
        <v>1270</v>
      </c>
      <c r="EJ23" s="59">
        <v>1380</v>
      </c>
      <c r="EK23" s="59">
        <v>1290</v>
      </c>
      <c r="EL23" s="56">
        <v>984</v>
      </c>
      <c r="EM23" s="58">
        <v>844</v>
      </c>
      <c r="EN23" s="59">
        <v>990</v>
      </c>
      <c r="EO23" s="65">
        <v>837</v>
      </c>
      <c r="EP23" s="53">
        <v>1200</v>
      </c>
      <c r="EQ23" s="64">
        <v>1150</v>
      </c>
      <c r="ER23" s="85">
        <v>1030</v>
      </c>
      <c r="ES23" s="64">
        <v>1200</v>
      </c>
      <c r="ET23" s="59">
        <v>1110</v>
      </c>
      <c r="EU23" s="59">
        <v>1140</v>
      </c>
      <c r="EV23" s="56">
        <v>738</v>
      </c>
      <c r="EW23" s="58">
        <v>847</v>
      </c>
      <c r="EX23" s="59">
        <v>1120</v>
      </c>
      <c r="EY23" s="60">
        <v>1160</v>
      </c>
      <c r="EZ23" s="59">
        <v>1690</v>
      </c>
      <c r="FA23" s="58">
        <v>993</v>
      </c>
      <c r="FB23" s="56">
        <v>956</v>
      </c>
      <c r="FC23" s="54">
        <v>894</v>
      </c>
      <c r="FD23" s="56">
        <v>875</v>
      </c>
      <c r="FE23" s="58">
        <v>889</v>
      </c>
      <c r="FF23" s="54">
        <v>738</v>
      </c>
      <c r="FG23" s="58">
        <v>976</v>
      </c>
      <c r="FH23" s="59">
        <v>970</v>
      </c>
      <c r="FI23" s="65">
        <v>981</v>
      </c>
      <c r="FJ23" s="59">
        <v>728</v>
      </c>
      <c r="FK23" s="58">
        <v>756</v>
      </c>
      <c r="FL23" s="56">
        <v>689</v>
      </c>
      <c r="FM23" s="58">
        <v>725</v>
      </c>
      <c r="FN23" s="59">
        <v>707</v>
      </c>
      <c r="FO23" s="59">
        <v>818</v>
      </c>
      <c r="FP23" s="56">
        <v>940</v>
      </c>
      <c r="FQ23" s="66">
        <v>1090</v>
      </c>
      <c r="FR23" s="59">
        <v>747</v>
      </c>
      <c r="FS23" s="65">
        <v>797</v>
      </c>
      <c r="FT23" s="59">
        <v>1260</v>
      </c>
      <c r="FU23" s="58">
        <v>1010</v>
      </c>
      <c r="FV23" s="59">
        <v>926</v>
      </c>
      <c r="FW23" s="59">
        <v>1170</v>
      </c>
      <c r="FX23" s="56">
        <v>944</v>
      </c>
      <c r="FY23" s="58">
        <v>946</v>
      </c>
      <c r="FZ23" s="56">
        <v>926</v>
      </c>
      <c r="GA23" s="58">
        <v>1170</v>
      </c>
      <c r="GB23" s="59">
        <v>995</v>
      </c>
      <c r="GC23" s="65">
        <v>1060</v>
      </c>
      <c r="GD23" s="59">
        <v>1040</v>
      </c>
      <c r="GE23" s="58">
        <v>1130</v>
      </c>
      <c r="GF23" s="56">
        <v>1550</v>
      </c>
      <c r="GG23" s="58">
        <v>877</v>
      </c>
      <c r="GH23" s="59">
        <v>929</v>
      </c>
      <c r="GI23" s="59">
        <v>869</v>
      </c>
      <c r="GJ23" s="75">
        <v>1690</v>
      </c>
      <c r="GK23" s="58">
        <v>1470</v>
      </c>
      <c r="GL23" s="59">
        <v>958</v>
      </c>
      <c r="GM23" s="65">
        <v>922</v>
      </c>
      <c r="GN23" s="59">
        <v>1030</v>
      </c>
      <c r="GO23" s="58">
        <v>1610</v>
      </c>
      <c r="GP23" s="56">
        <v>842</v>
      </c>
      <c r="GQ23" s="58">
        <v>1650</v>
      </c>
      <c r="GR23" s="59">
        <v>956</v>
      </c>
      <c r="GS23" s="59">
        <v>985</v>
      </c>
      <c r="GT23" s="56">
        <v>853</v>
      </c>
      <c r="GU23" s="58">
        <v>968</v>
      </c>
      <c r="GV23" s="59">
        <v>895</v>
      </c>
      <c r="GW23" s="65">
        <v>922</v>
      </c>
    </row>
    <row r="24" spans="1:1046" x14ac:dyDescent="0.2">
      <c r="A24" s="2"/>
      <c r="B24" s="205"/>
      <c r="C24" s="23">
        <v>2</v>
      </c>
      <c r="D24" s="212">
        <v>359</v>
      </c>
      <c r="E24" s="213">
        <v>1600</v>
      </c>
      <c r="F24" s="68">
        <v>365</v>
      </c>
      <c r="G24" s="217">
        <v>1610</v>
      </c>
      <c r="H24" s="36">
        <v>771</v>
      </c>
      <c r="I24" s="33">
        <v>1410</v>
      </c>
      <c r="J24" s="36">
        <v>761</v>
      </c>
      <c r="K24" s="33">
        <v>1260</v>
      </c>
      <c r="L24" s="217">
        <v>774</v>
      </c>
      <c r="M24" s="2">
        <v>1120</v>
      </c>
      <c r="N24" s="3">
        <v>839</v>
      </c>
      <c r="O24" s="4">
        <v>1130</v>
      </c>
      <c r="P24" s="2">
        <v>843</v>
      </c>
      <c r="Q24" s="28">
        <v>1070</v>
      </c>
      <c r="R24" s="3">
        <v>763</v>
      </c>
      <c r="S24" s="28">
        <v>738</v>
      </c>
      <c r="T24" s="217">
        <v>864</v>
      </c>
      <c r="U24" s="2">
        <v>1110</v>
      </c>
      <c r="V24" s="36">
        <v>821</v>
      </c>
      <c r="W24" s="28">
        <v>1040</v>
      </c>
      <c r="X24" s="2">
        <v>827</v>
      </c>
      <c r="Y24" s="4">
        <v>1050</v>
      </c>
      <c r="Z24" s="79">
        <v>886</v>
      </c>
      <c r="AA24" s="28">
        <v>1110</v>
      </c>
      <c r="AB24" s="214"/>
      <c r="AC24" s="211"/>
      <c r="AD24" s="3">
        <v>816</v>
      </c>
      <c r="AE24" s="28">
        <v>1180</v>
      </c>
      <c r="AF24" s="3">
        <v>818</v>
      </c>
      <c r="AG24" s="28">
        <v>1360</v>
      </c>
      <c r="AH24" s="3">
        <v>822</v>
      </c>
      <c r="AI24" s="4">
        <v>1310</v>
      </c>
      <c r="AJ24" s="2">
        <v>835</v>
      </c>
      <c r="AK24" s="2">
        <v>1110</v>
      </c>
      <c r="AL24" s="36">
        <v>788</v>
      </c>
      <c r="AM24" s="28">
        <v>997</v>
      </c>
      <c r="AN24" s="62">
        <v>806</v>
      </c>
      <c r="AO24" s="62">
        <v>994</v>
      </c>
      <c r="AP24" s="36">
        <v>790</v>
      </c>
      <c r="AQ24" s="33">
        <v>975</v>
      </c>
      <c r="AR24" s="2">
        <v>818</v>
      </c>
      <c r="AS24" s="4">
        <v>981</v>
      </c>
      <c r="AT24" s="2">
        <v>785</v>
      </c>
      <c r="AU24" s="33">
        <v>965</v>
      </c>
      <c r="AV24" s="2">
        <v>805</v>
      </c>
      <c r="AW24" s="28">
        <v>927</v>
      </c>
      <c r="AX24" s="3">
        <v>819</v>
      </c>
      <c r="AY24" s="2">
        <v>933</v>
      </c>
      <c r="AZ24" s="3">
        <v>802</v>
      </c>
      <c r="BA24" s="28">
        <v>911</v>
      </c>
      <c r="BB24" s="2">
        <v>816</v>
      </c>
      <c r="BC24" s="4">
        <v>920</v>
      </c>
      <c r="BD24" s="2">
        <v>928</v>
      </c>
      <c r="BE24" s="28">
        <v>975</v>
      </c>
      <c r="BF24" s="2">
        <v>914</v>
      </c>
      <c r="BG24" s="33">
        <v>982</v>
      </c>
      <c r="BH24" s="3">
        <v>945</v>
      </c>
      <c r="BI24" s="2">
        <v>993</v>
      </c>
      <c r="BJ24" s="3">
        <v>939</v>
      </c>
      <c r="BK24" s="28">
        <v>1000</v>
      </c>
      <c r="BL24" s="2">
        <v>963</v>
      </c>
      <c r="BM24" s="4">
        <v>1010</v>
      </c>
      <c r="BN24" s="2">
        <v>913</v>
      </c>
      <c r="BO24" s="28">
        <v>935</v>
      </c>
      <c r="BP24" s="210"/>
      <c r="BQ24" s="211"/>
      <c r="BR24" s="3">
        <v>1170</v>
      </c>
      <c r="BS24" s="2">
        <v>1160</v>
      </c>
      <c r="BT24" s="36">
        <v>1180</v>
      </c>
      <c r="BU24" s="28">
        <v>1340</v>
      </c>
      <c r="BV24" s="2">
        <v>1190</v>
      </c>
      <c r="BW24" s="4">
        <v>1360</v>
      </c>
      <c r="BX24" s="2">
        <v>1210</v>
      </c>
      <c r="BY24" s="28">
        <v>1360</v>
      </c>
      <c r="BZ24" s="3">
        <v>1180</v>
      </c>
      <c r="CA24" s="28">
        <v>1300</v>
      </c>
      <c r="CB24" s="3">
        <v>1180</v>
      </c>
      <c r="CC24" s="2">
        <v>1340</v>
      </c>
      <c r="CD24" s="36">
        <v>1550</v>
      </c>
      <c r="CE24" s="28">
        <v>1310</v>
      </c>
      <c r="CF24" s="2">
        <v>1530</v>
      </c>
      <c r="CG24" s="4">
        <v>1330</v>
      </c>
      <c r="CH24" s="62">
        <v>1640</v>
      </c>
      <c r="CI24" s="28">
        <v>1390</v>
      </c>
      <c r="CJ24" s="3">
        <v>1610</v>
      </c>
      <c r="CK24" s="28">
        <v>1560</v>
      </c>
      <c r="CL24" s="3">
        <v>1580</v>
      </c>
      <c r="CM24" s="217">
        <v>1530</v>
      </c>
      <c r="CN24" s="3">
        <v>1660</v>
      </c>
      <c r="CO24" s="28">
        <v>1570</v>
      </c>
      <c r="CP24" s="2">
        <v>892</v>
      </c>
      <c r="CQ24" s="4">
        <v>1570</v>
      </c>
      <c r="CR24" s="2">
        <v>918</v>
      </c>
      <c r="CS24" s="28">
        <v>1370</v>
      </c>
      <c r="CT24" s="3">
        <v>941</v>
      </c>
      <c r="CU24" s="28">
        <v>1250</v>
      </c>
      <c r="CV24" s="3">
        <v>884</v>
      </c>
      <c r="CW24" s="2">
        <v>1160</v>
      </c>
      <c r="CX24" s="3">
        <v>886</v>
      </c>
      <c r="CY24" s="28">
        <v>1080</v>
      </c>
      <c r="CZ24" s="2">
        <v>773</v>
      </c>
      <c r="DA24" s="4">
        <v>1030</v>
      </c>
      <c r="DB24" s="2">
        <v>1110</v>
      </c>
      <c r="DC24" s="28">
        <v>792</v>
      </c>
      <c r="DD24" s="3">
        <v>992</v>
      </c>
      <c r="DE24" s="28">
        <v>1440</v>
      </c>
      <c r="DF24" s="2">
        <v>1220</v>
      </c>
      <c r="DG24" s="2">
        <v>818</v>
      </c>
      <c r="DH24" s="3">
        <v>1160</v>
      </c>
      <c r="DI24" s="28">
        <v>1450</v>
      </c>
      <c r="DJ24" s="2">
        <v>1330</v>
      </c>
      <c r="DK24" s="4">
        <v>1080</v>
      </c>
      <c r="DL24" s="2">
        <v>1260</v>
      </c>
      <c r="DM24" s="28">
        <v>1080</v>
      </c>
      <c r="DN24" s="3">
        <v>1430</v>
      </c>
      <c r="DO24" s="33">
        <v>1400</v>
      </c>
      <c r="DP24" s="2">
        <v>1540</v>
      </c>
      <c r="DQ24" s="62">
        <v>1400</v>
      </c>
      <c r="DR24" s="3">
        <v>1450</v>
      </c>
      <c r="DS24" s="28">
        <v>1470</v>
      </c>
      <c r="DT24" s="2">
        <v>1470</v>
      </c>
      <c r="DU24" s="67">
        <v>1470</v>
      </c>
      <c r="DV24" s="2">
        <v>1540</v>
      </c>
      <c r="DW24" s="33">
        <v>1450</v>
      </c>
      <c r="DX24" s="36">
        <v>1510</v>
      </c>
      <c r="DY24" s="74">
        <v>1480</v>
      </c>
      <c r="DZ24" s="2">
        <v>1520</v>
      </c>
      <c r="EA24" s="2">
        <v>1390</v>
      </c>
      <c r="EB24" s="3">
        <v>1140</v>
      </c>
      <c r="EC24" s="28">
        <v>1390</v>
      </c>
      <c r="ED24" s="2">
        <v>1170</v>
      </c>
      <c r="EE24" s="4">
        <v>1450</v>
      </c>
      <c r="EF24" s="2">
        <v>1150</v>
      </c>
      <c r="EG24" s="28">
        <v>1300</v>
      </c>
      <c r="EH24" s="3">
        <v>1340</v>
      </c>
      <c r="EI24" s="28">
        <v>1270</v>
      </c>
      <c r="EJ24" s="2">
        <v>1380</v>
      </c>
      <c r="EK24" s="2">
        <v>1290</v>
      </c>
      <c r="EL24" s="3">
        <v>982</v>
      </c>
      <c r="EM24" s="28">
        <v>844</v>
      </c>
      <c r="EN24" s="2">
        <v>991</v>
      </c>
      <c r="EO24" s="4">
        <v>836</v>
      </c>
      <c r="EP24" s="62">
        <v>1190</v>
      </c>
      <c r="EQ24" s="74">
        <v>1150</v>
      </c>
      <c r="ER24" s="82">
        <v>1030</v>
      </c>
      <c r="ES24" s="74">
        <v>1200</v>
      </c>
      <c r="ET24" s="2">
        <v>1120</v>
      </c>
      <c r="EU24" s="2">
        <v>1140</v>
      </c>
      <c r="EV24" s="3">
        <v>738</v>
      </c>
      <c r="EW24" s="28">
        <v>846</v>
      </c>
      <c r="EX24" s="2">
        <v>1120</v>
      </c>
      <c r="EY24" s="4">
        <v>1130</v>
      </c>
      <c r="EZ24" s="2">
        <v>1700</v>
      </c>
      <c r="FA24" s="28">
        <v>992</v>
      </c>
      <c r="FB24" s="36">
        <v>931</v>
      </c>
      <c r="FC24" s="217">
        <v>884</v>
      </c>
      <c r="FD24" s="3">
        <v>880</v>
      </c>
      <c r="FE24" s="28">
        <v>881</v>
      </c>
      <c r="FF24" s="2">
        <v>786</v>
      </c>
      <c r="FG24" s="28">
        <v>972</v>
      </c>
      <c r="FH24" s="2">
        <v>970</v>
      </c>
      <c r="FI24" s="4">
        <v>983</v>
      </c>
      <c r="FJ24" s="2">
        <v>731</v>
      </c>
      <c r="FK24" s="28">
        <v>760</v>
      </c>
      <c r="FL24" s="3">
        <v>692</v>
      </c>
      <c r="FM24" s="28">
        <v>725</v>
      </c>
      <c r="FN24" s="2">
        <v>710</v>
      </c>
      <c r="FO24" s="2">
        <v>817</v>
      </c>
      <c r="FP24" s="36">
        <v>914</v>
      </c>
      <c r="FQ24" s="33">
        <v>1080</v>
      </c>
      <c r="FR24" s="2">
        <v>749</v>
      </c>
      <c r="FS24" s="4">
        <v>798</v>
      </c>
      <c r="FT24" s="217">
        <v>1280</v>
      </c>
      <c r="FU24" s="28">
        <v>1010</v>
      </c>
      <c r="FV24" s="2">
        <v>927</v>
      </c>
      <c r="FW24" s="2">
        <v>1170</v>
      </c>
      <c r="FX24" s="3">
        <v>945</v>
      </c>
      <c r="FY24" s="28">
        <v>953</v>
      </c>
      <c r="FZ24" s="3">
        <v>927</v>
      </c>
      <c r="GA24" s="28">
        <v>1170</v>
      </c>
      <c r="GB24" s="2">
        <v>995</v>
      </c>
      <c r="GC24" s="4">
        <v>1060</v>
      </c>
      <c r="GD24" s="217">
        <v>1060</v>
      </c>
      <c r="GE24" s="28">
        <v>1130</v>
      </c>
      <c r="GF24" s="3">
        <v>1560</v>
      </c>
      <c r="GG24" s="28">
        <v>870</v>
      </c>
      <c r="GH24" s="2">
        <v>925</v>
      </c>
      <c r="GI24" s="2">
        <v>867</v>
      </c>
      <c r="GJ24" s="36">
        <v>1690</v>
      </c>
      <c r="GK24" s="28">
        <v>1460</v>
      </c>
      <c r="GL24" s="217">
        <v>977</v>
      </c>
      <c r="GM24" s="4">
        <v>924</v>
      </c>
      <c r="GN24" s="2">
        <v>1030</v>
      </c>
      <c r="GO24" s="28">
        <v>1610</v>
      </c>
      <c r="GP24" s="3">
        <v>846</v>
      </c>
      <c r="GQ24" s="28">
        <v>1650</v>
      </c>
      <c r="GR24" s="2">
        <v>958</v>
      </c>
      <c r="GS24" s="2">
        <v>988</v>
      </c>
      <c r="GT24" s="3">
        <v>860</v>
      </c>
      <c r="GU24" s="28">
        <v>968</v>
      </c>
      <c r="GV24" s="2">
        <v>892</v>
      </c>
      <c r="GW24" s="4">
        <v>926</v>
      </c>
    </row>
    <row r="25" spans="1:1046" x14ac:dyDescent="0.2">
      <c r="A25" s="2"/>
      <c r="B25" s="205"/>
      <c r="C25" s="23">
        <v>3</v>
      </c>
      <c r="D25" s="212">
        <v>560</v>
      </c>
      <c r="E25" s="213">
        <v>1600</v>
      </c>
      <c r="F25" s="68">
        <v>366</v>
      </c>
      <c r="G25" s="217">
        <v>1620</v>
      </c>
      <c r="H25" s="3">
        <v>764</v>
      </c>
      <c r="I25" s="33">
        <v>1440</v>
      </c>
      <c r="J25" s="3">
        <v>750</v>
      </c>
      <c r="K25" s="33">
        <v>1260</v>
      </c>
      <c r="L25" s="2">
        <v>786</v>
      </c>
      <c r="M25" s="2">
        <v>1120</v>
      </c>
      <c r="N25" s="3">
        <v>843</v>
      </c>
      <c r="O25" s="4">
        <v>1110</v>
      </c>
      <c r="P25" s="2">
        <v>847</v>
      </c>
      <c r="Q25" s="28">
        <v>1060</v>
      </c>
      <c r="R25" s="3">
        <v>766</v>
      </c>
      <c r="S25" s="33">
        <v>728</v>
      </c>
      <c r="T25" s="2">
        <v>852</v>
      </c>
      <c r="U25" s="2">
        <v>1110</v>
      </c>
      <c r="V25" s="36">
        <v>818</v>
      </c>
      <c r="W25" s="28">
        <v>1030</v>
      </c>
      <c r="X25" s="2">
        <v>828</v>
      </c>
      <c r="Y25" s="4">
        <v>1040</v>
      </c>
      <c r="Z25" s="264">
        <v>877</v>
      </c>
      <c r="AA25" s="28">
        <v>1110</v>
      </c>
      <c r="AB25" s="214"/>
      <c r="AC25" s="211"/>
      <c r="AD25" s="3">
        <v>809</v>
      </c>
      <c r="AE25" s="28">
        <v>1180</v>
      </c>
      <c r="AF25" s="3">
        <v>819</v>
      </c>
      <c r="AG25" s="28">
        <v>1360</v>
      </c>
      <c r="AH25" s="3">
        <v>817</v>
      </c>
      <c r="AI25" s="4">
        <v>1300</v>
      </c>
      <c r="AJ25" s="2">
        <v>832</v>
      </c>
      <c r="AK25" s="2">
        <v>1110</v>
      </c>
      <c r="AL25" s="36">
        <v>787</v>
      </c>
      <c r="AM25" s="28">
        <v>991</v>
      </c>
      <c r="AN25" s="62">
        <v>800</v>
      </c>
      <c r="AO25" s="62">
        <v>985</v>
      </c>
      <c r="AP25" s="3">
        <v>773</v>
      </c>
      <c r="AQ25" s="28">
        <v>963</v>
      </c>
      <c r="AR25" s="2">
        <v>819</v>
      </c>
      <c r="AS25" s="4">
        <v>994</v>
      </c>
      <c r="AT25" s="2">
        <v>785</v>
      </c>
      <c r="AU25" s="33">
        <v>969</v>
      </c>
      <c r="AV25" s="2">
        <v>807</v>
      </c>
      <c r="AW25" s="28">
        <v>928</v>
      </c>
      <c r="AX25" s="3">
        <v>810</v>
      </c>
      <c r="AY25" s="217">
        <v>918</v>
      </c>
      <c r="AZ25" s="3">
        <v>798</v>
      </c>
      <c r="BA25" s="28">
        <v>917</v>
      </c>
      <c r="BB25" s="2">
        <v>813</v>
      </c>
      <c r="BC25" s="4">
        <v>922</v>
      </c>
      <c r="BD25" s="2">
        <v>934</v>
      </c>
      <c r="BE25" s="28">
        <v>976</v>
      </c>
      <c r="BF25" s="2">
        <v>914</v>
      </c>
      <c r="BG25" s="28">
        <v>995</v>
      </c>
      <c r="BH25" s="3">
        <v>942</v>
      </c>
      <c r="BI25" s="2">
        <v>989</v>
      </c>
      <c r="BJ25" s="3">
        <v>941</v>
      </c>
      <c r="BK25" s="28">
        <v>1010</v>
      </c>
      <c r="BL25" s="2">
        <v>963</v>
      </c>
      <c r="BM25" s="67">
        <v>1030</v>
      </c>
      <c r="BN25" s="2">
        <v>918</v>
      </c>
      <c r="BO25" s="28">
        <v>929</v>
      </c>
      <c r="BP25" s="210"/>
      <c r="BQ25" s="211"/>
      <c r="BR25" s="3">
        <v>1170</v>
      </c>
      <c r="BS25" s="2">
        <v>1150</v>
      </c>
      <c r="BT25" s="3">
        <v>1150</v>
      </c>
      <c r="BU25" s="28">
        <v>1330</v>
      </c>
      <c r="BV25" s="2">
        <v>1180</v>
      </c>
      <c r="BW25" s="4">
        <v>1360</v>
      </c>
      <c r="BX25" s="2">
        <v>1210</v>
      </c>
      <c r="BY25" s="28">
        <v>1370</v>
      </c>
      <c r="BZ25" s="3">
        <v>1180</v>
      </c>
      <c r="CA25" s="28">
        <v>1300</v>
      </c>
      <c r="CB25" s="3">
        <v>1170</v>
      </c>
      <c r="CC25" s="2">
        <v>1330</v>
      </c>
      <c r="CD25" s="3">
        <v>1530</v>
      </c>
      <c r="CE25" s="28">
        <v>1300</v>
      </c>
      <c r="CF25" s="2">
        <v>1530</v>
      </c>
      <c r="CG25" s="4">
        <v>1330</v>
      </c>
      <c r="CH25" s="62">
        <v>1640</v>
      </c>
      <c r="CI25" s="28">
        <v>1400</v>
      </c>
      <c r="CJ25" s="3">
        <v>1620</v>
      </c>
      <c r="CK25" s="28">
        <v>1560</v>
      </c>
      <c r="CL25" s="3">
        <v>1560</v>
      </c>
      <c r="CM25" s="2">
        <v>1620</v>
      </c>
      <c r="CN25" s="3">
        <v>1660</v>
      </c>
      <c r="CO25" s="28">
        <v>1570</v>
      </c>
      <c r="CP25" s="2">
        <v>896</v>
      </c>
      <c r="CQ25" s="67">
        <v>1590</v>
      </c>
      <c r="CR25" s="2">
        <v>917</v>
      </c>
      <c r="CS25" s="28">
        <v>1370</v>
      </c>
      <c r="CT25" s="3">
        <v>941</v>
      </c>
      <c r="CU25" s="28">
        <v>1250</v>
      </c>
      <c r="CV25" s="3">
        <v>876</v>
      </c>
      <c r="CW25" s="2">
        <v>1160</v>
      </c>
      <c r="CX25" s="3">
        <v>887</v>
      </c>
      <c r="CY25" s="28">
        <v>1060</v>
      </c>
      <c r="CZ25" s="2">
        <v>773</v>
      </c>
      <c r="DA25" s="4">
        <v>1030</v>
      </c>
      <c r="DB25" s="2">
        <v>1110</v>
      </c>
      <c r="DC25" s="28">
        <v>791</v>
      </c>
      <c r="DD25" s="3">
        <v>986</v>
      </c>
      <c r="DE25" s="28">
        <v>1450</v>
      </c>
      <c r="DF25" s="2">
        <v>1220</v>
      </c>
      <c r="DG25" s="2">
        <v>819</v>
      </c>
      <c r="DH25" s="3">
        <v>1150</v>
      </c>
      <c r="DI25" s="28">
        <v>1460</v>
      </c>
      <c r="DJ25" s="2">
        <v>1340</v>
      </c>
      <c r="DK25" s="4">
        <v>1080</v>
      </c>
      <c r="DL25" s="2">
        <v>1270</v>
      </c>
      <c r="DM25" s="28">
        <v>1080</v>
      </c>
      <c r="DN25" s="3">
        <v>1420</v>
      </c>
      <c r="DO25" s="28">
        <v>1360</v>
      </c>
      <c r="DP25" s="2">
        <v>1530</v>
      </c>
      <c r="DQ25" s="62">
        <v>1400</v>
      </c>
      <c r="DR25" s="3">
        <v>1460</v>
      </c>
      <c r="DS25" s="28">
        <v>1470</v>
      </c>
      <c r="DT25" s="2">
        <v>1450</v>
      </c>
      <c r="DU25" s="67">
        <v>1470</v>
      </c>
      <c r="DV25" s="2">
        <v>1550</v>
      </c>
      <c r="DW25" s="28">
        <v>1480</v>
      </c>
      <c r="DX25" s="36">
        <v>1510</v>
      </c>
      <c r="DY25" s="74">
        <v>1480</v>
      </c>
      <c r="DZ25" s="2">
        <v>1510</v>
      </c>
      <c r="EA25" s="2">
        <v>1380</v>
      </c>
      <c r="EB25" s="3">
        <v>1140</v>
      </c>
      <c r="EC25" s="28">
        <v>1390</v>
      </c>
      <c r="ED25" s="2">
        <v>1150</v>
      </c>
      <c r="EE25" s="4">
        <v>1470</v>
      </c>
      <c r="EF25" s="2">
        <v>1150</v>
      </c>
      <c r="EG25" s="28">
        <v>1290</v>
      </c>
      <c r="EH25" s="3">
        <v>1350</v>
      </c>
      <c r="EI25" s="28">
        <v>1280</v>
      </c>
      <c r="EJ25" s="2">
        <v>1370</v>
      </c>
      <c r="EK25" s="2">
        <v>1290</v>
      </c>
      <c r="EL25" s="3">
        <v>985</v>
      </c>
      <c r="EM25" s="28">
        <v>843</v>
      </c>
      <c r="EN25" s="2">
        <v>990</v>
      </c>
      <c r="EO25" s="4">
        <v>834</v>
      </c>
      <c r="EP25" s="62">
        <v>1190</v>
      </c>
      <c r="EQ25" s="74">
        <v>1140</v>
      </c>
      <c r="ER25" s="82">
        <v>1030</v>
      </c>
      <c r="ES25" s="74">
        <v>1190</v>
      </c>
      <c r="ET25" s="2">
        <v>1130</v>
      </c>
      <c r="EU25" s="2">
        <v>1150</v>
      </c>
      <c r="EV25" s="3">
        <v>740</v>
      </c>
      <c r="EW25" s="28">
        <v>847</v>
      </c>
      <c r="EX25" s="2">
        <v>1110</v>
      </c>
      <c r="EY25" s="67">
        <v>1150</v>
      </c>
      <c r="EZ25" s="2">
        <v>1690</v>
      </c>
      <c r="FA25" s="28">
        <v>989</v>
      </c>
      <c r="FB25" s="36">
        <v>939</v>
      </c>
      <c r="FC25" s="2">
        <v>970</v>
      </c>
      <c r="FD25" s="3">
        <v>878</v>
      </c>
      <c r="FE25" s="28">
        <v>888</v>
      </c>
      <c r="FF25" s="217">
        <v>757</v>
      </c>
      <c r="FG25" s="28">
        <v>975</v>
      </c>
      <c r="FH25" s="2">
        <v>968</v>
      </c>
      <c r="FI25" s="4">
        <v>979</v>
      </c>
      <c r="FJ25" s="2">
        <v>731</v>
      </c>
      <c r="FK25" s="28">
        <v>760</v>
      </c>
      <c r="FL25" s="3">
        <v>693</v>
      </c>
      <c r="FM25" s="28">
        <v>726</v>
      </c>
      <c r="FN25" s="2">
        <v>713</v>
      </c>
      <c r="FO25" s="2">
        <v>817</v>
      </c>
      <c r="FP25" s="36">
        <v>910</v>
      </c>
      <c r="FQ25" s="28">
        <v>1060</v>
      </c>
      <c r="FR25" s="2">
        <v>750</v>
      </c>
      <c r="FS25" s="4">
        <v>794</v>
      </c>
      <c r="FT25" s="217">
        <v>1280</v>
      </c>
      <c r="FU25" s="28">
        <v>1010</v>
      </c>
      <c r="FV25" s="2">
        <v>925</v>
      </c>
      <c r="FW25" s="2">
        <v>1170</v>
      </c>
      <c r="FX25" s="3">
        <v>938</v>
      </c>
      <c r="FY25" s="28">
        <v>952</v>
      </c>
      <c r="FZ25" s="3">
        <v>925</v>
      </c>
      <c r="GA25" s="28">
        <v>1170</v>
      </c>
      <c r="GB25" s="2">
        <v>998</v>
      </c>
      <c r="GC25" s="4">
        <v>1060</v>
      </c>
      <c r="GD25" s="217">
        <v>1070</v>
      </c>
      <c r="GE25" s="28">
        <v>1130</v>
      </c>
      <c r="GF25" s="3">
        <v>1540</v>
      </c>
      <c r="GG25" s="28">
        <v>871</v>
      </c>
      <c r="GH25" s="2">
        <v>931</v>
      </c>
      <c r="GI25" s="2">
        <v>869</v>
      </c>
      <c r="GJ25" s="3">
        <v>1670</v>
      </c>
      <c r="GK25" s="28">
        <v>1460</v>
      </c>
      <c r="GL25" s="217">
        <v>983</v>
      </c>
      <c r="GM25" s="4">
        <v>926</v>
      </c>
      <c r="GN25" s="2">
        <v>1030</v>
      </c>
      <c r="GO25" s="28">
        <v>1620</v>
      </c>
      <c r="GP25" s="3">
        <v>845</v>
      </c>
      <c r="GQ25" s="28">
        <v>1660</v>
      </c>
      <c r="GR25" s="2">
        <v>959</v>
      </c>
      <c r="GS25" s="2">
        <v>991</v>
      </c>
      <c r="GT25" s="3">
        <v>863</v>
      </c>
      <c r="GU25" s="28">
        <v>969</v>
      </c>
      <c r="GV25" s="2">
        <v>890</v>
      </c>
      <c r="GW25" s="4">
        <v>936</v>
      </c>
    </row>
    <row r="26" spans="1:1046" s="234" customFormat="1" ht="15" x14ac:dyDescent="0.2">
      <c r="A26" s="2"/>
      <c r="B26" s="244"/>
      <c r="C26" s="220" t="s">
        <v>87</v>
      </c>
      <c r="D26" s="245">
        <f>AVERAGE(D23,D24,D25)</f>
        <v>453.33333333333331</v>
      </c>
      <c r="E26" s="246">
        <f>AVERAGE(E23,E24,E25)</f>
        <v>1610</v>
      </c>
      <c r="F26" s="247">
        <f>AVERAGE(F24,F25)</f>
        <v>365.5</v>
      </c>
      <c r="G26" s="247">
        <f>AVERAGE(G24,G25)</f>
        <v>1615</v>
      </c>
      <c r="H26" s="250">
        <f>AVERAGE(H23,H24)</f>
        <v>774</v>
      </c>
      <c r="I26" s="249">
        <f>AVERAGE(I24,I25)</f>
        <v>1425</v>
      </c>
      <c r="J26" s="256">
        <f>AVERAGE(J23,J24)</f>
        <v>762</v>
      </c>
      <c r="K26" s="249">
        <f>AVERAGE(K24,K25)</f>
        <v>1260</v>
      </c>
      <c r="L26" s="247">
        <f>AVERAGE(L23,L24)</f>
        <v>774.5</v>
      </c>
      <c r="M26" s="228">
        <f t="shared" ref="M26:BL26" si="34">AVERAGE(M23,M24,M25)</f>
        <v>1120</v>
      </c>
      <c r="N26" s="248">
        <f t="shared" si="34"/>
        <v>841.66666666666663</v>
      </c>
      <c r="O26" s="233">
        <f t="shared" si="34"/>
        <v>1120</v>
      </c>
      <c r="P26" s="228">
        <f>AVERAGE(P23,P24,P25)</f>
        <v>844</v>
      </c>
      <c r="Q26" s="255">
        <f t="shared" si="34"/>
        <v>1063.3333333333333</v>
      </c>
      <c r="R26" s="248">
        <f t="shared" si="34"/>
        <v>767.66666666666663</v>
      </c>
      <c r="S26" s="251">
        <f>AVERAGE(S23,S25)</f>
        <v>726</v>
      </c>
      <c r="T26" s="247">
        <f>AVERAGE(T23,T24)</f>
        <v>866</v>
      </c>
      <c r="U26" s="228">
        <f t="shared" si="34"/>
        <v>1110</v>
      </c>
      <c r="V26" s="250">
        <f>AVERAGE(V24,V25)</f>
        <v>819.5</v>
      </c>
      <c r="W26" s="255">
        <f t="shared" si="34"/>
        <v>1036.6666666666667</v>
      </c>
      <c r="X26" s="253">
        <f t="shared" si="34"/>
        <v>829.33333333333337</v>
      </c>
      <c r="Y26" s="257">
        <f t="shared" si="34"/>
        <v>1046.6666666666667</v>
      </c>
      <c r="Z26" s="247">
        <f>AVERAGE(Z23,Z25)</f>
        <v>874.5</v>
      </c>
      <c r="AA26" s="255">
        <f t="shared" si="34"/>
        <v>1113.3333333333333</v>
      </c>
      <c r="AB26" s="224"/>
      <c r="AC26" s="231"/>
      <c r="AD26" s="248">
        <f t="shared" si="34"/>
        <v>814.33333333333337</v>
      </c>
      <c r="AE26" s="231">
        <f t="shared" si="34"/>
        <v>1180</v>
      </c>
      <c r="AF26" s="248">
        <f t="shared" si="34"/>
        <v>820.66666666666663</v>
      </c>
      <c r="AG26" s="255">
        <f t="shared" si="34"/>
        <v>1363.3333333333333</v>
      </c>
      <c r="AH26" s="228">
        <f t="shared" si="34"/>
        <v>819</v>
      </c>
      <c r="AI26" s="257">
        <f t="shared" si="34"/>
        <v>1306.6666666666667</v>
      </c>
      <c r="AJ26" s="253">
        <f t="shared" si="34"/>
        <v>833.33333333333337</v>
      </c>
      <c r="AK26" s="228">
        <f t="shared" si="34"/>
        <v>1110</v>
      </c>
      <c r="AL26" s="250">
        <f>AVERAGE(AL24,AL25)</f>
        <v>787.5</v>
      </c>
      <c r="AM26" s="255">
        <f t="shared" si="34"/>
        <v>995.33333333333337</v>
      </c>
      <c r="AN26" s="253">
        <f t="shared" si="34"/>
        <v>803.66666666666663</v>
      </c>
      <c r="AO26" s="253">
        <f t="shared" si="34"/>
        <v>990.66666666666663</v>
      </c>
      <c r="AP26" s="250">
        <f>AVERAGE(AP23,AP24)</f>
        <v>793</v>
      </c>
      <c r="AQ26" s="251">
        <f>AVERAGE(AQ23,AQ24)</f>
        <v>978</v>
      </c>
      <c r="AR26" s="253">
        <f t="shared" si="34"/>
        <v>818.66666666666663</v>
      </c>
      <c r="AS26" s="257">
        <f t="shared" si="34"/>
        <v>988</v>
      </c>
      <c r="AT26" s="253">
        <f t="shared" si="34"/>
        <v>784.66666666666663</v>
      </c>
      <c r="AU26" s="249">
        <f>AVERAGE(AU24,AU25)</f>
        <v>967</v>
      </c>
      <c r="AV26" s="253">
        <f t="shared" si="34"/>
        <v>806.33333333333337</v>
      </c>
      <c r="AW26" s="255">
        <f t="shared" si="34"/>
        <v>929.66666666666663</v>
      </c>
      <c r="AX26" s="248">
        <f t="shared" si="34"/>
        <v>817.33333333333337</v>
      </c>
      <c r="AY26" s="252">
        <f t="shared" si="34"/>
        <v>924</v>
      </c>
      <c r="AZ26" s="224">
        <f t="shared" si="34"/>
        <v>801</v>
      </c>
      <c r="BA26" s="255">
        <f t="shared" si="34"/>
        <v>915.66666666666663</v>
      </c>
      <c r="BB26" s="253">
        <f t="shared" si="34"/>
        <v>815.66666666666663</v>
      </c>
      <c r="BC26" s="257">
        <f t="shared" si="34"/>
        <v>921.66666666666663</v>
      </c>
      <c r="BD26" s="228">
        <f t="shared" si="34"/>
        <v>931</v>
      </c>
      <c r="BE26" s="255">
        <f t="shared" si="34"/>
        <v>975.33333333333337</v>
      </c>
      <c r="BF26" s="253">
        <f t="shared" si="34"/>
        <v>913.33333333333337</v>
      </c>
      <c r="BG26" s="249">
        <f>AVERAGE(BG23,BG24)</f>
        <v>981.5</v>
      </c>
      <c r="BH26" s="248">
        <f t="shared" si="34"/>
        <v>945.66666666666663</v>
      </c>
      <c r="BI26" s="228">
        <f t="shared" si="34"/>
        <v>991</v>
      </c>
      <c r="BJ26" s="248">
        <f t="shared" si="34"/>
        <v>941.66666666666663</v>
      </c>
      <c r="BK26" s="255">
        <f t="shared" si="34"/>
        <v>1003.3333333333334</v>
      </c>
      <c r="BL26" s="253">
        <f t="shared" si="34"/>
        <v>962</v>
      </c>
      <c r="BM26" s="254">
        <f>AVERAGE(BM23,BM25)</f>
        <v>1030</v>
      </c>
      <c r="BN26" s="228">
        <f>AVERAGE(BN24,BN25)</f>
        <v>915.5</v>
      </c>
      <c r="BO26" s="255">
        <f t="shared" ref="BO26:BW26" si="35">AVERAGE(BO23,BO24,BO25)</f>
        <v>931.66666666666663</v>
      </c>
      <c r="BP26" s="253"/>
      <c r="BQ26" s="255"/>
      <c r="BR26" s="248">
        <f t="shared" si="35"/>
        <v>1170</v>
      </c>
      <c r="BS26" s="253">
        <f t="shared" si="35"/>
        <v>1156.6666666666667</v>
      </c>
      <c r="BT26" s="250">
        <f>AVERAGE(BT23,BT24)</f>
        <v>1180</v>
      </c>
      <c r="BU26" s="255">
        <f t="shared" si="35"/>
        <v>1333.3333333333333</v>
      </c>
      <c r="BV26" s="253">
        <f t="shared" si="35"/>
        <v>1186.6666666666667</v>
      </c>
      <c r="BW26" s="257">
        <f t="shared" si="35"/>
        <v>1360</v>
      </c>
      <c r="BX26" s="253">
        <f>AVERAGE(BX23,BX24,BX25)</f>
        <v>1213.3333333333333</v>
      </c>
      <c r="BY26" s="255">
        <f>AVERAGE(BY23,BY24,BY25)</f>
        <v>1366.6666666666667</v>
      </c>
      <c r="BZ26" s="248">
        <f>AVERAGE(BZ23,BZ24,BZ25)</f>
        <v>1180</v>
      </c>
      <c r="CA26" s="255">
        <f>AVERAGE(CA23,CA24,CA25)</f>
        <v>1300</v>
      </c>
      <c r="CB26" s="248">
        <f t="shared" ref="CB26:DA26" si="36">AVERAGE(CB23,CB24,CB25)</f>
        <v>1180</v>
      </c>
      <c r="CC26" s="253">
        <f t="shared" si="36"/>
        <v>1336.6666666666667</v>
      </c>
      <c r="CD26" s="250">
        <f>AVERAGE(CD23,CD24)</f>
        <v>1555</v>
      </c>
      <c r="CE26" s="255">
        <f t="shared" si="36"/>
        <v>1306.6666666666667</v>
      </c>
      <c r="CF26" s="253">
        <f t="shared" si="36"/>
        <v>1530</v>
      </c>
      <c r="CG26" s="257">
        <f t="shared" si="36"/>
        <v>1333.3333333333333</v>
      </c>
      <c r="CH26" s="253">
        <f t="shared" si="36"/>
        <v>1636.6666666666667</v>
      </c>
      <c r="CI26" s="255">
        <f t="shared" si="36"/>
        <v>1393.3333333333333</v>
      </c>
      <c r="CJ26" s="248">
        <f t="shared" si="36"/>
        <v>1610</v>
      </c>
      <c r="CK26" s="255">
        <f t="shared" si="36"/>
        <v>1556.6666666666667</v>
      </c>
      <c r="CL26" s="248">
        <f t="shared" si="36"/>
        <v>1570</v>
      </c>
      <c r="CM26" s="247">
        <f>AVERAGE(CM23,CM24)</f>
        <v>1535</v>
      </c>
      <c r="CN26" s="248">
        <f t="shared" si="36"/>
        <v>1660</v>
      </c>
      <c r="CO26" s="255">
        <f t="shared" si="36"/>
        <v>1570</v>
      </c>
      <c r="CP26" s="253">
        <f t="shared" si="36"/>
        <v>891.33333333333337</v>
      </c>
      <c r="CQ26" s="254">
        <f t="shared" si="36"/>
        <v>1583.3333333333333</v>
      </c>
      <c r="CR26" s="253">
        <f t="shared" si="36"/>
        <v>916.66666666666663</v>
      </c>
      <c r="CS26" s="255">
        <f t="shared" si="36"/>
        <v>1373.3333333333333</v>
      </c>
      <c r="CT26" s="248">
        <f t="shared" si="36"/>
        <v>941.33333333333337</v>
      </c>
      <c r="CU26" s="255">
        <f t="shared" si="36"/>
        <v>1250</v>
      </c>
      <c r="CV26" s="248">
        <f t="shared" si="36"/>
        <v>881.33333333333337</v>
      </c>
      <c r="CW26" s="228">
        <f t="shared" si="36"/>
        <v>1160</v>
      </c>
      <c r="CX26" s="248">
        <f t="shared" si="36"/>
        <v>886.66666666666663</v>
      </c>
      <c r="CY26" s="255">
        <f t="shared" si="36"/>
        <v>1070</v>
      </c>
      <c r="CZ26" s="253">
        <f t="shared" si="36"/>
        <v>772.66666666666663</v>
      </c>
      <c r="DA26" s="257">
        <f t="shared" si="36"/>
        <v>1033.3333333333333</v>
      </c>
      <c r="DB26" s="253">
        <f>AVERAGE(DB23,DB24,DB25)</f>
        <v>1106.6666666666667</v>
      </c>
      <c r="DC26" s="255">
        <f t="shared" ref="DC26:DK26" si="37">AVERAGE(DC23,DC24,DC25)</f>
        <v>791</v>
      </c>
      <c r="DD26" s="248">
        <f t="shared" si="37"/>
        <v>989.33333333333337</v>
      </c>
      <c r="DE26" s="231">
        <f t="shared" si="37"/>
        <v>1440</v>
      </c>
      <c r="DF26" s="253">
        <f t="shared" si="37"/>
        <v>1216.6666666666667</v>
      </c>
      <c r="DG26" s="253">
        <f t="shared" si="37"/>
        <v>817.33333333333337</v>
      </c>
      <c r="DH26" s="248">
        <f t="shared" si="37"/>
        <v>1156.6666666666667</v>
      </c>
      <c r="DI26" s="255">
        <f t="shared" si="37"/>
        <v>1453.3333333333333</v>
      </c>
      <c r="DJ26" s="253">
        <f t="shared" si="37"/>
        <v>1333.3333333333333</v>
      </c>
      <c r="DK26" s="257">
        <f t="shared" si="37"/>
        <v>1080</v>
      </c>
      <c r="DL26" s="253">
        <f>AVERAGE(DL23,DL24,DL25)</f>
        <v>1263.3333333333333</v>
      </c>
      <c r="DM26" s="255">
        <f t="shared" ref="DM26:DT26" si="38">AVERAGE(DM23,DM24,DM25)</f>
        <v>1080</v>
      </c>
      <c r="DN26" s="248">
        <f t="shared" si="38"/>
        <v>1430</v>
      </c>
      <c r="DO26" s="249">
        <f>AVERAGE(DO23,DO24)</f>
        <v>1400</v>
      </c>
      <c r="DP26" s="253">
        <f t="shared" si="38"/>
        <v>1533.3333333333333</v>
      </c>
      <c r="DQ26" s="253">
        <f t="shared" si="38"/>
        <v>1403.3333333333333</v>
      </c>
      <c r="DR26" s="248">
        <f t="shared" si="38"/>
        <v>1450</v>
      </c>
      <c r="DS26" s="255">
        <f t="shared" si="38"/>
        <v>1466.6666666666667</v>
      </c>
      <c r="DT26" s="253">
        <f t="shared" si="38"/>
        <v>1460</v>
      </c>
      <c r="DU26" s="254">
        <f>AVERAGE(DU24,DU25)</f>
        <v>1470</v>
      </c>
      <c r="DV26" s="228">
        <f>AVERAGE(DV23,DV24,DV25)</f>
        <v>1540</v>
      </c>
      <c r="DW26" s="249">
        <f>AVERAGE(DW23,DW24)</f>
        <v>1445</v>
      </c>
      <c r="DX26" s="250">
        <f>AVERAGE(DX24,DX25)</f>
        <v>1510</v>
      </c>
      <c r="DY26" s="255">
        <f t="shared" ref="DY26:EE26" si="39">AVERAGE(DY23,DY24,DY25)</f>
        <v>1476.6666666666667</v>
      </c>
      <c r="DZ26" s="253">
        <f t="shared" si="39"/>
        <v>1510</v>
      </c>
      <c r="EA26" s="253">
        <f t="shared" si="39"/>
        <v>1383.3333333333333</v>
      </c>
      <c r="EB26" s="248">
        <f t="shared" si="39"/>
        <v>1143.3333333333333</v>
      </c>
      <c r="EC26" s="255">
        <f t="shared" si="39"/>
        <v>1386.6666666666667</v>
      </c>
      <c r="ED26" s="253">
        <f t="shared" si="39"/>
        <v>1160</v>
      </c>
      <c r="EE26" s="257">
        <f t="shared" si="39"/>
        <v>1460</v>
      </c>
      <c r="EF26" s="253">
        <f>AVERAGE(EF23,EF24,EF25)</f>
        <v>1146.6666666666667</v>
      </c>
      <c r="EG26" s="255">
        <f t="shared" ref="EG26:EO26" si="40">AVERAGE(EG23,EG24,EG25)</f>
        <v>1296.6666666666667</v>
      </c>
      <c r="EH26" s="248">
        <f t="shared" si="40"/>
        <v>1340</v>
      </c>
      <c r="EI26" s="255">
        <f t="shared" si="40"/>
        <v>1273.3333333333333</v>
      </c>
      <c r="EJ26" s="253">
        <f t="shared" si="40"/>
        <v>1376.6666666666667</v>
      </c>
      <c r="EK26" s="253">
        <f t="shared" si="40"/>
        <v>1290</v>
      </c>
      <c r="EL26" s="248">
        <f t="shared" si="40"/>
        <v>983.66666666666663</v>
      </c>
      <c r="EM26" s="255">
        <f t="shared" si="40"/>
        <v>843.66666666666663</v>
      </c>
      <c r="EN26" s="253">
        <f t="shared" si="40"/>
        <v>990.33333333333337</v>
      </c>
      <c r="EO26" s="257">
        <f t="shared" si="40"/>
        <v>835.66666666666663</v>
      </c>
      <c r="EP26" s="253">
        <f>AVERAGE(EP23,EP24,EP25)</f>
        <v>1193.3333333333333</v>
      </c>
      <c r="EQ26" s="255">
        <f t="shared" ref="EQ26:EX26" si="41">AVERAGE(EQ23,EQ24,EQ25)</f>
        <v>1146.6666666666667</v>
      </c>
      <c r="ER26" s="248">
        <f t="shared" si="41"/>
        <v>1030</v>
      </c>
      <c r="ES26" s="255">
        <f t="shared" si="41"/>
        <v>1196.6666666666667</v>
      </c>
      <c r="ET26" s="253">
        <f t="shared" si="41"/>
        <v>1120</v>
      </c>
      <c r="EU26" s="253">
        <f t="shared" si="41"/>
        <v>1143.3333333333333</v>
      </c>
      <c r="EV26" s="248">
        <f t="shared" si="41"/>
        <v>738.66666666666663</v>
      </c>
      <c r="EW26" s="255">
        <f t="shared" si="41"/>
        <v>846.66666666666663</v>
      </c>
      <c r="EX26" s="253">
        <f t="shared" si="41"/>
        <v>1116.6666666666667</v>
      </c>
      <c r="EY26" s="254">
        <f>AVERAGE(EY23,EY25)</f>
        <v>1155</v>
      </c>
      <c r="EZ26" s="253">
        <f>AVERAGE(EZ23,EZ24,EZ25)</f>
        <v>1693.3333333333333</v>
      </c>
      <c r="FA26" s="255">
        <f t="shared" ref="FA26:FI26" si="42">AVERAGE(FA23,FA24,FA25)</f>
        <v>991.33333333333337</v>
      </c>
      <c r="FB26" s="250">
        <f>AVERAGE(FB24,FB25)</f>
        <v>935</v>
      </c>
      <c r="FC26" s="252">
        <f>AVERAGE(FC23,FC24)</f>
        <v>889</v>
      </c>
      <c r="FD26" s="248">
        <f t="shared" si="42"/>
        <v>877.66666666666663</v>
      </c>
      <c r="FE26" s="231">
        <f t="shared" si="42"/>
        <v>886</v>
      </c>
      <c r="FF26" s="247">
        <f>AVERAGE(FF23,FF25)</f>
        <v>747.5</v>
      </c>
      <c r="FG26" s="255">
        <f t="shared" si="42"/>
        <v>974.33333333333337</v>
      </c>
      <c r="FH26" s="253">
        <f t="shared" si="42"/>
        <v>969.33333333333337</v>
      </c>
      <c r="FI26" s="257">
        <f t="shared" si="42"/>
        <v>981</v>
      </c>
      <c r="FJ26" s="228">
        <f>AVERAGE(FJ23,FJ24,FJ25)</f>
        <v>730</v>
      </c>
      <c r="FK26" s="255">
        <f>AVERAGE(FK23,FK24,FK25)</f>
        <v>758.66666666666663</v>
      </c>
      <c r="FL26" s="248">
        <f t="shared" ref="FL26:FS26" si="43">AVERAGE(FL23,FL24,FL25)</f>
        <v>691.33333333333337</v>
      </c>
      <c r="FM26" s="255">
        <f t="shared" si="43"/>
        <v>725.33333333333337</v>
      </c>
      <c r="FN26" s="253">
        <f t="shared" si="43"/>
        <v>710</v>
      </c>
      <c r="FO26" s="253">
        <f t="shared" si="43"/>
        <v>817.33333333333337</v>
      </c>
      <c r="FP26" s="250">
        <f>AVERAGE(FP24,FP25)</f>
        <v>912</v>
      </c>
      <c r="FQ26" s="249">
        <f>AVERAGE(FQ23,FQ24)</f>
        <v>1085</v>
      </c>
      <c r="FR26" s="253">
        <f t="shared" si="43"/>
        <v>748.66666666666663</v>
      </c>
      <c r="FS26" s="257">
        <f t="shared" si="43"/>
        <v>796.33333333333337</v>
      </c>
      <c r="FT26" s="247">
        <f>AVERAGE(FT24,FT25)</f>
        <v>1280</v>
      </c>
      <c r="FU26" s="255">
        <f t="shared" ref="FU26:GC26" si="44">AVERAGE(FU23,FU24,FU25)</f>
        <v>1010</v>
      </c>
      <c r="FV26" s="253">
        <f>AVERAGE(FV23,FV24,FV25)</f>
        <v>926</v>
      </c>
      <c r="FW26" s="228">
        <f>AVERAGE(FW23,FW24,FW25)</f>
        <v>1170</v>
      </c>
      <c r="FX26" s="248">
        <f t="shared" si="44"/>
        <v>942.33333333333337</v>
      </c>
      <c r="FY26" s="255">
        <f t="shared" si="44"/>
        <v>950.33333333333337</v>
      </c>
      <c r="FZ26" s="248">
        <f t="shared" si="44"/>
        <v>926</v>
      </c>
      <c r="GA26" s="255">
        <f t="shared" si="44"/>
        <v>1170</v>
      </c>
      <c r="GB26" s="253">
        <f t="shared" si="44"/>
        <v>996</v>
      </c>
      <c r="GC26" s="257">
        <f t="shared" si="44"/>
        <v>1060</v>
      </c>
      <c r="GD26" s="247">
        <f>AVERAGE(GD24,GD25)</f>
        <v>1065</v>
      </c>
      <c r="GE26" s="255">
        <f t="shared" ref="GE26:GM26" si="45">AVERAGE(GE23,GE24,GE25)</f>
        <v>1130</v>
      </c>
      <c r="GF26" s="248">
        <f t="shared" si="45"/>
        <v>1550</v>
      </c>
      <c r="GG26" s="255">
        <f t="shared" si="45"/>
        <v>872.66666666666663</v>
      </c>
      <c r="GH26" s="253">
        <f t="shared" si="45"/>
        <v>928.33333333333337</v>
      </c>
      <c r="GI26" s="253">
        <f t="shared" si="45"/>
        <v>868.33333333333337</v>
      </c>
      <c r="GJ26" s="250">
        <f>AVERAGE(GJ23,GJ24)</f>
        <v>1690</v>
      </c>
      <c r="GK26" s="255">
        <f t="shared" si="45"/>
        <v>1463.3333333333333</v>
      </c>
      <c r="GL26" s="247">
        <f>AVERAGE(GL24,GL25)</f>
        <v>980</v>
      </c>
      <c r="GM26" s="257">
        <f t="shared" si="45"/>
        <v>924</v>
      </c>
      <c r="GN26" s="228">
        <f>AVERAGE(GN23,GN24,GN25)</f>
        <v>1030</v>
      </c>
      <c r="GO26" s="255">
        <f t="shared" ref="GO26:GW26" si="46">AVERAGE(GO23,GO24,GO25)</f>
        <v>1613.3333333333333</v>
      </c>
      <c r="GP26" s="248">
        <f t="shared" si="46"/>
        <v>844.33333333333337</v>
      </c>
      <c r="GQ26" s="255">
        <f t="shared" si="46"/>
        <v>1653.3333333333333</v>
      </c>
      <c r="GR26" s="253">
        <f t="shared" si="46"/>
        <v>957.66666666666663</v>
      </c>
      <c r="GS26" s="228">
        <f t="shared" si="46"/>
        <v>988</v>
      </c>
      <c r="GT26" s="248">
        <f t="shared" si="46"/>
        <v>858.66666666666663</v>
      </c>
      <c r="GU26" s="255">
        <f t="shared" si="46"/>
        <v>968.33333333333337</v>
      </c>
      <c r="GV26" s="253">
        <f t="shared" si="46"/>
        <v>892.33333333333337</v>
      </c>
      <c r="GW26" s="257">
        <f t="shared" si="46"/>
        <v>928</v>
      </c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86"/>
      <c r="IC26" s="186"/>
      <c r="ID26" s="186"/>
      <c r="IE26" s="186"/>
      <c r="IF26" s="186"/>
      <c r="IG26" s="186"/>
      <c r="IH26" s="186"/>
      <c r="II26" s="186"/>
      <c r="IJ26" s="186"/>
      <c r="IK26" s="186"/>
      <c r="IL26" s="186"/>
      <c r="IM26" s="186"/>
      <c r="IN26" s="186"/>
      <c r="IO26" s="186"/>
      <c r="IP26" s="186"/>
      <c r="IQ26" s="186"/>
      <c r="IR26" s="186"/>
      <c r="IS26" s="186"/>
      <c r="IT26" s="186"/>
      <c r="IU26" s="186"/>
      <c r="IV26" s="186"/>
      <c r="IW26" s="186"/>
      <c r="IX26" s="186"/>
      <c r="IY26" s="186"/>
      <c r="IZ26" s="186"/>
      <c r="JA26" s="186"/>
      <c r="JB26" s="186"/>
      <c r="JC26" s="186"/>
      <c r="JD26" s="186"/>
      <c r="JE26" s="186"/>
      <c r="JF26" s="186"/>
      <c r="JG26" s="186"/>
      <c r="JH26" s="186"/>
      <c r="JI26" s="186"/>
      <c r="JJ26" s="186"/>
      <c r="JK26" s="186"/>
      <c r="JL26" s="186"/>
      <c r="JM26" s="186"/>
      <c r="JN26" s="186"/>
      <c r="JO26" s="186"/>
      <c r="JP26" s="186"/>
      <c r="JQ26" s="186"/>
      <c r="JR26" s="186"/>
      <c r="JS26" s="186"/>
      <c r="JT26" s="186"/>
      <c r="JU26" s="186"/>
      <c r="JV26" s="186"/>
      <c r="JW26" s="186"/>
      <c r="JX26" s="186"/>
      <c r="JY26" s="186"/>
      <c r="JZ26" s="186"/>
      <c r="KA26" s="186"/>
      <c r="KB26" s="186"/>
      <c r="KC26" s="186"/>
      <c r="KD26" s="186"/>
      <c r="KE26" s="186"/>
      <c r="KF26" s="186"/>
      <c r="KG26" s="186"/>
      <c r="KH26" s="186"/>
      <c r="KI26" s="186"/>
      <c r="KJ26" s="186"/>
      <c r="KK26" s="186"/>
      <c r="KL26" s="186"/>
      <c r="KM26" s="186"/>
      <c r="KN26" s="186"/>
      <c r="KO26" s="186"/>
      <c r="KP26" s="186"/>
      <c r="KQ26" s="186"/>
      <c r="KR26" s="186"/>
      <c r="KS26" s="186"/>
      <c r="KT26" s="186"/>
      <c r="KU26" s="186"/>
      <c r="KV26" s="186"/>
      <c r="KW26" s="186"/>
      <c r="KX26" s="186"/>
      <c r="KY26" s="186"/>
      <c r="KZ26" s="186"/>
      <c r="LA26" s="186"/>
      <c r="LB26" s="186"/>
      <c r="LC26" s="186"/>
      <c r="LD26" s="186"/>
      <c r="LE26" s="186"/>
      <c r="LF26" s="186"/>
      <c r="LG26" s="186"/>
      <c r="LH26" s="186"/>
      <c r="LI26" s="186"/>
      <c r="LJ26" s="186"/>
      <c r="LK26" s="186"/>
      <c r="LL26" s="186"/>
      <c r="LM26" s="186"/>
      <c r="LN26" s="186"/>
      <c r="LO26" s="186"/>
      <c r="LP26" s="186"/>
      <c r="LQ26" s="186"/>
      <c r="LR26" s="186"/>
      <c r="LS26" s="186"/>
      <c r="LT26" s="186"/>
      <c r="LU26" s="186"/>
      <c r="LV26" s="186"/>
      <c r="LW26" s="186"/>
      <c r="LX26" s="186"/>
      <c r="LY26" s="186"/>
      <c r="LZ26" s="186"/>
      <c r="MA26" s="186"/>
      <c r="MB26" s="186"/>
      <c r="MC26" s="186"/>
      <c r="MD26" s="186"/>
      <c r="ME26" s="186"/>
      <c r="MF26" s="186"/>
      <c r="MG26" s="186"/>
      <c r="MH26" s="186"/>
      <c r="MI26" s="186"/>
      <c r="MJ26" s="186"/>
      <c r="MK26" s="186"/>
      <c r="ML26" s="186"/>
      <c r="MM26" s="186"/>
      <c r="MN26" s="186"/>
      <c r="MO26" s="186"/>
      <c r="MP26" s="186"/>
      <c r="MQ26" s="186"/>
      <c r="MR26" s="186"/>
      <c r="MS26" s="186"/>
      <c r="MT26" s="186"/>
      <c r="MU26" s="186"/>
      <c r="MV26" s="186"/>
      <c r="MW26" s="186"/>
      <c r="MX26" s="186"/>
      <c r="MY26" s="186"/>
      <c r="MZ26" s="186"/>
      <c r="NA26" s="186"/>
      <c r="NB26" s="186"/>
      <c r="NC26" s="186"/>
      <c r="ND26" s="186"/>
      <c r="NE26" s="186"/>
      <c r="NF26" s="186"/>
      <c r="NG26" s="186"/>
      <c r="NH26" s="186"/>
      <c r="NI26" s="186"/>
      <c r="NJ26" s="186"/>
      <c r="NK26" s="186"/>
      <c r="NL26" s="186"/>
      <c r="NM26" s="186"/>
      <c r="NN26" s="186"/>
      <c r="NO26" s="186"/>
      <c r="NP26" s="186"/>
      <c r="NQ26" s="186"/>
      <c r="NR26" s="186"/>
      <c r="NS26" s="186"/>
      <c r="NT26" s="186"/>
      <c r="NU26" s="186"/>
      <c r="NV26" s="186"/>
      <c r="NW26" s="186"/>
      <c r="NX26" s="186"/>
      <c r="NY26" s="186"/>
      <c r="NZ26" s="186"/>
      <c r="OA26" s="186"/>
      <c r="OB26" s="186"/>
      <c r="OC26" s="186"/>
      <c r="OD26" s="186"/>
      <c r="OE26" s="186"/>
      <c r="OF26" s="186"/>
      <c r="OG26" s="186"/>
      <c r="OH26" s="186"/>
      <c r="OI26" s="186"/>
      <c r="OJ26" s="186"/>
      <c r="OK26" s="186"/>
      <c r="OL26" s="186"/>
      <c r="OM26" s="186"/>
      <c r="ON26" s="186"/>
      <c r="OO26" s="186"/>
      <c r="OP26" s="186"/>
      <c r="OQ26" s="186"/>
      <c r="OR26" s="186"/>
      <c r="OS26" s="186"/>
      <c r="OT26" s="186"/>
      <c r="OU26" s="186"/>
      <c r="OV26" s="186"/>
      <c r="OW26" s="186"/>
      <c r="OX26" s="186"/>
      <c r="OY26" s="186"/>
      <c r="OZ26" s="186"/>
      <c r="PA26" s="186"/>
      <c r="PB26" s="186"/>
      <c r="PC26" s="186"/>
      <c r="PD26" s="186"/>
      <c r="PE26" s="186"/>
      <c r="PF26" s="186"/>
      <c r="PG26" s="186"/>
      <c r="PH26" s="186"/>
      <c r="PI26" s="186"/>
      <c r="PJ26" s="186"/>
      <c r="PK26" s="186"/>
      <c r="PL26" s="186"/>
      <c r="PM26" s="186"/>
      <c r="PN26" s="186"/>
      <c r="PO26" s="186"/>
      <c r="PP26" s="186"/>
      <c r="PQ26" s="186"/>
      <c r="PR26" s="186"/>
      <c r="PS26" s="186"/>
      <c r="PT26" s="186"/>
      <c r="PU26" s="186"/>
      <c r="PV26" s="186"/>
      <c r="PW26" s="186"/>
      <c r="PX26" s="186"/>
      <c r="PY26" s="186"/>
      <c r="PZ26" s="186"/>
      <c r="QA26" s="186"/>
      <c r="QB26" s="186"/>
      <c r="QC26" s="186"/>
      <c r="QD26" s="186"/>
      <c r="QE26" s="186"/>
      <c r="QF26" s="186"/>
      <c r="QG26" s="186"/>
      <c r="QH26" s="186"/>
      <c r="QI26" s="186"/>
      <c r="QJ26" s="186"/>
      <c r="QK26" s="186"/>
      <c r="QL26" s="186"/>
      <c r="QM26" s="186"/>
      <c r="QN26" s="186"/>
      <c r="QO26" s="186"/>
      <c r="QP26" s="186"/>
      <c r="QQ26" s="186"/>
      <c r="QR26" s="186"/>
      <c r="QS26" s="186"/>
      <c r="QT26" s="186"/>
      <c r="QU26" s="186"/>
      <c r="QV26" s="186"/>
      <c r="QW26" s="186"/>
      <c r="QX26" s="186"/>
      <c r="QY26" s="186"/>
      <c r="QZ26" s="186"/>
      <c r="RA26" s="186"/>
      <c r="RB26" s="186"/>
      <c r="RC26" s="186"/>
      <c r="RD26" s="186"/>
      <c r="RE26" s="186"/>
      <c r="RF26" s="186"/>
      <c r="RG26" s="186"/>
      <c r="RH26" s="186"/>
      <c r="RI26" s="186"/>
      <c r="RJ26" s="186"/>
      <c r="RK26" s="186"/>
      <c r="RL26" s="186"/>
      <c r="RM26" s="186"/>
      <c r="RN26" s="186"/>
      <c r="RO26" s="186"/>
      <c r="RP26" s="186"/>
      <c r="RQ26" s="186"/>
      <c r="RR26" s="186"/>
      <c r="RS26" s="186"/>
      <c r="RT26" s="186"/>
      <c r="RU26" s="186"/>
      <c r="RV26" s="186"/>
      <c r="RW26" s="186"/>
      <c r="RX26" s="186"/>
      <c r="RY26" s="186"/>
      <c r="RZ26" s="186"/>
      <c r="SA26" s="186"/>
      <c r="SB26" s="186"/>
      <c r="SC26" s="186"/>
      <c r="SD26" s="186"/>
      <c r="SE26" s="186"/>
      <c r="SF26" s="186"/>
      <c r="SG26" s="186"/>
      <c r="SH26" s="186"/>
      <c r="SI26" s="186"/>
      <c r="SJ26" s="186"/>
      <c r="SK26" s="186"/>
      <c r="SL26" s="186"/>
      <c r="SM26" s="186"/>
      <c r="SN26" s="186"/>
      <c r="SO26" s="186"/>
      <c r="SP26" s="186"/>
      <c r="SQ26" s="186"/>
      <c r="SR26" s="186"/>
      <c r="SS26" s="186"/>
      <c r="ST26" s="186"/>
      <c r="SU26" s="186"/>
      <c r="SV26" s="186"/>
      <c r="SW26" s="186"/>
      <c r="SX26" s="186"/>
      <c r="SY26" s="186"/>
      <c r="SZ26" s="186"/>
      <c r="TA26" s="186"/>
      <c r="TB26" s="186"/>
      <c r="TC26" s="186"/>
      <c r="TD26" s="186"/>
      <c r="TE26" s="186"/>
      <c r="TF26" s="186"/>
      <c r="TG26" s="186"/>
      <c r="TH26" s="186"/>
      <c r="TI26" s="186"/>
      <c r="TJ26" s="186"/>
      <c r="TK26" s="186"/>
      <c r="TL26" s="186"/>
      <c r="TM26" s="186"/>
      <c r="TN26" s="186"/>
      <c r="TO26" s="186"/>
      <c r="TP26" s="186"/>
      <c r="TQ26" s="186"/>
      <c r="TR26" s="186"/>
      <c r="TS26" s="186"/>
      <c r="TT26" s="186"/>
      <c r="TU26" s="186"/>
      <c r="TV26" s="186"/>
      <c r="TW26" s="186"/>
      <c r="TX26" s="186"/>
      <c r="TY26" s="186"/>
      <c r="TZ26" s="186"/>
      <c r="UA26" s="186"/>
      <c r="UB26" s="186"/>
      <c r="UC26" s="186"/>
      <c r="UD26" s="186"/>
      <c r="UE26" s="186"/>
      <c r="UF26" s="186"/>
      <c r="UG26" s="186"/>
      <c r="UH26" s="186"/>
      <c r="UI26" s="186"/>
      <c r="UJ26" s="186"/>
      <c r="UK26" s="186"/>
      <c r="UL26" s="186"/>
      <c r="UM26" s="186"/>
      <c r="UN26" s="186"/>
      <c r="UO26" s="186"/>
      <c r="UP26" s="186"/>
      <c r="UQ26" s="186"/>
      <c r="UR26" s="186"/>
      <c r="US26" s="186"/>
      <c r="UT26" s="186"/>
      <c r="UU26" s="186"/>
      <c r="UV26" s="186"/>
      <c r="UW26" s="186"/>
      <c r="UX26" s="186"/>
      <c r="UY26" s="186"/>
      <c r="UZ26" s="186"/>
      <c r="VA26" s="186"/>
      <c r="VB26" s="186"/>
      <c r="VC26" s="186"/>
      <c r="VD26" s="186"/>
      <c r="VE26" s="186"/>
      <c r="VF26" s="186"/>
      <c r="VG26" s="186"/>
      <c r="VH26" s="186"/>
      <c r="VI26" s="186"/>
      <c r="VJ26" s="186"/>
      <c r="VK26" s="186"/>
      <c r="VL26" s="186"/>
      <c r="VM26" s="186"/>
      <c r="VN26" s="186"/>
      <c r="VO26" s="186"/>
      <c r="VP26" s="186"/>
      <c r="VQ26" s="186"/>
      <c r="VR26" s="186"/>
      <c r="VS26" s="186"/>
      <c r="VT26" s="186"/>
      <c r="VU26" s="186"/>
      <c r="VV26" s="186"/>
      <c r="VW26" s="186"/>
      <c r="VX26" s="186"/>
      <c r="VY26" s="186"/>
      <c r="VZ26" s="186"/>
      <c r="WA26" s="186"/>
      <c r="WB26" s="186"/>
      <c r="WC26" s="186"/>
      <c r="WD26" s="186"/>
      <c r="WE26" s="186"/>
      <c r="WF26" s="186"/>
      <c r="WG26" s="186"/>
      <c r="WH26" s="186"/>
      <c r="WI26" s="186"/>
      <c r="WJ26" s="186"/>
      <c r="WK26" s="186"/>
      <c r="WL26" s="186"/>
      <c r="WM26" s="186"/>
      <c r="WN26" s="186"/>
      <c r="WO26" s="186"/>
      <c r="WP26" s="186"/>
      <c r="WQ26" s="186"/>
      <c r="WR26" s="186"/>
      <c r="WS26" s="186"/>
      <c r="WT26" s="186"/>
      <c r="WU26" s="186"/>
      <c r="WV26" s="186"/>
      <c r="WW26" s="186"/>
      <c r="WX26" s="186"/>
      <c r="WY26" s="186"/>
      <c r="WZ26" s="186"/>
      <c r="XA26" s="186"/>
      <c r="XB26" s="186"/>
      <c r="XC26" s="186"/>
      <c r="XD26" s="186"/>
      <c r="XE26" s="186"/>
      <c r="XF26" s="186"/>
      <c r="XG26" s="186"/>
      <c r="XH26" s="186"/>
      <c r="XI26" s="186"/>
      <c r="XJ26" s="186"/>
      <c r="XK26" s="186"/>
      <c r="XL26" s="186"/>
      <c r="XM26" s="186"/>
      <c r="XN26" s="186"/>
      <c r="XO26" s="186"/>
      <c r="XP26" s="186"/>
      <c r="XQ26" s="186"/>
      <c r="XR26" s="186"/>
      <c r="XS26" s="186"/>
      <c r="XT26" s="186"/>
      <c r="XU26" s="186"/>
      <c r="XV26" s="186"/>
      <c r="XW26" s="186"/>
      <c r="XX26" s="186"/>
      <c r="XY26" s="186"/>
      <c r="XZ26" s="186"/>
      <c r="YA26" s="186"/>
      <c r="YB26" s="186"/>
      <c r="YC26" s="186"/>
      <c r="YD26" s="186"/>
      <c r="YE26" s="186"/>
      <c r="YF26" s="186"/>
      <c r="YG26" s="186"/>
      <c r="YH26" s="186"/>
      <c r="YI26" s="186"/>
      <c r="YJ26" s="186"/>
      <c r="YK26" s="186"/>
      <c r="YL26" s="186"/>
      <c r="YM26" s="186"/>
      <c r="YN26" s="186"/>
      <c r="YO26" s="186"/>
      <c r="YP26" s="186"/>
      <c r="YQ26" s="186"/>
      <c r="YR26" s="186"/>
      <c r="YS26" s="186"/>
      <c r="YT26" s="186"/>
      <c r="YU26" s="186"/>
      <c r="YV26" s="186"/>
      <c r="YW26" s="186"/>
      <c r="YX26" s="186"/>
      <c r="YY26" s="186"/>
      <c r="YZ26" s="186"/>
      <c r="ZA26" s="186"/>
      <c r="ZB26" s="186"/>
      <c r="ZC26" s="186"/>
      <c r="ZD26" s="186"/>
      <c r="ZE26" s="186"/>
      <c r="ZF26" s="186"/>
      <c r="ZG26" s="186"/>
      <c r="ZH26" s="186"/>
      <c r="ZI26" s="186"/>
      <c r="ZJ26" s="186"/>
      <c r="ZK26" s="186"/>
      <c r="ZL26" s="186"/>
      <c r="ZM26" s="186"/>
      <c r="ZN26" s="186"/>
      <c r="ZO26" s="186"/>
      <c r="ZP26" s="186"/>
      <c r="ZQ26" s="186"/>
      <c r="ZR26" s="186"/>
      <c r="ZS26" s="186"/>
      <c r="ZT26" s="186"/>
      <c r="ZU26" s="186"/>
      <c r="ZV26" s="186"/>
      <c r="ZW26" s="186"/>
      <c r="ZX26" s="186"/>
      <c r="ZY26" s="186"/>
      <c r="ZZ26" s="186"/>
      <c r="AAA26" s="186"/>
      <c r="AAB26" s="186"/>
      <c r="AAC26" s="186"/>
      <c r="AAD26" s="186"/>
      <c r="AAE26" s="186"/>
      <c r="AAF26" s="186"/>
      <c r="AAG26" s="186"/>
      <c r="AAH26" s="186"/>
      <c r="AAI26" s="186"/>
      <c r="AAJ26" s="186"/>
      <c r="AAK26" s="186"/>
      <c r="AAL26" s="186"/>
      <c r="AAM26" s="186"/>
      <c r="AAN26" s="186"/>
      <c r="AAO26" s="186"/>
      <c r="AAP26" s="186"/>
      <c r="AAQ26" s="186"/>
      <c r="AAR26" s="186"/>
      <c r="AAS26" s="186"/>
      <c r="AAT26" s="186"/>
      <c r="AAU26" s="186"/>
      <c r="AAV26" s="186"/>
      <c r="AAW26" s="186"/>
      <c r="AAX26" s="186"/>
      <c r="AAY26" s="186"/>
      <c r="AAZ26" s="186"/>
      <c r="ABA26" s="186"/>
      <c r="ABB26" s="186"/>
      <c r="ABC26" s="186"/>
      <c r="ABD26" s="186"/>
      <c r="ABE26" s="186"/>
      <c r="ABF26" s="186"/>
      <c r="ABG26" s="186"/>
      <c r="ABH26" s="186"/>
      <c r="ABI26" s="186"/>
      <c r="ABJ26" s="186"/>
      <c r="ABK26" s="186"/>
      <c r="ABL26" s="186"/>
      <c r="ABM26" s="186"/>
      <c r="ABN26" s="186"/>
      <c r="ABO26" s="186"/>
      <c r="ABP26" s="186"/>
      <c r="ABQ26" s="186"/>
      <c r="ABR26" s="186"/>
      <c r="ABS26" s="186"/>
      <c r="ABT26" s="186"/>
      <c r="ABU26" s="186"/>
      <c r="ABV26" s="186"/>
      <c r="ABW26" s="186"/>
      <c r="ABX26" s="186"/>
      <c r="ABY26" s="186"/>
      <c r="ABZ26" s="186"/>
      <c r="ACA26" s="186"/>
      <c r="ACB26" s="186"/>
      <c r="ACC26" s="186"/>
      <c r="ACD26" s="186"/>
      <c r="ACE26" s="186"/>
      <c r="ACF26" s="186"/>
      <c r="ACG26" s="186"/>
      <c r="ACH26" s="186"/>
      <c r="ACI26" s="186"/>
      <c r="ACJ26" s="186"/>
      <c r="ACK26" s="186"/>
      <c r="ACL26" s="186"/>
      <c r="ACM26" s="186"/>
      <c r="ACN26" s="186"/>
      <c r="ACO26" s="186"/>
      <c r="ACP26" s="186"/>
      <c r="ACQ26" s="186"/>
      <c r="ACR26" s="186"/>
      <c r="ACS26" s="186"/>
      <c r="ACT26" s="186"/>
      <c r="ACU26" s="186"/>
      <c r="ACV26" s="186"/>
      <c r="ACW26" s="186"/>
      <c r="ACX26" s="186"/>
      <c r="ACY26" s="186"/>
      <c r="ACZ26" s="186"/>
      <c r="ADA26" s="186"/>
      <c r="ADB26" s="186"/>
      <c r="ADC26" s="186"/>
      <c r="ADD26" s="186"/>
      <c r="ADE26" s="186"/>
      <c r="ADF26" s="186"/>
      <c r="ADG26" s="186"/>
      <c r="ADH26" s="186"/>
      <c r="ADI26" s="186"/>
      <c r="ADJ26" s="186"/>
      <c r="ADK26" s="186"/>
      <c r="ADL26" s="186"/>
      <c r="ADM26" s="186"/>
      <c r="ADN26" s="186"/>
      <c r="ADO26" s="186"/>
      <c r="ADP26" s="186"/>
      <c r="ADQ26" s="186"/>
      <c r="ADR26" s="186"/>
      <c r="ADS26" s="186"/>
      <c r="ADT26" s="186"/>
      <c r="ADU26" s="186"/>
      <c r="ADV26" s="186"/>
      <c r="ADW26" s="186"/>
      <c r="ADX26" s="186"/>
      <c r="ADY26" s="186"/>
      <c r="ADZ26" s="186"/>
      <c r="AEA26" s="186"/>
      <c r="AEB26" s="186"/>
      <c r="AEC26" s="186"/>
      <c r="AED26" s="186"/>
      <c r="AEE26" s="186"/>
      <c r="AEF26" s="186"/>
      <c r="AEG26" s="186"/>
      <c r="AEH26" s="186"/>
      <c r="AEI26" s="186"/>
      <c r="AEJ26" s="186"/>
      <c r="AEK26" s="186"/>
      <c r="AEL26" s="186"/>
      <c r="AEM26" s="186"/>
      <c r="AEN26" s="186"/>
      <c r="AEO26" s="186"/>
      <c r="AEP26" s="186"/>
      <c r="AEQ26" s="186"/>
      <c r="AER26" s="186"/>
      <c r="AES26" s="186"/>
      <c r="AET26" s="186"/>
      <c r="AEU26" s="186"/>
      <c r="AEV26" s="186"/>
      <c r="AEW26" s="186"/>
      <c r="AEX26" s="186"/>
      <c r="AEY26" s="186"/>
      <c r="AEZ26" s="186"/>
      <c r="AFA26" s="186"/>
      <c r="AFB26" s="186"/>
      <c r="AFC26" s="186"/>
      <c r="AFD26" s="186"/>
      <c r="AFE26" s="186"/>
      <c r="AFF26" s="186"/>
      <c r="AFG26" s="186"/>
      <c r="AFH26" s="186"/>
      <c r="AFI26" s="186"/>
      <c r="AFJ26" s="186"/>
      <c r="AFK26" s="186"/>
      <c r="AFL26" s="186"/>
      <c r="AFM26" s="186"/>
      <c r="AFN26" s="186"/>
      <c r="AFO26" s="186"/>
      <c r="AFP26" s="186"/>
      <c r="AFQ26" s="186"/>
      <c r="AFR26" s="186"/>
      <c r="AFS26" s="186"/>
      <c r="AFT26" s="186"/>
      <c r="AFU26" s="186"/>
      <c r="AFV26" s="186"/>
      <c r="AFW26" s="186"/>
      <c r="AFX26" s="186"/>
      <c r="AFY26" s="186"/>
      <c r="AFZ26" s="186"/>
      <c r="AGA26" s="186"/>
      <c r="AGB26" s="186"/>
      <c r="AGC26" s="186"/>
      <c r="AGD26" s="186"/>
      <c r="AGE26" s="186"/>
      <c r="AGF26" s="186"/>
      <c r="AGG26" s="186"/>
      <c r="AGH26" s="186"/>
      <c r="AGI26" s="186"/>
      <c r="AGJ26" s="186"/>
      <c r="AGK26" s="186"/>
      <c r="AGL26" s="186"/>
      <c r="AGM26" s="186"/>
      <c r="AGN26" s="186"/>
      <c r="AGO26" s="186"/>
      <c r="AGP26" s="186"/>
      <c r="AGQ26" s="186"/>
      <c r="AGR26" s="186"/>
      <c r="AGS26" s="186"/>
      <c r="AGT26" s="186"/>
      <c r="AGU26" s="186"/>
      <c r="AGV26" s="186"/>
      <c r="AGW26" s="186"/>
      <c r="AGX26" s="186"/>
      <c r="AGY26" s="186"/>
      <c r="AGZ26" s="186"/>
      <c r="AHA26" s="186"/>
      <c r="AHB26" s="186"/>
      <c r="AHC26" s="186"/>
      <c r="AHD26" s="186"/>
      <c r="AHE26" s="186"/>
      <c r="AHF26" s="186"/>
      <c r="AHG26" s="186"/>
      <c r="AHH26" s="186"/>
      <c r="AHI26" s="186"/>
      <c r="AHJ26" s="186"/>
      <c r="AHK26" s="186"/>
      <c r="AHL26" s="186"/>
      <c r="AHM26" s="186"/>
      <c r="AHN26" s="186"/>
      <c r="AHO26" s="186"/>
      <c r="AHP26" s="186"/>
      <c r="AHQ26" s="186"/>
      <c r="AHR26" s="186"/>
      <c r="AHS26" s="186"/>
      <c r="AHT26" s="186"/>
      <c r="AHU26" s="186"/>
      <c r="AHV26" s="186"/>
      <c r="AHW26" s="186"/>
      <c r="AHX26" s="186"/>
      <c r="AHY26" s="186"/>
      <c r="AHZ26" s="186"/>
      <c r="AIA26" s="186"/>
      <c r="AIB26" s="186"/>
      <c r="AIC26" s="186"/>
      <c r="AID26" s="186"/>
      <c r="AIE26" s="186"/>
      <c r="AIF26" s="186"/>
      <c r="AIG26" s="186"/>
      <c r="AIH26" s="186"/>
      <c r="AII26" s="186"/>
      <c r="AIJ26" s="186"/>
      <c r="AIK26" s="186"/>
      <c r="AIL26" s="186"/>
      <c r="AIM26" s="186"/>
      <c r="AIN26" s="186"/>
      <c r="AIO26" s="186"/>
      <c r="AIP26" s="186"/>
      <c r="AIQ26" s="186"/>
      <c r="AIR26" s="186"/>
      <c r="AIS26" s="186"/>
      <c r="AIT26" s="186"/>
      <c r="AIU26" s="186"/>
      <c r="AIV26" s="186"/>
      <c r="AIW26" s="186"/>
      <c r="AIX26" s="186"/>
      <c r="AIY26" s="186"/>
      <c r="AIZ26" s="186"/>
      <c r="AJA26" s="186"/>
      <c r="AJB26" s="186"/>
      <c r="AJC26" s="186"/>
      <c r="AJD26" s="186"/>
      <c r="AJE26" s="186"/>
      <c r="AJF26" s="186"/>
      <c r="AJG26" s="186"/>
      <c r="AJH26" s="186"/>
      <c r="AJI26" s="186"/>
      <c r="AJJ26" s="186"/>
      <c r="AJK26" s="186"/>
      <c r="AJL26" s="186"/>
      <c r="AJM26" s="186"/>
      <c r="AJN26" s="186"/>
      <c r="AJO26" s="186"/>
      <c r="AJP26" s="186"/>
      <c r="AJQ26" s="186"/>
      <c r="AJR26" s="186"/>
      <c r="AJS26" s="186"/>
      <c r="AJT26" s="186"/>
      <c r="AJU26" s="186"/>
      <c r="AJV26" s="186"/>
      <c r="AJW26" s="186"/>
      <c r="AJX26" s="186"/>
      <c r="AJY26" s="186"/>
      <c r="AJZ26" s="186"/>
      <c r="AKA26" s="186"/>
      <c r="AKB26" s="186"/>
      <c r="AKC26" s="186"/>
      <c r="AKD26" s="186"/>
      <c r="AKE26" s="186"/>
      <c r="AKF26" s="186"/>
      <c r="AKG26" s="186"/>
      <c r="AKH26" s="186"/>
      <c r="AKI26" s="186"/>
      <c r="AKJ26" s="186"/>
      <c r="AKK26" s="186"/>
      <c r="AKL26" s="186"/>
      <c r="AKM26" s="186"/>
      <c r="AKN26" s="186"/>
      <c r="AKO26" s="186"/>
      <c r="AKP26" s="186"/>
      <c r="AKQ26" s="186"/>
      <c r="AKR26" s="186"/>
      <c r="AKS26" s="186"/>
      <c r="AKT26" s="186"/>
      <c r="AKU26" s="186"/>
      <c r="AKV26" s="186"/>
      <c r="AKW26" s="186"/>
      <c r="AKX26" s="186"/>
      <c r="AKY26" s="186"/>
      <c r="AKZ26" s="186"/>
      <c r="ALA26" s="186"/>
      <c r="ALB26" s="186"/>
      <c r="ALC26" s="186"/>
      <c r="ALD26" s="186"/>
      <c r="ALE26" s="186"/>
      <c r="ALF26" s="186"/>
      <c r="ALG26" s="186"/>
      <c r="ALH26" s="186"/>
      <c r="ALI26" s="186"/>
      <c r="ALJ26" s="186"/>
      <c r="ALK26" s="186"/>
      <c r="ALL26" s="186"/>
      <c r="ALM26" s="186"/>
      <c r="ALN26" s="186"/>
      <c r="ALO26" s="186"/>
      <c r="ALP26" s="186"/>
      <c r="ALQ26" s="186"/>
      <c r="ALR26" s="186"/>
      <c r="ALS26" s="186"/>
      <c r="ALT26" s="186"/>
      <c r="ALU26" s="186"/>
      <c r="ALV26" s="186"/>
      <c r="ALW26" s="186"/>
      <c r="ALX26" s="186"/>
      <c r="ALY26" s="186"/>
      <c r="ALZ26" s="186"/>
      <c r="AMA26" s="186"/>
      <c r="AMB26" s="186"/>
      <c r="AMC26" s="186"/>
      <c r="AMD26" s="186"/>
      <c r="AME26" s="186"/>
      <c r="AMF26" s="186"/>
      <c r="AMG26" s="186"/>
      <c r="AMH26" s="186"/>
      <c r="AMI26" s="186"/>
      <c r="AMJ26" s="186"/>
      <c r="AMK26" s="186"/>
      <c r="AML26" s="186"/>
      <c r="AMM26" s="186"/>
      <c r="AMN26" s="186"/>
      <c r="AMO26" s="186"/>
      <c r="AMP26" s="186"/>
      <c r="AMQ26" s="186"/>
      <c r="AMR26" s="186"/>
      <c r="AMS26" s="186"/>
      <c r="AMT26" s="186"/>
      <c r="AMU26" s="186"/>
      <c r="AMV26" s="186"/>
      <c r="AMW26" s="186"/>
      <c r="AMX26" s="186"/>
      <c r="AMY26" s="186"/>
      <c r="AMZ26" s="186"/>
      <c r="ANA26" s="186"/>
      <c r="ANB26" s="186"/>
      <c r="ANC26" s="186"/>
      <c r="AND26" s="186"/>
      <c r="ANE26" s="186"/>
      <c r="ANF26" s="186"/>
    </row>
    <row r="27" spans="1:1046" x14ac:dyDescent="0.2">
      <c r="A27" s="2"/>
      <c r="B27" s="258"/>
      <c r="C27" s="69" t="s">
        <v>88</v>
      </c>
      <c r="D27" s="259">
        <f>STDEV(D23:D25)</f>
        <v>101.0659850460743</v>
      </c>
      <c r="E27" s="260">
        <f>STDEV(E23:E25)</f>
        <v>17.320508075688775</v>
      </c>
      <c r="F27" s="38">
        <f>STDEV(F24:F25)</f>
        <v>0.70710678118654757</v>
      </c>
      <c r="G27" s="38">
        <f>STDEV(G24:G25)</f>
        <v>7.0710678118654755</v>
      </c>
      <c r="H27" s="42">
        <f>STDEV(H23:H24)</f>
        <v>4.2426406871192848</v>
      </c>
      <c r="I27" s="40">
        <f>STDEV(I24:I25)</f>
        <v>21.213203435596427</v>
      </c>
      <c r="J27" s="42">
        <f>STDEV(J23:J24)</f>
        <v>1.4142135623730951</v>
      </c>
      <c r="K27" s="40">
        <f>STDEV(K24:K25)</f>
        <v>0</v>
      </c>
      <c r="L27" s="38">
        <f>STDEV(L23:L24)</f>
        <v>0.70710678118654757</v>
      </c>
      <c r="M27" s="38">
        <f t="shared" ref="M27:R27" si="47">STDEV(M23:M25)</f>
        <v>0</v>
      </c>
      <c r="N27" s="42">
        <f t="shared" si="47"/>
        <v>2.3094010767585034</v>
      </c>
      <c r="O27" s="43">
        <f t="shared" si="47"/>
        <v>10</v>
      </c>
      <c r="P27" s="38">
        <f t="shared" si="47"/>
        <v>2.6457513110645907</v>
      </c>
      <c r="Q27" s="40">
        <f t="shared" si="47"/>
        <v>5.7735026918962573</v>
      </c>
      <c r="R27" s="42">
        <f t="shared" si="47"/>
        <v>5.6862407030773268</v>
      </c>
      <c r="S27" s="40">
        <f>STDEV(S23,S25)</f>
        <v>2.8284271247461903</v>
      </c>
      <c r="T27" s="38">
        <f>STDEV(T23:T24)</f>
        <v>2.8284271247461903</v>
      </c>
      <c r="U27" s="38">
        <f>STDEV(U23:U25)</f>
        <v>0</v>
      </c>
      <c r="V27" s="42">
        <f>STDEV(V24:V25)</f>
        <v>2.1213203435596424</v>
      </c>
      <c r="W27" s="40">
        <f>STDEV(W23:W25)</f>
        <v>5.7735026918962573</v>
      </c>
      <c r="X27" s="38">
        <f>STDEV(X23:X25)</f>
        <v>3.214550253664318</v>
      </c>
      <c r="Y27" s="43">
        <f>STDEV(Y23:Y25)</f>
        <v>5.7735026918962573</v>
      </c>
      <c r="Z27" s="44">
        <f>STDEV(Z23,Z25)</f>
        <v>3.5355339059327378</v>
      </c>
      <c r="AA27" s="40">
        <f>STDEV(AA23:AA25)</f>
        <v>5.7735026918962573</v>
      </c>
      <c r="AB27" s="265"/>
      <c r="AC27" s="266"/>
      <c r="AD27" s="35">
        <f t="shared" ref="AD27:AK27" si="48">STDEV(AD23:AD25)</f>
        <v>4.7258156262526079</v>
      </c>
      <c r="AE27" s="32">
        <f t="shared" si="48"/>
        <v>0</v>
      </c>
      <c r="AF27" s="35">
        <f t="shared" si="48"/>
        <v>3.7859388972001824</v>
      </c>
      <c r="AG27" s="32">
        <f t="shared" si="48"/>
        <v>5.7735026918962573</v>
      </c>
      <c r="AH27" s="42">
        <f t="shared" si="48"/>
        <v>2.6457513110645907</v>
      </c>
      <c r="AI27" s="43">
        <f t="shared" si="48"/>
        <v>5.7735026918962573</v>
      </c>
      <c r="AJ27" s="6">
        <f t="shared" si="48"/>
        <v>1.5275252316519468</v>
      </c>
      <c r="AK27" s="6">
        <f t="shared" si="48"/>
        <v>0</v>
      </c>
      <c r="AL27" s="35">
        <f>STDEV(AL24:AL25)</f>
        <v>0.70710678118654757</v>
      </c>
      <c r="AM27" s="32">
        <f>STDEV(AM23:AM25)</f>
        <v>3.7859388972001824</v>
      </c>
      <c r="AN27" s="6">
        <f>STDEV(AN23:AN25)</f>
        <v>3.214550253664318</v>
      </c>
      <c r="AO27" s="6">
        <f>STDEV(AO23:AO25)</f>
        <v>4.9328828623162471</v>
      </c>
      <c r="AP27" s="35">
        <f>STDEV(AP23:AP24)</f>
        <v>4.2426406871192848</v>
      </c>
      <c r="AQ27" s="32">
        <f>STDEV(AQ23:AQ24)</f>
        <v>4.2426406871192848</v>
      </c>
      <c r="AR27" s="6">
        <f>STDEV(AR23:AR25)</f>
        <v>0.57735026918962573</v>
      </c>
      <c r="AS27" s="7">
        <f>STDEV(AS23:AS25)</f>
        <v>6.5574385243020004</v>
      </c>
      <c r="AT27" s="6">
        <f>STDEV(AT23:AT25)</f>
        <v>0.57735026918962573</v>
      </c>
      <c r="AU27" s="32">
        <f>STDEV(AU24:AU25)</f>
        <v>2.8284271247461903</v>
      </c>
      <c r="AV27" s="6">
        <f t="shared" ref="AV27:DG27" si="49">STDEV(AV23:AV25)</f>
        <v>1.1547005383792517</v>
      </c>
      <c r="AW27" s="32">
        <f t="shared" si="49"/>
        <v>3.7859388972001824</v>
      </c>
      <c r="AX27" s="35">
        <f t="shared" si="49"/>
        <v>6.6583281184793925</v>
      </c>
      <c r="AY27" s="6">
        <f>STDEV(AY23,AY25)</f>
        <v>2.1213203435596424</v>
      </c>
      <c r="AZ27" s="35">
        <f t="shared" si="49"/>
        <v>2.6457513110645907</v>
      </c>
      <c r="BA27" s="32">
        <f t="shared" si="49"/>
        <v>4.1633319989322652</v>
      </c>
      <c r="BB27" s="6">
        <f t="shared" si="49"/>
        <v>2.5166114784235836</v>
      </c>
      <c r="BC27" s="7">
        <f t="shared" si="49"/>
        <v>1.5275252316519468</v>
      </c>
      <c r="BD27" s="6">
        <f t="shared" si="49"/>
        <v>3</v>
      </c>
      <c r="BE27" s="32">
        <f t="shared" si="49"/>
        <v>0.57735026918962573</v>
      </c>
      <c r="BF27" s="6">
        <f t="shared" si="49"/>
        <v>1.1547005383792517</v>
      </c>
      <c r="BG27" s="32">
        <f>STDEV(BG23:BG24)</f>
        <v>0.70710678118654757</v>
      </c>
      <c r="BH27" s="35">
        <f t="shared" si="49"/>
        <v>4.0414518843273806</v>
      </c>
      <c r="BI27" s="6">
        <f t="shared" si="49"/>
        <v>2</v>
      </c>
      <c r="BJ27" s="35">
        <f t="shared" si="49"/>
        <v>3.0550504633038931</v>
      </c>
      <c r="BK27" s="32">
        <f t="shared" si="49"/>
        <v>5.7735026918962573</v>
      </c>
      <c r="BL27" s="6">
        <f t="shared" si="49"/>
        <v>1.7320508075688772</v>
      </c>
      <c r="BM27" s="7">
        <f>STDEV(BM23,BM25)</f>
        <v>0</v>
      </c>
      <c r="BN27" s="6">
        <f>STDEV(BN24:BN25)</f>
        <v>3.5355339059327378</v>
      </c>
      <c r="BO27" s="32">
        <f t="shared" si="49"/>
        <v>3.0550504633038931</v>
      </c>
      <c r="BP27" s="267"/>
      <c r="BQ27" s="268"/>
      <c r="BR27" s="35">
        <f t="shared" si="49"/>
        <v>0</v>
      </c>
      <c r="BS27" s="6">
        <f t="shared" si="49"/>
        <v>5.7735026918962573</v>
      </c>
      <c r="BT27" s="35">
        <f>STDEV(BT23:BT24)</f>
        <v>0</v>
      </c>
      <c r="BU27" s="32">
        <f t="shared" si="49"/>
        <v>5.7735026918962573</v>
      </c>
      <c r="BV27" s="6">
        <f t="shared" si="49"/>
        <v>5.7735026918962573</v>
      </c>
      <c r="BW27" s="7">
        <f t="shared" si="49"/>
        <v>0</v>
      </c>
      <c r="BX27" s="6">
        <f t="shared" si="49"/>
        <v>5.7735026918962573</v>
      </c>
      <c r="BY27" s="32">
        <f t="shared" si="49"/>
        <v>5.7735026918962573</v>
      </c>
      <c r="BZ27" s="35">
        <f t="shared" si="49"/>
        <v>0</v>
      </c>
      <c r="CA27" s="32">
        <f t="shared" si="49"/>
        <v>0</v>
      </c>
      <c r="CB27" s="35">
        <f t="shared" si="49"/>
        <v>10</v>
      </c>
      <c r="CC27" s="6">
        <f t="shared" si="49"/>
        <v>5.7735026918962573</v>
      </c>
      <c r="CD27" s="35">
        <f>STDEV(CD23:CD24)</f>
        <v>7.0710678118654755</v>
      </c>
      <c r="CE27" s="32">
        <f t="shared" si="49"/>
        <v>5.7735026918962573</v>
      </c>
      <c r="CF27" s="6">
        <f t="shared" si="49"/>
        <v>0</v>
      </c>
      <c r="CG27" s="7">
        <f t="shared" si="49"/>
        <v>5.7735026918962573</v>
      </c>
      <c r="CH27" s="6">
        <f t="shared" si="49"/>
        <v>5.7735026918962573</v>
      </c>
      <c r="CI27" s="40">
        <f t="shared" si="49"/>
        <v>5.7735026918962573</v>
      </c>
      <c r="CJ27" s="35">
        <f t="shared" si="49"/>
        <v>10</v>
      </c>
      <c r="CK27" s="32">
        <f t="shared" si="49"/>
        <v>5.7735026918962573</v>
      </c>
      <c r="CL27" s="35">
        <f t="shared" si="49"/>
        <v>10</v>
      </c>
      <c r="CM27" s="6">
        <f>STDEV(CM23:CM24)</f>
        <v>7.0710678118654755</v>
      </c>
      <c r="CN27" s="35">
        <f t="shared" si="49"/>
        <v>0</v>
      </c>
      <c r="CO27" s="32">
        <f t="shared" si="49"/>
        <v>0</v>
      </c>
      <c r="CP27" s="6">
        <f t="shared" si="49"/>
        <v>5.0332229568471663</v>
      </c>
      <c r="CQ27" s="7">
        <f>STDEV(CQ23,CQ25)</f>
        <v>0</v>
      </c>
      <c r="CR27" s="6">
        <f t="shared" si="49"/>
        <v>1.5275252316519468</v>
      </c>
      <c r="CS27" s="32">
        <f t="shared" si="49"/>
        <v>5.7735026918962573</v>
      </c>
      <c r="CT27" s="35">
        <f t="shared" si="49"/>
        <v>0.57735026918962573</v>
      </c>
      <c r="CU27" s="32">
        <f t="shared" si="49"/>
        <v>0</v>
      </c>
      <c r="CV27" s="35">
        <f t="shared" si="49"/>
        <v>4.6188021535170058</v>
      </c>
      <c r="CW27" s="6">
        <f t="shared" si="49"/>
        <v>0</v>
      </c>
      <c r="CX27" s="35">
        <f t="shared" si="49"/>
        <v>0.57735026918962573</v>
      </c>
      <c r="CY27" s="32">
        <f t="shared" si="49"/>
        <v>10</v>
      </c>
      <c r="CZ27" s="6">
        <f t="shared" si="49"/>
        <v>0.57735026918962573</v>
      </c>
      <c r="DA27" s="7">
        <f t="shared" si="49"/>
        <v>5.7735026918962573</v>
      </c>
      <c r="DB27" s="38">
        <f>STDEV(DB23:DB25)</f>
        <v>5.7735026918962573</v>
      </c>
      <c r="DC27" s="40">
        <f t="shared" si="49"/>
        <v>1</v>
      </c>
      <c r="DD27" s="42">
        <f t="shared" si="49"/>
        <v>3.0550504633038931</v>
      </c>
      <c r="DE27" s="40">
        <f t="shared" si="49"/>
        <v>10</v>
      </c>
      <c r="DF27" s="38">
        <f t="shared" si="49"/>
        <v>5.7735026918962573</v>
      </c>
      <c r="DG27" s="38">
        <f t="shared" si="49"/>
        <v>2.0816659994661331</v>
      </c>
      <c r="DH27" s="42">
        <f t="shared" ref="DH27:DV27" si="50">STDEV(DH23:DH25)</f>
        <v>5.7735026918962573</v>
      </c>
      <c r="DI27" s="40">
        <f t="shared" si="50"/>
        <v>5.7735026918962573</v>
      </c>
      <c r="DJ27" s="38">
        <f t="shared" si="50"/>
        <v>5.7735026918962573</v>
      </c>
      <c r="DK27" s="43">
        <f t="shared" si="50"/>
        <v>0</v>
      </c>
      <c r="DL27" s="38">
        <f t="shared" si="50"/>
        <v>5.7735026918962573</v>
      </c>
      <c r="DM27" s="49">
        <f t="shared" si="50"/>
        <v>0</v>
      </c>
      <c r="DN27" s="42">
        <f t="shared" si="50"/>
        <v>10</v>
      </c>
      <c r="DO27" s="40">
        <f>STDEV(DO23:DO24)</f>
        <v>0</v>
      </c>
      <c r="DP27" s="38">
        <f t="shared" si="50"/>
        <v>5.7735026918962573</v>
      </c>
      <c r="DQ27" s="38">
        <f>STDEV(DQ23:DQ25)</f>
        <v>5.7735026918962573</v>
      </c>
      <c r="DR27" s="42">
        <f>STDEV(DR23:DR25)</f>
        <v>10</v>
      </c>
      <c r="DS27" s="40">
        <f>STDEV(DS23:DS25)</f>
        <v>5.7735026918962573</v>
      </c>
      <c r="DT27" s="38">
        <f>STDEV(DT23:DT25)</f>
        <v>10</v>
      </c>
      <c r="DU27" s="43">
        <f>STDEV(DU24:DU25)</f>
        <v>0</v>
      </c>
      <c r="DV27" s="38">
        <f t="shared" si="50"/>
        <v>10</v>
      </c>
      <c r="DW27" s="40">
        <f>STDEV(DW23:DW24)</f>
        <v>7.0710678118654755</v>
      </c>
      <c r="DX27" s="42">
        <f>STDEV(DX24:DX25)</f>
        <v>0</v>
      </c>
      <c r="DY27" s="40">
        <f t="shared" ref="DY27:FS27" si="51">STDEV(DY23:DY25)</f>
        <v>5.7735026918962573</v>
      </c>
      <c r="DZ27" s="38">
        <f t="shared" si="51"/>
        <v>10</v>
      </c>
      <c r="EA27" s="38">
        <f t="shared" si="51"/>
        <v>5.7735026918962573</v>
      </c>
      <c r="EB27" s="42">
        <f t="shared" si="51"/>
        <v>5.7735026918962573</v>
      </c>
      <c r="EC27" s="40">
        <f t="shared" si="51"/>
        <v>5.7735026918962573</v>
      </c>
      <c r="ED27" s="38">
        <f t="shared" si="51"/>
        <v>10</v>
      </c>
      <c r="EE27" s="43">
        <f t="shared" si="51"/>
        <v>10</v>
      </c>
      <c r="EF27" s="38">
        <f t="shared" si="51"/>
        <v>5.7735026918962573</v>
      </c>
      <c r="EG27" s="40">
        <f t="shared" si="51"/>
        <v>5.7735026918962573</v>
      </c>
      <c r="EH27" s="42">
        <f t="shared" si="51"/>
        <v>10</v>
      </c>
      <c r="EI27" s="40">
        <f t="shared" si="51"/>
        <v>5.7735026918962573</v>
      </c>
      <c r="EJ27" s="38">
        <f t="shared" si="51"/>
        <v>5.7735026918962573</v>
      </c>
      <c r="EK27" s="38">
        <f t="shared" si="51"/>
        <v>0</v>
      </c>
      <c r="EL27" s="42">
        <f t="shared" si="51"/>
        <v>1.5275252316519468</v>
      </c>
      <c r="EM27" s="40">
        <f t="shared" si="51"/>
        <v>0.57735026918962573</v>
      </c>
      <c r="EN27" s="38">
        <f t="shared" si="51"/>
        <v>0.57735026918962573</v>
      </c>
      <c r="EO27" s="43">
        <f t="shared" si="51"/>
        <v>1.5275252316519468</v>
      </c>
      <c r="EP27" s="38">
        <f t="shared" si="51"/>
        <v>5.7735026918962573</v>
      </c>
      <c r="EQ27" s="40">
        <f t="shared" si="51"/>
        <v>5.7735026918962573</v>
      </c>
      <c r="ER27" s="42">
        <f t="shared" si="51"/>
        <v>0</v>
      </c>
      <c r="ES27" s="40">
        <f t="shared" si="51"/>
        <v>5.7735026918962573</v>
      </c>
      <c r="ET27" s="38">
        <f t="shared" si="51"/>
        <v>10</v>
      </c>
      <c r="EU27" s="38">
        <f t="shared" si="51"/>
        <v>5.7735026918962573</v>
      </c>
      <c r="EV27" s="42">
        <f t="shared" si="51"/>
        <v>1.1547005383792517</v>
      </c>
      <c r="EW27" s="40">
        <f t="shared" si="51"/>
        <v>0.57735026918962573</v>
      </c>
      <c r="EX27" s="38">
        <f t="shared" si="51"/>
        <v>5.7735026918962573</v>
      </c>
      <c r="EY27" s="43">
        <f>STDEV(EY23,EY25)</f>
        <v>7.0710678118654755</v>
      </c>
      <c r="EZ27" s="38">
        <f t="shared" si="51"/>
        <v>5.7735026918962573</v>
      </c>
      <c r="FA27" s="40">
        <f t="shared" si="51"/>
        <v>2.0816659994661331</v>
      </c>
      <c r="FB27" s="42">
        <f>STDEV(FB24:FB25)</f>
        <v>5.6568542494923806</v>
      </c>
      <c r="FC27" s="38">
        <f>STDEV(FC23:FC24)</f>
        <v>7.0710678118654755</v>
      </c>
      <c r="FD27" s="42">
        <f t="shared" si="51"/>
        <v>2.5166114784235831</v>
      </c>
      <c r="FE27" s="40">
        <f t="shared" si="51"/>
        <v>4.358898943540674</v>
      </c>
      <c r="FF27" s="38">
        <f>STDEV(FF23,FF25)</f>
        <v>13.435028842544403</v>
      </c>
      <c r="FG27" s="40">
        <f t="shared" si="51"/>
        <v>2.0816659994661326</v>
      </c>
      <c r="FH27" s="38">
        <f t="shared" si="51"/>
        <v>1.1547005383792517</v>
      </c>
      <c r="FI27" s="43">
        <f t="shared" si="51"/>
        <v>2</v>
      </c>
      <c r="FJ27" s="38">
        <f t="shared" si="51"/>
        <v>1.7320508075688772</v>
      </c>
      <c r="FK27" s="76">
        <f t="shared" si="51"/>
        <v>2.3094010767585034</v>
      </c>
      <c r="FL27" s="42">
        <f t="shared" si="51"/>
        <v>2.0816659994661331</v>
      </c>
      <c r="FM27" s="40">
        <f t="shared" si="51"/>
        <v>0.57735026918962573</v>
      </c>
      <c r="FN27" s="38">
        <f t="shared" si="51"/>
        <v>3</v>
      </c>
      <c r="FO27" s="38">
        <f t="shared" si="51"/>
        <v>0.57735026918962573</v>
      </c>
      <c r="FP27" s="42">
        <f>STDEV(FP24:FP25)</f>
        <v>2.8284271247461903</v>
      </c>
      <c r="FQ27" s="40">
        <f>STDEV(FQ23:FQ24)</f>
        <v>7.0710678118654755</v>
      </c>
      <c r="FR27" s="38">
        <f t="shared" si="51"/>
        <v>1.5275252316519468</v>
      </c>
      <c r="FS27" s="43">
        <f t="shared" si="51"/>
        <v>2.0816659994661331</v>
      </c>
      <c r="FT27" s="38">
        <f>STDEV(FT24:FT25)</f>
        <v>0</v>
      </c>
      <c r="FU27" s="40">
        <f>STDEV(FU23:FU25)</f>
        <v>0</v>
      </c>
      <c r="FV27" s="38">
        <f t="shared" ref="FV27:GC27" si="52">STDEV(FV23:FV25)</f>
        <v>1</v>
      </c>
      <c r="FW27" s="38">
        <f>STDEV(FW23:FW25)</f>
        <v>0</v>
      </c>
      <c r="FX27" s="42">
        <f>STDEV(FX23:FX25)</f>
        <v>3.7859388972001824</v>
      </c>
      <c r="FY27" s="40">
        <f>STDEV(FY23:FY25)</f>
        <v>3.7859388972001824</v>
      </c>
      <c r="FZ27" s="42">
        <f t="shared" si="52"/>
        <v>1</v>
      </c>
      <c r="GA27" s="40">
        <f t="shared" si="52"/>
        <v>0</v>
      </c>
      <c r="GB27" s="38">
        <f t="shared" si="52"/>
        <v>1.7320508075688772</v>
      </c>
      <c r="GC27" s="43">
        <f t="shared" si="52"/>
        <v>0</v>
      </c>
      <c r="GD27" s="38">
        <f>STDEV(GD24:GD25)</f>
        <v>7.0710678118654755</v>
      </c>
      <c r="GE27" s="49">
        <f>STDEV(GE23:GE25)</f>
        <v>0</v>
      </c>
      <c r="GF27" s="42">
        <f>STDEV(GF23:GF25)</f>
        <v>10</v>
      </c>
      <c r="GG27" s="40">
        <f>STDEV(GG23:GG25)</f>
        <v>3.7859388972001824</v>
      </c>
      <c r="GH27" s="38">
        <f t="shared" ref="GH27:GM27" si="53">STDEV(GH23:GH25)</f>
        <v>3.0550504633038931</v>
      </c>
      <c r="GI27" s="38">
        <f t="shared" si="53"/>
        <v>1.1547005383792517</v>
      </c>
      <c r="GJ27" s="42">
        <f>STDEV(GJ23:GJ24)</f>
        <v>0</v>
      </c>
      <c r="GK27" s="40">
        <f t="shared" si="53"/>
        <v>5.7735026918962573</v>
      </c>
      <c r="GL27" s="38">
        <f>STDEV(GL24:GL25)</f>
        <v>4.2426406871192848</v>
      </c>
      <c r="GM27" s="43">
        <f t="shared" si="53"/>
        <v>2</v>
      </c>
      <c r="GN27" s="38">
        <f>STDEV(GN23:GN25)</f>
        <v>0</v>
      </c>
      <c r="GO27" s="40">
        <f>STDEV(GO23:GO25)</f>
        <v>5.7735026918962573</v>
      </c>
      <c r="GP27" s="42">
        <f>STDEV(GP23:GP25)</f>
        <v>2.0816659994661326</v>
      </c>
      <c r="GQ27" s="40">
        <f>STDEV(GQ23:GQ25)</f>
        <v>5.7735026918962573</v>
      </c>
      <c r="GR27" s="38">
        <f t="shared" ref="GR27:GW27" si="54">STDEV(GR23:GR25)</f>
        <v>1.5275252316519468</v>
      </c>
      <c r="GS27" s="38">
        <f t="shared" si="54"/>
        <v>3</v>
      </c>
      <c r="GT27" s="42">
        <f t="shared" si="54"/>
        <v>5.1316014394468841</v>
      </c>
      <c r="GU27" s="40">
        <f t="shared" si="54"/>
        <v>0.57735026918962573</v>
      </c>
      <c r="GV27" s="38">
        <f t="shared" si="54"/>
        <v>2.5166114784235836</v>
      </c>
      <c r="GW27" s="43">
        <f t="shared" si="54"/>
        <v>7.2111025509279782</v>
      </c>
    </row>
    <row r="28" spans="1:1046" x14ac:dyDescent="0.2">
      <c r="A28" s="1"/>
      <c r="B28" s="241" t="s">
        <v>91</v>
      </c>
      <c r="C28" s="51">
        <v>1</v>
      </c>
      <c r="D28" s="242">
        <v>301</v>
      </c>
      <c r="E28" s="243">
        <v>1170</v>
      </c>
      <c r="F28" s="53">
        <v>249</v>
      </c>
      <c r="G28" s="59">
        <v>1120</v>
      </c>
      <c r="H28" s="56">
        <v>527</v>
      </c>
      <c r="I28" s="58">
        <v>1030</v>
      </c>
      <c r="J28" s="56">
        <v>515</v>
      </c>
      <c r="K28" s="58">
        <v>897</v>
      </c>
      <c r="L28" s="59">
        <v>534</v>
      </c>
      <c r="M28" s="59">
        <v>781</v>
      </c>
      <c r="N28" s="56">
        <v>567</v>
      </c>
      <c r="O28" s="65">
        <v>772</v>
      </c>
      <c r="P28" s="59">
        <v>611</v>
      </c>
      <c r="Q28" s="58">
        <v>780</v>
      </c>
      <c r="R28" s="3">
        <v>561</v>
      </c>
      <c r="S28" s="28">
        <v>523</v>
      </c>
      <c r="T28" s="2">
        <v>611</v>
      </c>
      <c r="U28" s="2">
        <v>792</v>
      </c>
      <c r="V28" s="3">
        <v>577</v>
      </c>
      <c r="W28" s="28">
        <v>742</v>
      </c>
      <c r="X28" s="2">
        <v>582</v>
      </c>
      <c r="Y28" s="4">
        <v>740</v>
      </c>
      <c r="Z28" s="79">
        <v>621</v>
      </c>
      <c r="AA28" s="28">
        <v>804</v>
      </c>
      <c r="AB28" s="208"/>
      <c r="AC28" s="209"/>
      <c r="AD28" s="56">
        <v>581</v>
      </c>
      <c r="AE28" s="58">
        <v>850</v>
      </c>
      <c r="AF28" s="56">
        <v>591</v>
      </c>
      <c r="AG28" s="58">
        <v>1010</v>
      </c>
      <c r="AH28" s="3">
        <v>587</v>
      </c>
      <c r="AI28" s="4">
        <v>962</v>
      </c>
      <c r="AJ28" s="59">
        <v>595</v>
      </c>
      <c r="AK28" s="59">
        <v>808</v>
      </c>
      <c r="AL28" s="56">
        <v>569</v>
      </c>
      <c r="AM28" s="58">
        <v>750</v>
      </c>
      <c r="AN28" s="53">
        <v>604</v>
      </c>
      <c r="AO28" s="53">
        <v>751</v>
      </c>
      <c r="AP28" s="75">
        <v>597</v>
      </c>
      <c r="AQ28" s="66">
        <v>741</v>
      </c>
      <c r="AR28" s="59">
        <v>611</v>
      </c>
      <c r="AS28" s="65">
        <v>745</v>
      </c>
      <c r="AT28" s="269">
        <v>590</v>
      </c>
      <c r="AU28" s="58">
        <v>720</v>
      </c>
      <c r="AV28" s="59">
        <v>602</v>
      </c>
      <c r="AW28" s="58">
        <v>700</v>
      </c>
      <c r="AX28" s="56">
        <v>621</v>
      </c>
      <c r="AY28" s="59">
        <v>695</v>
      </c>
      <c r="AZ28" s="56">
        <v>604</v>
      </c>
      <c r="BA28" s="58">
        <v>696</v>
      </c>
      <c r="BB28" s="59">
        <v>619</v>
      </c>
      <c r="BC28" s="65">
        <v>701</v>
      </c>
      <c r="BD28" s="269">
        <v>650</v>
      </c>
      <c r="BE28" s="58">
        <v>683</v>
      </c>
      <c r="BF28" s="59">
        <v>637</v>
      </c>
      <c r="BG28" s="58">
        <v>688</v>
      </c>
      <c r="BH28" s="56">
        <v>658</v>
      </c>
      <c r="BI28" s="59">
        <v>687</v>
      </c>
      <c r="BJ28" s="56">
        <v>650</v>
      </c>
      <c r="BK28" s="58">
        <v>694</v>
      </c>
      <c r="BL28" s="59">
        <v>658</v>
      </c>
      <c r="BM28" s="65">
        <v>704</v>
      </c>
      <c r="BN28" s="269">
        <v>663</v>
      </c>
      <c r="BO28" s="58">
        <v>676</v>
      </c>
      <c r="BP28" s="270"/>
      <c r="BQ28" s="209"/>
      <c r="BR28" s="56">
        <v>848</v>
      </c>
      <c r="BS28" s="59">
        <v>841</v>
      </c>
      <c r="BT28" s="75">
        <v>862</v>
      </c>
      <c r="BU28" s="58">
        <v>986</v>
      </c>
      <c r="BV28" s="59">
        <v>862</v>
      </c>
      <c r="BW28" s="65">
        <v>990</v>
      </c>
      <c r="BX28" s="269">
        <v>885</v>
      </c>
      <c r="BY28" s="58">
        <v>998</v>
      </c>
      <c r="BZ28" s="56">
        <v>870</v>
      </c>
      <c r="CA28" s="58">
        <v>958</v>
      </c>
      <c r="CB28" s="56">
        <v>862</v>
      </c>
      <c r="CC28" s="59">
        <v>983</v>
      </c>
      <c r="CD28" s="56">
        <v>1120</v>
      </c>
      <c r="CE28" s="58">
        <v>950</v>
      </c>
      <c r="CF28" s="54">
        <v>1130</v>
      </c>
      <c r="CG28" s="65">
        <v>987</v>
      </c>
      <c r="CH28" s="271">
        <v>1990</v>
      </c>
      <c r="CI28" s="28">
        <v>1010</v>
      </c>
      <c r="CJ28" s="56">
        <v>1200</v>
      </c>
      <c r="CK28" s="58">
        <v>1160</v>
      </c>
      <c r="CL28" s="56">
        <v>1170</v>
      </c>
      <c r="CM28" s="59">
        <v>1140</v>
      </c>
      <c r="CN28" s="56">
        <v>1240</v>
      </c>
      <c r="CO28" s="58">
        <v>1170</v>
      </c>
      <c r="CP28" s="59">
        <v>644</v>
      </c>
      <c r="CQ28" s="65">
        <v>1190</v>
      </c>
      <c r="CR28" s="269">
        <v>668</v>
      </c>
      <c r="CS28" s="58">
        <v>1020</v>
      </c>
      <c r="CT28" s="56">
        <v>687</v>
      </c>
      <c r="CU28" s="58">
        <v>922</v>
      </c>
      <c r="CV28" s="56">
        <v>646</v>
      </c>
      <c r="CW28" s="59">
        <v>860</v>
      </c>
      <c r="CX28" s="56">
        <v>645</v>
      </c>
      <c r="CY28" s="58">
        <v>787</v>
      </c>
      <c r="CZ28" s="59">
        <v>529</v>
      </c>
      <c r="DA28" s="65">
        <v>717</v>
      </c>
      <c r="DB28" s="59">
        <v>768</v>
      </c>
      <c r="DC28" s="58">
        <v>635</v>
      </c>
      <c r="DD28" s="3">
        <v>676</v>
      </c>
      <c r="DE28" s="28">
        <v>994</v>
      </c>
      <c r="DF28" s="2">
        <v>992</v>
      </c>
      <c r="DG28" s="2">
        <v>684</v>
      </c>
      <c r="DH28" s="3">
        <v>798</v>
      </c>
      <c r="DI28" s="28">
        <v>1010</v>
      </c>
      <c r="DJ28" s="2">
        <v>1090</v>
      </c>
      <c r="DK28" s="4">
        <v>916</v>
      </c>
      <c r="DL28" s="59">
        <v>1030</v>
      </c>
      <c r="DM28" s="58">
        <v>917</v>
      </c>
      <c r="DN28" s="3">
        <v>1010</v>
      </c>
      <c r="DO28" s="74">
        <v>983</v>
      </c>
      <c r="DP28" s="2">
        <v>1080</v>
      </c>
      <c r="DQ28" s="2">
        <v>982</v>
      </c>
      <c r="DR28" s="3">
        <v>1000</v>
      </c>
      <c r="DS28" s="28">
        <v>1010</v>
      </c>
      <c r="DT28" s="2">
        <v>1020</v>
      </c>
      <c r="DU28" s="4">
        <v>1010</v>
      </c>
      <c r="DV28" s="59">
        <v>1070</v>
      </c>
      <c r="DW28" s="58">
        <v>1010</v>
      </c>
      <c r="DX28" s="3">
        <v>1040</v>
      </c>
      <c r="DY28" s="28">
        <v>1020</v>
      </c>
      <c r="DZ28" s="2">
        <v>1050</v>
      </c>
      <c r="EA28" s="2">
        <v>965</v>
      </c>
      <c r="EB28" s="3">
        <v>791</v>
      </c>
      <c r="EC28" s="28">
        <v>961</v>
      </c>
      <c r="ED28" s="2">
        <v>799</v>
      </c>
      <c r="EE28" s="4">
        <v>1020</v>
      </c>
      <c r="EF28" s="59">
        <v>797</v>
      </c>
      <c r="EG28" s="58">
        <v>909</v>
      </c>
      <c r="EH28" s="3">
        <v>922</v>
      </c>
      <c r="EI28" s="28">
        <v>879</v>
      </c>
      <c r="EJ28" s="2">
        <v>966</v>
      </c>
      <c r="EK28" s="2">
        <v>906</v>
      </c>
      <c r="EL28" s="3">
        <v>1060</v>
      </c>
      <c r="EM28" s="28">
        <v>902</v>
      </c>
      <c r="EN28" s="2">
        <v>1060</v>
      </c>
      <c r="EO28" s="4">
        <v>892</v>
      </c>
      <c r="EP28" s="53">
        <v>1010</v>
      </c>
      <c r="EQ28" s="64">
        <v>966</v>
      </c>
      <c r="ER28" s="82">
        <v>841</v>
      </c>
      <c r="ES28" s="74">
        <v>981</v>
      </c>
      <c r="ET28" s="2">
        <v>929</v>
      </c>
      <c r="EU28" s="2">
        <v>960</v>
      </c>
      <c r="EV28" s="3">
        <v>846</v>
      </c>
      <c r="EW28" s="28">
        <v>929</v>
      </c>
      <c r="EX28" s="2">
        <v>946</v>
      </c>
      <c r="EY28" s="4">
        <v>960</v>
      </c>
      <c r="EZ28" s="59">
        <v>1410</v>
      </c>
      <c r="FA28" s="58">
        <v>808</v>
      </c>
      <c r="FB28" s="3">
        <v>779</v>
      </c>
      <c r="FC28" s="2">
        <v>725</v>
      </c>
      <c r="FD28" s="3">
        <v>728</v>
      </c>
      <c r="FE28" s="28">
        <v>741</v>
      </c>
      <c r="FF28" s="217">
        <v>610</v>
      </c>
      <c r="FG28" s="28">
        <v>817</v>
      </c>
      <c r="FH28" s="2">
        <v>791</v>
      </c>
      <c r="FI28" s="4">
        <v>797</v>
      </c>
      <c r="FJ28" s="59">
        <v>838</v>
      </c>
      <c r="FK28" s="58">
        <v>828</v>
      </c>
      <c r="FL28" s="3">
        <v>790</v>
      </c>
      <c r="FM28" s="28">
        <v>790</v>
      </c>
      <c r="FN28" s="2">
        <v>821</v>
      </c>
      <c r="FO28" s="2">
        <v>898</v>
      </c>
      <c r="FP28" s="3">
        <v>736</v>
      </c>
      <c r="FQ28" s="33">
        <v>856</v>
      </c>
      <c r="FR28" s="2">
        <v>791</v>
      </c>
      <c r="FS28" s="4">
        <v>846</v>
      </c>
      <c r="FT28" s="59">
        <v>1050</v>
      </c>
      <c r="FU28" s="58">
        <v>807</v>
      </c>
      <c r="FV28" s="2">
        <v>747</v>
      </c>
      <c r="FW28" s="2">
        <v>996</v>
      </c>
      <c r="FX28" s="3">
        <v>763</v>
      </c>
      <c r="FY28" s="28">
        <v>800</v>
      </c>
      <c r="FZ28" s="3">
        <v>747</v>
      </c>
      <c r="GA28" s="28">
        <v>996</v>
      </c>
      <c r="GB28" s="2">
        <v>844</v>
      </c>
      <c r="GC28" s="4">
        <v>902</v>
      </c>
      <c r="GD28" s="59">
        <v>889</v>
      </c>
      <c r="GE28" s="58">
        <v>940</v>
      </c>
      <c r="GF28" s="3">
        <v>996</v>
      </c>
      <c r="GG28" s="28">
        <v>944</v>
      </c>
      <c r="GH28" s="2">
        <v>987</v>
      </c>
      <c r="GI28" s="2">
        <v>900</v>
      </c>
      <c r="GJ28" s="3">
        <v>1090</v>
      </c>
      <c r="GK28" s="28">
        <v>937</v>
      </c>
      <c r="GL28" s="2">
        <v>1020</v>
      </c>
      <c r="GM28" s="4">
        <v>960</v>
      </c>
      <c r="GN28" s="59">
        <v>1050</v>
      </c>
      <c r="GO28" s="58">
        <v>1030</v>
      </c>
      <c r="GP28" s="3">
        <v>907</v>
      </c>
      <c r="GQ28" s="28">
        <v>1060</v>
      </c>
      <c r="GR28" s="2">
        <v>999</v>
      </c>
      <c r="GS28" s="2">
        <v>1030</v>
      </c>
      <c r="GT28" s="3">
        <v>916</v>
      </c>
      <c r="GU28" s="28">
        <v>1050</v>
      </c>
      <c r="GV28" s="2">
        <v>931</v>
      </c>
      <c r="GW28" s="4">
        <v>962</v>
      </c>
    </row>
    <row r="29" spans="1:1046" x14ac:dyDescent="0.2">
      <c r="A29" s="2"/>
      <c r="B29" s="205"/>
      <c r="C29" s="23">
        <v>2</v>
      </c>
      <c r="D29" s="212">
        <v>243</v>
      </c>
      <c r="E29" s="213">
        <v>1150</v>
      </c>
      <c r="F29" s="62">
        <v>242</v>
      </c>
      <c r="G29" s="2">
        <v>1130</v>
      </c>
      <c r="H29" s="3">
        <v>519</v>
      </c>
      <c r="I29" s="33">
        <v>997</v>
      </c>
      <c r="J29" s="3">
        <v>515</v>
      </c>
      <c r="K29" s="33">
        <v>868</v>
      </c>
      <c r="L29" s="2">
        <v>534</v>
      </c>
      <c r="M29" s="2">
        <v>781</v>
      </c>
      <c r="N29" s="3">
        <v>572</v>
      </c>
      <c r="O29" s="4">
        <v>778</v>
      </c>
      <c r="P29" s="2">
        <v>611</v>
      </c>
      <c r="Q29" s="28">
        <v>783</v>
      </c>
      <c r="R29" s="3">
        <v>553</v>
      </c>
      <c r="S29" s="28">
        <v>536</v>
      </c>
      <c r="T29" s="2">
        <v>610</v>
      </c>
      <c r="U29" s="2">
        <v>794</v>
      </c>
      <c r="V29" s="3">
        <v>581</v>
      </c>
      <c r="W29" s="28">
        <v>745</v>
      </c>
      <c r="X29" s="2">
        <v>579</v>
      </c>
      <c r="Y29" s="4">
        <v>743</v>
      </c>
      <c r="Z29" s="79">
        <v>627</v>
      </c>
      <c r="AA29" s="28">
        <v>796</v>
      </c>
      <c r="AB29" s="214"/>
      <c r="AC29" s="211"/>
      <c r="AD29" s="3">
        <v>579</v>
      </c>
      <c r="AE29" s="28">
        <v>850</v>
      </c>
      <c r="AF29" s="3">
        <v>586</v>
      </c>
      <c r="AG29" s="28">
        <v>1000</v>
      </c>
      <c r="AH29" s="3">
        <v>590</v>
      </c>
      <c r="AI29" s="4">
        <v>959</v>
      </c>
      <c r="AJ29" s="217">
        <v>611</v>
      </c>
      <c r="AK29" s="2">
        <v>818</v>
      </c>
      <c r="AL29" s="36">
        <v>587</v>
      </c>
      <c r="AM29" s="28">
        <v>750</v>
      </c>
      <c r="AN29" s="62">
        <v>603</v>
      </c>
      <c r="AO29" s="62">
        <v>751</v>
      </c>
      <c r="AP29" s="36">
        <v>595</v>
      </c>
      <c r="AQ29" s="33">
        <v>739</v>
      </c>
      <c r="AR29" s="2">
        <v>611</v>
      </c>
      <c r="AS29" s="4">
        <v>738</v>
      </c>
      <c r="AT29" s="79">
        <v>592</v>
      </c>
      <c r="AU29" s="28">
        <v>733</v>
      </c>
      <c r="AV29" s="2">
        <v>600</v>
      </c>
      <c r="AW29" s="28">
        <v>695</v>
      </c>
      <c r="AX29" s="3">
        <v>616</v>
      </c>
      <c r="AY29" s="2">
        <v>705</v>
      </c>
      <c r="AZ29" s="3">
        <v>604</v>
      </c>
      <c r="BA29" s="28">
        <v>689</v>
      </c>
      <c r="BB29" s="2">
        <v>617</v>
      </c>
      <c r="BC29" s="4">
        <v>699</v>
      </c>
      <c r="BD29" s="79">
        <v>648</v>
      </c>
      <c r="BE29" s="28">
        <v>682</v>
      </c>
      <c r="BF29" s="2">
        <v>640</v>
      </c>
      <c r="BG29" s="28">
        <v>686</v>
      </c>
      <c r="BH29" s="3">
        <v>654</v>
      </c>
      <c r="BI29" s="2">
        <v>688</v>
      </c>
      <c r="BJ29" s="3">
        <v>647</v>
      </c>
      <c r="BK29" s="28">
        <v>692</v>
      </c>
      <c r="BL29" s="2">
        <v>659</v>
      </c>
      <c r="BM29" s="4">
        <v>695</v>
      </c>
      <c r="BN29" s="79">
        <v>667</v>
      </c>
      <c r="BO29" s="28">
        <v>669</v>
      </c>
      <c r="BP29" s="210"/>
      <c r="BQ29" s="211"/>
      <c r="BR29" s="3">
        <v>844</v>
      </c>
      <c r="BS29" s="2">
        <v>841</v>
      </c>
      <c r="BT29" s="36">
        <v>866</v>
      </c>
      <c r="BU29" s="28">
        <v>987</v>
      </c>
      <c r="BV29" s="2">
        <v>864</v>
      </c>
      <c r="BW29" s="4">
        <v>994</v>
      </c>
      <c r="BX29" s="79">
        <v>876</v>
      </c>
      <c r="BY29" s="28">
        <v>994</v>
      </c>
      <c r="BZ29" s="3">
        <v>869</v>
      </c>
      <c r="CA29" s="28">
        <v>959</v>
      </c>
      <c r="CB29" s="3">
        <v>855</v>
      </c>
      <c r="CC29" s="2">
        <v>972</v>
      </c>
      <c r="CD29" s="3">
        <v>1120</v>
      </c>
      <c r="CE29" s="28">
        <v>950</v>
      </c>
      <c r="CF29" s="217">
        <v>1130</v>
      </c>
      <c r="CG29" s="4">
        <v>973</v>
      </c>
      <c r="CH29" s="272">
        <v>1200</v>
      </c>
      <c r="CI29" s="28">
        <v>1010</v>
      </c>
      <c r="CJ29" s="3">
        <v>1200</v>
      </c>
      <c r="CK29" s="28">
        <v>1160</v>
      </c>
      <c r="CL29" s="3">
        <v>1170</v>
      </c>
      <c r="CM29" s="2">
        <v>1130</v>
      </c>
      <c r="CN29" s="3">
        <v>1240</v>
      </c>
      <c r="CO29" s="28">
        <v>1170</v>
      </c>
      <c r="CP29" s="2">
        <v>648</v>
      </c>
      <c r="CQ29" s="4">
        <v>1180</v>
      </c>
      <c r="CR29" s="79">
        <v>670</v>
      </c>
      <c r="CS29" s="28">
        <v>1020</v>
      </c>
      <c r="CT29" s="3">
        <v>686</v>
      </c>
      <c r="CU29" s="28">
        <v>922</v>
      </c>
      <c r="CV29" s="3">
        <v>646</v>
      </c>
      <c r="CW29" s="2">
        <v>858</v>
      </c>
      <c r="CX29" s="3">
        <v>644</v>
      </c>
      <c r="CY29" s="28">
        <v>788</v>
      </c>
      <c r="CZ29" s="2">
        <v>527</v>
      </c>
      <c r="DA29" s="4">
        <v>712</v>
      </c>
      <c r="DB29" s="2">
        <v>770</v>
      </c>
      <c r="DC29" s="28">
        <v>636</v>
      </c>
      <c r="DD29" s="3">
        <v>676</v>
      </c>
      <c r="DE29" s="28">
        <v>999</v>
      </c>
      <c r="DF29" s="2">
        <v>996</v>
      </c>
      <c r="DG29" s="2">
        <v>686</v>
      </c>
      <c r="DH29" s="3">
        <v>796</v>
      </c>
      <c r="DI29" s="28">
        <v>1010</v>
      </c>
      <c r="DJ29" s="2">
        <v>1090</v>
      </c>
      <c r="DK29" s="4">
        <v>913</v>
      </c>
      <c r="DL29" s="2">
        <v>1040</v>
      </c>
      <c r="DM29" s="28">
        <v>921</v>
      </c>
      <c r="DN29" s="3">
        <v>1000</v>
      </c>
      <c r="DO29" s="77">
        <v>968</v>
      </c>
      <c r="DP29" s="2">
        <v>1080</v>
      </c>
      <c r="DQ29" s="2">
        <v>983</v>
      </c>
      <c r="DR29" s="3">
        <v>1010</v>
      </c>
      <c r="DS29" s="28">
        <v>1030</v>
      </c>
      <c r="DT29" s="2">
        <v>1030</v>
      </c>
      <c r="DU29" s="67">
        <v>1030</v>
      </c>
      <c r="DV29" s="2">
        <v>1080</v>
      </c>
      <c r="DW29" s="33">
        <v>1030</v>
      </c>
      <c r="DX29" s="3">
        <v>1050</v>
      </c>
      <c r="DY29" s="28">
        <v>1030</v>
      </c>
      <c r="DZ29" s="2">
        <v>1070</v>
      </c>
      <c r="EA29" s="2">
        <v>971</v>
      </c>
      <c r="EB29" s="3">
        <v>794</v>
      </c>
      <c r="EC29" s="28">
        <v>963</v>
      </c>
      <c r="ED29" s="2">
        <v>808</v>
      </c>
      <c r="EE29" s="4">
        <v>1020</v>
      </c>
      <c r="EF29" s="2">
        <v>791</v>
      </c>
      <c r="EG29" s="28">
        <v>907</v>
      </c>
      <c r="EH29" s="3">
        <v>931</v>
      </c>
      <c r="EI29" s="28">
        <v>876</v>
      </c>
      <c r="EJ29" s="2">
        <v>966</v>
      </c>
      <c r="EK29" s="2">
        <v>902</v>
      </c>
      <c r="EL29" s="3">
        <v>1060</v>
      </c>
      <c r="EM29" s="28">
        <v>901</v>
      </c>
      <c r="EN29" s="2">
        <v>1070</v>
      </c>
      <c r="EO29" s="4">
        <v>893</v>
      </c>
      <c r="EP29" s="62">
        <v>1010</v>
      </c>
      <c r="EQ29" s="74">
        <v>969</v>
      </c>
      <c r="ER29" s="82">
        <v>840</v>
      </c>
      <c r="ES29" s="74">
        <v>981</v>
      </c>
      <c r="ET29" s="217">
        <v>944</v>
      </c>
      <c r="EU29" s="2">
        <v>956</v>
      </c>
      <c r="EV29" s="3">
        <v>848</v>
      </c>
      <c r="EW29" s="28">
        <v>929</v>
      </c>
      <c r="EX29" s="2">
        <v>943</v>
      </c>
      <c r="EY29" s="67">
        <v>934</v>
      </c>
      <c r="EZ29" s="2">
        <v>1420</v>
      </c>
      <c r="FA29" s="28">
        <v>806</v>
      </c>
      <c r="FB29" s="36">
        <v>761</v>
      </c>
      <c r="FC29" s="2">
        <v>715</v>
      </c>
      <c r="FD29" s="3">
        <v>733</v>
      </c>
      <c r="FE29" s="28">
        <v>735</v>
      </c>
      <c r="FF29" s="2">
        <v>652</v>
      </c>
      <c r="FG29" s="28">
        <v>814</v>
      </c>
      <c r="FH29" s="2">
        <v>790</v>
      </c>
      <c r="FI29" s="4">
        <v>800</v>
      </c>
      <c r="FJ29" s="2">
        <v>840</v>
      </c>
      <c r="FK29" s="28">
        <v>831</v>
      </c>
      <c r="FL29" s="3">
        <v>792</v>
      </c>
      <c r="FM29" s="28">
        <v>791</v>
      </c>
      <c r="FN29" s="2">
        <v>816</v>
      </c>
      <c r="FO29" s="2">
        <v>898</v>
      </c>
      <c r="FP29" s="36">
        <v>717</v>
      </c>
      <c r="FQ29" s="33">
        <v>848</v>
      </c>
      <c r="FR29" s="2">
        <v>793</v>
      </c>
      <c r="FS29" s="4">
        <v>846</v>
      </c>
      <c r="FT29" s="2">
        <v>1060</v>
      </c>
      <c r="FU29" s="28">
        <v>810</v>
      </c>
      <c r="FV29" s="2">
        <v>749</v>
      </c>
      <c r="FW29" s="2">
        <v>998</v>
      </c>
      <c r="FX29" s="3">
        <v>767</v>
      </c>
      <c r="FY29" s="28">
        <v>805</v>
      </c>
      <c r="FZ29" s="3">
        <v>749</v>
      </c>
      <c r="GA29" s="28">
        <v>998</v>
      </c>
      <c r="GB29" s="2">
        <v>847</v>
      </c>
      <c r="GC29" s="4">
        <v>903</v>
      </c>
      <c r="GD29" s="217">
        <v>902</v>
      </c>
      <c r="GE29" s="28">
        <v>942</v>
      </c>
      <c r="GF29" s="3">
        <v>999</v>
      </c>
      <c r="GG29" s="28">
        <v>937</v>
      </c>
      <c r="GH29" s="2">
        <v>985</v>
      </c>
      <c r="GI29" s="2">
        <v>901</v>
      </c>
      <c r="GJ29" s="3">
        <v>1080</v>
      </c>
      <c r="GK29" s="28">
        <v>936</v>
      </c>
      <c r="GL29" s="217">
        <v>1040</v>
      </c>
      <c r="GM29" s="4">
        <v>963</v>
      </c>
      <c r="GN29" s="2">
        <v>1050</v>
      </c>
      <c r="GO29" s="28">
        <v>1030</v>
      </c>
      <c r="GP29" s="3">
        <v>910</v>
      </c>
      <c r="GQ29" s="28">
        <v>1060</v>
      </c>
      <c r="GR29" s="2">
        <v>1000</v>
      </c>
      <c r="GS29" s="2">
        <v>1040</v>
      </c>
      <c r="GT29" s="3">
        <v>923</v>
      </c>
      <c r="GU29" s="28">
        <v>1040</v>
      </c>
      <c r="GV29" s="2">
        <v>929</v>
      </c>
      <c r="GW29" s="4">
        <v>966</v>
      </c>
    </row>
    <row r="30" spans="1:1046" x14ac:dyDescent="0.2">
      <c r="A30" s="2"/>
      <c r="B30" s="205"/>
      <c r="C30" s="23">
        <v>3</v>
      </c>
      <c r="D30" s="212">
        <v>244</v>
      </c>
      <c r="E30" s="213">
        <v>1130</v>
      </c>
      <c r="F30" s="62">
        <v>243</v>
      </c>
      <c r="G30" s="2">
        <v>1140</v>
      </c>
      <c r="H30" s="3">
        <v>519</v>
      </c>
      <c r="I30" s="33">
        <v>1000</v>
      </c>
      <c r="J30" s="3">
        <v>508</v>
      </c>
      <c r="K30" s="33">
        <v>875</v>
      </c>
      <c r="L30" s="2">
        <v>542</v>
      </c>
      <c r="M30" s="2">
        <v>783</v>
      </c>
      <c r="N30" s="3">
        <v>577</v>
      </c>
      <c r="O30" s="4">
        <v>768</v>
      </c>
      <c r="P30" s="2">
        <v>615</v>
      </c>
      <c r="Q30" s="28">
        <v>780</v>
      </c>
      <c r="R30" s="3">
        <v>558</v>
      </c>
      <c r="S30" s="28">
        <v>528</v>
      </c>
      <c r="T30" s="2">
        <v>600</v>
      </c>
      <c r="U30" s="2">
        <v>788</v>
      </c>
      <c r="V30" s="3">
        <v>579</v>
      </c>
      <c r="W30" s="28">
        <v>738</v>
      </c>
      <c r="X30" s="2">
        <v>579</v>
      </c>
      <c r="Y30" s="4">
        <v>739</v>
      </c>
      <c r="Z30" s="79">
        <v>623</v>
      </c>
      <c r="AA30" s="28">
        <v>797</v>
      </c>
      <c r="AB30" s="214"/>
      <c r="AC30" s="211"/>
      <c r="AD30" s="3">
        <v>574</v>
      </c>
      <c r="AE30" s="28">
        <v>855</v>
      </c>
      <c r="AF30" s="3">
        <v>587</v>
      </c>
      <c r="AG30" s="28">
        <v>1000</v>
      </c>
      <c r="AH30" s="3">
        <v>586</v>
      </c>
      <c r="AI30" s="4">
        <v>953</v>
      </c>
      <c r="AJ30" s="217">
        <v>609</v>
      </c>
      <c r="AK30" s="2">
        <v>818</v>
      </c>
      <c r="AL30" s="36">
        <v>586</v>
      </c>
      <c r="AM30" s="28">
        <v>745</v>
      </c>
      <c r="AN30" s="62">
        <v>601</v>
      </c>
      <c r="AO30" s="62">
        <v>746</v>
      </c>
      <c r="AP30" s="3">
        <v>581</v>
      </c>
      <c r="AQ30" s="28">
        <v>728</v>
      </c>
      <c r="AR30" s="2">
        <v>611</v>
      </c>
      <c r="AS30" s="4">
        <v>749</v>
      </c>
      <c r="AT30" s="79">
        <v>590</v>
      </c>
      <c r="AU30" s="28">
        <v>734</v>
      </c>
      <c r="AV30" s="2">
        <v>602</v>
      </c>
      <c r="AW30" s="28">
        <v>697</v>
      </c>
      <c r="AX30" s="3">
        <v>610</v>
      </c>
      <c r="AY30" s="2">
        <v>693</v>
      </c>
      <c r="AZ30" s="3"/>
      <c r="BA30" s="28">
        <v>693</v>
      </c>
      <c r="BB30" s="2">
        <v>615</v>
      </c>
      <c r="BC30" s="4">
        <v>701</v>
      </c>
      <c r="BD30" s="79">
        <v>652</v>
      </c>
      <c r="BE30" s="28">
        <v>682</v>
      </c>
      <c r="BF30" s="2">
        <v>637</v>
      </c>
      <c r="BG30" s="28">
        <v>697</v>
      </c>
      <c r="BH30" s="3">
        <v>656</v>
      </c>
      <c r="BI30" s="2">
        <v>686</v>
      </c>
      <c r="BJ30" s="3">
        <v>648</v>
      </c>
      <c r="BK30" s="28">
        <v>700</v>
      </c>
      <c r="BL30" s="2">
        <v>659</v>
      </c>
      <c r="BM30" s="4">
        <v>695</v>
      </c>
      <c r="BN30" s="79">
        <v>666</v>
      </c>
      <c r="BO30" s="28">
        <v>675</v>
      </c>
      <c r="BP30" s="210"/>
      <c r="BQ30" s="211"/>
      <c r="BR30" s="3">
        <v>849</v>
      </c>
      <c r="BS30" s="2">
        <v>837</v>
      </c>
      <c r="BT30" s="3">
        <v>844</v>
      </c>
      <c r="BU30" s="28">
        <v>983</v>
      </c>
      <c r="BV30" s="2">
        <v>858</v>
      </c>
      <c r="BW30" s="4">
        <v>992</v>
      </c>
      <c r="BX30" s="79">
        <v>874</v>
      </c>
      <c r="BY30" s="28">
        <v>998</v>
      </c>
      <c r="BZ30" s="3">
        <v>872</v>
      </c>
      <c r="CA30" s="28">
        <v>960</v>
      </c>
      <c r="CB30" s="3">
        <v>844</v>
      </c>
      <c r="CC30" s="2">
        <v>967</v>
      </c>
      <c r="CD30" s="3">
        <v>1110</v>
      </c>
      <c r="CE30" s="28">
        <v>945</v>
      </c>
      <c r="CF30" s="2">
        <v>1110</v>
      </c>
      <c r="CG30" s="4">
        <v>975</v>
      </c>
      <c r="CH30" s="272">
        <v>1200</v>
      </c>
      <c r="CI30" s="28">
        <v>1020</v>
      </c>
      <c r="CJ30" s="3">
        <v>1200</v>
      </c>
      <c r="CK30" s="28">
        <v>1160</v>
      </c>
      <c r="CL30" s="3">
        <v>1160</v>
      </c>
      <c r="CM30" s="2">
        <v>1210</v>
      </c>
      <c r="CN30" s="3">
        <v>1240</v>
      </c>
      <c r="CO30" s="28">
        <v>1170</v>
      </c>
      <c r="CP30" s="2">
        <v>652</v>
      </c>
      <c r="CQ30" s="4">
        <v>1190</v>
      </c>
      <c r="CR30" s="79">
        <v>671</v>
      </c>
      <c r="CS30" s="28">
        <v>1020</v>
      </c>
      <c r="CT30" s="3">
        <v>687</v>
      </c>
      <c r="CU30" s="28">
        <v>921</v>
      </c>
      <c r="CV30" s="3">
        <v>639</v>
      </c>
      <c r="CW30" s="2">
        <v>858</v>
      </c>
      <c r="CX30" s="3">
        <v>646</v>
      </c>
      <c r="CY30" s="28">
        <v>779</v>
      </c>
      <c r="CZ30" s="2">
        <v>531</v>
      </c>
      <c r="DA30" s="4">
        <v>712</v>
      </c>
      <c r="DB30" s="2">
        <v>772</v>
      </c>
      <c r="DC30" s="28">
        <v>635</v>
      </c>
      <c r="DD30" s="3">
        <v>671</v>
      </c>
      <c r="DE30" s="28">
        <v>999</v>
      </c>
      <c r="DF30" s="2">
        <v>999</v>
      </c>
      <c r="DG30" s="2">
        <v>686</v>
      </c>
      <c r="DH30" s="3">
        <v>793</v>
      </c>
      <c r="DI30" s="28">
        <v>1010</v>
      </c>
      <c r="DJ30" s="2">
        <v>1100</v>
      </c>
      <c r="DK30" s="4">
        <v>912</v>
      </c>
      <c r="DL30" s="2">
        <v>1040</v>
      </c>
      <c r="DM30" s="28">
        <v>916</v>
      </c>
      <c r="DN30" s="3">
        <v>994</v>
      </c>
      <c r="DO30" s="77">
        <v>954</v>
      </c>
      <c r="DP30" s="2">
        <v>1080</v>
      </c>
      <c r="DQ30" s="2">
        <v>981</v>
      </c>
      <c r="DR30" s="3">
        <v>1010</v>
      </c>
      <c r="DS30" s="28">
        <v>1020</v>
      </c>
      <c r="DT30" s="2">
        <v>1020</v>
      </c>
      <c r="DU30" s="67">
        <v>1030</v>
      </c>
      <c r="DV30" s="2">
        <v>1070</v>
      </c>
      <c r="DW30" s="33">
        <v>1040</v>
      </c>
      <c r="DX30" s="3">
        <v>1050</v>
      </c>
      <c r="DY30" s="28">
        <v>1030</v>
      </c>
      <c r="DZ30" s="2">
        <v>1060</v>
      </c>
      <c r="EA30" s="2">
        <v>963</v>
      </c>
      <c r="EB30" s="3">
        <v>787</v>
      </c>
      <c r="EC30" s="28">
        <v>969</v>
      </c>
      <c r="ED30" s="2">
        <v>813</v>
      </c>
      <c r="EE30" s="4">
        <v>1030</v>
      </c>
      <c r="EF30" s="2">
        <v>795</v>
      </c>
      <c r="EG30" s="28">
        <v>901</v>
      </c>
      <c r="EH30" s="3">
        <v>935</v>
      </c>
      <c r="EI30" s="28">
        <v>888</v>
      </c>
      <c r="EJ30" s="2">
        <v>965</v>
      </c>
      <c r="EK30" s="2">
        <v>897</v>
      </c>
      <c r="EL30" s="3">
        <v>1060</v>
      </c>
      <c r="EM30" s="28">
        <v>900</v>
      </c>
      <c r="EN30" s="2">
        <v>1070</v>
      </c>
      <c r="EO30" s="4">
        <v>891</v>
      </c>
      <c r="EP30" s="62">
        <v>1000</v>
      </c>
      <c r="EQ30" s="74">
        <v>957</v>
      </c>
      <c r="ER30" s="82">
        <v>839</v>
      </c>
      <c r="ES30" s="74">
        <v>979</v>
      </c>
      <c r="ET30" s="217">
        <v>946</v>
      </c>
      <c r="EU30" s="2">
        <v>964</v>
      </c>
      <c r="EV30" s="3">
        <v>850</v>
      </c>
      <c r="EW30" s="28">
        <v>931</v>
      </c>
      <c r="EX30" s="2">
        <v>930</v>
      </c>
      <c r="EY30" s="67">
        <v>943</v>
      </c>
      <c r="EZ30" s="2">
        <v>1410</v>
      </c>
      <c r="FA30" s="28">
        <v>804</v>
      </c>
      <c r="FB30" s="36">
        <v>763</v>
      </c>
      <c r="FC30" s="2">
        <v>706</v>
      </c>
      <c r="FD30" s="3">
        <v>731</v>
      </c>
      <c r="FE30" s="28">
        <v>740</v>
      </c>
      <c r="FF30" s="217">
        <v>626</v>
      </c>
      <c r="FG30" s="28">
        <v>816</v>
      </c>
      <c r="FH30" s="2">
        <v>789</v>
      </c>
      <c r="FI30" s="4">
        <v>796</v>
      </c>
      <c r="FJ30" s="2">
        <v>840</v>
      </c>
      <c r="FK30" s="28">
        <v>833</v>
      </c>
      <c r="FL30" s="3">
        <v>793</v>
      </c>
      <c r="FM30" s="28">
        <v>791</v>
      </c>
      <c r="FN30" s="2">
        <v>822</v>
      </c>
      <c r="FO30" s="2">
        <v>898</v>
      </c>
      <c r="FP30" s="36">
        <v>712</v>
      </c>
      <c r="FQ30" s="28">
        <v>830</v>
      </c>
      <c r="FR30" s="2">
        <v>794</v>
      </c>
      <c r="FS30" s="4">
        <v>841</v>
      </c>
      <c r="FT30" s="2">
        <v>1060</v>
      </c>
      <c r="FU30" s="28">
        <v>810</v>
      </c>
      <c r="FV30" s="2">
        <v>747</v>
      </c>
      <c r="FW30" s="2">
        <v>993</v>
      </c>
      <c r="FX30" s="3">
        <v>759</v>
      </c>
      <c r="FY30" s="28">
        <v>805</v>
      </c>
      <c r="FZ30" s="3">
        <v>747</v>
      </c>
      <c r="GA30" s="28">
        <v>993</v>
      </c>
      <c r="GB30" s="2">
        <v>847</v>
      </c>
      <c r="GC30" s="4">
        <v>903</v>
      </c>
      <c r="GD30" s="217">
        <v>911</v>
      </c>
      <c r="GE30" s="28">
        <v>942</v>
      </c>
      <c r="GF30" s="3">
        <v>993</v>
      </c>
      <c r="GG30" s="28">
        <v>937</v>
      </c>
      <c r="GH30" s="2">
        <v>992</v>
      </c>
      <c r="GI30" s="2">
        <v>902</v>
      </c>
      <c r="GJ30" s="3">
        <v>1080</v>
      </c>
      <c r="GK30" s="28">
        <v>936</v>
      </c>
      <c r="GL30" s="217">
        <v>1050</v>
      </c>
      <c r="GM30" s="4">
        <v>966</v>
      </c>
      <c r="GN30" s="2">
        <v>1050</v>
      </c>
      <c r="GO30" s="28">
        <v>1030</v>
      </c>
      <c r="GP30" s="3">
        <v>912</v>
      </c>
      <c r="GQ30" s="28">
        <v>1070</v>
      </c>
      <c r="GR30" s="2">
        <v>1000</v>
      </c>
      <c r="GS30" s="2">
        <v>1040</v>
      </c>
      <c r="GT30" s="3">
        <v>927</v>
      </c>
      <c r="GU30" s="28">
        <v>1040</v>
      </c>
      <c r="GV30" s="2">
        <v>928</v>
      </c>
      <c r="GW30" s="4">
        <v>982</v>
      </c>
    </row>
    <row r="31" spans="1:1046" s="234" customFormat="1" ht="15" x14ac:dyDescent="0.2">
      <c r="A31" s="2"/>
      <c r="B31" s="78"/>
      <c r="C31" s="220" t="s">
        <v>87</v>
      </c>
      <c r="D31" s="245">
        <f>AVERAGE(D29,D30)</f>
        <v>243.5</v>
      </c>
      <c r="E31" s="246">
        <f>AVERAGE(E28,E29,E30)</f>
        <v>1150</v>
      </c>
      <c r="F31" s="253">
        <f>AVERAGE(F28,F29,F30)</f>
        <v>244.66666666666666</v>
      </c>
      <c r="G31" s="228">
        <f t="shared" ref="G31:BR31" si="55">AVERAGE(G28,G29,G30)</f>
        <v>1130</v>
      </c>
      <c r="H31" s="248">
        <f t="shared" si="55"/>
        <v>521.66666666666663</v>
      </c>
      <c r="I31" s="251">
        <f>AVERAGE(I29,I30)</f>
        <v>998.5</v>
      </c>
      <c r="J31" s="248">
        <f t="shared" si="55"/>
        <v>512.66666666666663</v>
      </c>
      <c r="K31" s="251">
        <f>AVERAGE(K29,K30)</f>
        <v>871.5</v>
      </c>
      <c r="L31" s="253">
        <f t="shared" si="55"/>
        <v>536.66666666666663</v>
      </c>
      <c r="M31" s="253">
        <f t="shared" si="55"/>
        <v>781.66666666666663</v>
      </c>
      <c r="N31" s="224">
        <f t="shared" si="55"/>
        <v>572</v>
      </c>
      <c r="O31" s="257">
        <f t="shared" si="55"/>
        <v>772.66666666666663</v>
      </c>
      <c r="P31" s="253">
        <f t="shared" si="55"/>
        <v>612.33333333333337</v>
      </c>
      <c r="Q31" s="231">
        <f t="shared" si="55"/>
        <v>781</v>
      </c>
      <c r="R31" s="248">
        <f t="shared" si="55"/>
        <v>557.33333333333337</v>
      </c>
      <c r="S31" s="231">
        <f t="shared" si="55"/>
        <v>529</v>
      </c>
      <c r="T31" s="228">
        <f t="shared" si="55"/>
        <v>607</v>
      </c>
      <c r="U31" s="253">
        <f t="shared" si="55"/>
        <v>791.33333333333337</v>
      </c>
      <c r="V31" s="224">
        <f t="shared" si="55"/>
        <v>579</v>
      </c>
      <c r="W31" s="255">
        <f t="shared" si="55"/>
        <v>741.66666666666663</v>
      </c>
      <c r="X31" s="228">
        <f t="shared" si="55"/>
        <v>580</v>
      </c>
      <c r="Y31" s="257">
        <f t="shared" si="55"/>
        <v>740.66666666666663</v>
      </c>
      <c r="Z31" s="253">
        <f t="shared" si="55"/>
        <v>623.66666666666663</v>
      </c>
      <c r="AA31" s="231">
        <f t="shared" si="55"/>
        <v>799</v>
      </c>
      <c r="AB31" s="224"/>
      <c r="AC31" s="231"/>
      <c r="AD31" s="224">
        <f t="shared" si="55"/>
        <v>578</v>
      </c>
      <c r="AE31" s="255">
        <f t="shared" si="55"/>
        <v>851.66666666666663</v>
      </c>
      <c r="AF31" s="224">
        <f t="shared" si="55"/>
        <v>588</v>
      </c>
      <c r="AG31" s="255">
        <f t="shared" si="55"/>
        <v>1003.3333333333334</v>
      </c>
      <c r="AH31" s="253">
        <f t="shared" si="55"/>
        <v>587.66666666666663</v>
      </c>
      <c r="AI31" s="233">
        <f t="shared" si="55"/>
        <v>958</v>
      </c>
      <c r="AJ31" s="252">
        <f>AVERAGE(AJ29,AJ30)</f>
        <v>610</v>
      </c>
      <c r="AK31" s="253">
        <f t="shared" si="55"/>
        <v>814.66666666666663</v>
      </c>
      <c r="AL31" s="250">
        <f>AVERAGE(AL29,AL30)</f>
        <v>586.5</v>
      </c>
      <c r="AM31" s="255">
        <f t="shared" si="55"/>
        <v>748.33333333333337</v>
      </c>
      <c r="AN31" s="253">
        <f t="shared" si="55"/>
        <v>602.66666666666663</v>
      </c>
      <c r="AO31" s="253">
        <f t="shared" si="55"/>
        <v>749.33333333333337</v>
      </c>
      <c r="AP31" s="256">
        <f t="shared" si="55"/>
        <v>591</v>
      </c>
      <c r="AQ31" s="251">
        <f t="shared" si="55"/>
        <v>736</v>
      </c>
      <c r="AR31" s="228">
        <f t="shared" si="55"/>
        <v>611</v>
      </c>
      <c r="AS31" s="233">
        <f t="shared" si="55"/>
        <v>744</v>
      </c>
      <c r="AT31" s="273">
        <f t="shared" si="55"/>
        <v>590.66666666666663</v>
      </c>
      <c r="AU31" s="231">
        <f t="shared" si="55"/>
        <v>729</v>
      </c>
      <c r="AV31" s="253">
        <f t="shared" si="55"/>
        <v>601.33333333333337</v>
      </c>
      <c r="AW31" s="255">
        <f t="shared" si="55"/>
        <v>697.33333333333337</v>
      </c>
      <c r="AX31" s="248">
        <f t="shared" si="55"/>
        <v>615.66666666666663</v>
      </c>
      <c r="AY31" s="253">
        <f t="shared" si="55"/>
        <v>697.66666666666663</v>
      </c>
      <c r="AZ31" s="224">
        <f t="shared" si="55"/>
        <v>604</v>
      </c>
      <c r="BA31" s="255">
        <f t="shared" si="55"/>
        <v>692.66666666666663</v>
      </c>
      <c r="BB31" s="228">
        <f t="shared" si="55"/>
        <v>617</v>
      </c>
      <c r="BC31" s="257">
        <f t="shared" si="55"/>
        <v>700.33333333333337</v>
      </c>
      <c r="BD31" s="274">
        <f t="shared" si="55"/>
        <v>650</v>
      </c>
      <c r="BE31" s="255">
        <f t="shared" si="55"/>
        <v>682.33333333333337</v>
      </c>
      <c r="BF31" s="253">
        <f t="shared" si="55"/>
        <v>638</v>
      </c>
      <c r="BG31" s="255">
        <f t="shared" si="55"/>
        <v>690.33333333333337</v>
      </c>
      <c r="BH31" s="224">
        <f t="shared" si="55"/>
        <v>656</v>
      </c>
      <c r="BI31" s="228">
        <f t="shared" si="55"/>
        <v>687</v>
      </c>
      <c r="BJ31" s="248">
        <f t="shared" si="55"/>
        <v>648.33333333333337</v>
      </c>
      <c r="BK31" s="255">
        <f t="shared" si="55"/>
        <v>695.33333333333337</v>
      </c>
      <c r="BL31" s="253">
        <f t="shared" si="55"/>
        <v>658.66666666666663</v>
      </c>
      <c r="BM31" s="257">
        <f t="shared" si="55"/>
        <v>698</v>
      </c>
      <c r="BN31" s="273">
        <f t="shared" si="55"/>
        <v>665.33333333333337</v>
      </c>
      <c r="BO31" s="255">
        <f t="shared" si="55"/>
        <v>673.33333333333337</v>
      </c>
      <c r="BP31" s="253"/>
      <c r="BQ31" s="255"/>
      <c r="BR31" s="224">
        <f t="shared" si="55"/>
        <v>847</v>
      </c>
      <c r="BS31" s="253">
        <f t="shared" ref="BS31:BW31" si="56">AVERAGE(BS28,BS29,BS30)</f>
        <v>839.66666666666663</v>
      </c>
      <c r="BT31" s="250">
        <f>AVERAGE(BT28,BT29)</f>
        <v>864</v>
      </c>
      <c r="BU31" s="255">
        <f t="shared" si="56"/>
        <v>985.33333333333337</v>
      </c>
      <c r="BV31" s="253">
        <f t="shared" si="56"/>
        <v>861.33333333333337</v>
      </c>
      <c r="BW31" s="257">
        <f t="shared" si="56"/>
        <v>992</v>
      </c>
      <c r="BX31" s="273">
        <f>AVERAGE(BX28,BX29,BX30)</f>
        <v>878.33333333333337</v>
      </c>
      <c r="BY31" s="255">
        <f>AVERAGE(BY28,BY29,BY30)</f>
        <v>996.66666666666663</v>
      </c>
      <c r="BZ31" s="248">
        <f>AVERAGE(BZ28,BZ29,BZ30)</f>
        <v>870.33333333333337</v>
      </c>
      <c r="CA31" s="255">
        <f>AVERAGE(CA28,CA29,CA30)</f>
        <v>959</v>
      </c>
      <c r="CB31" s="248">
        <f t="shared" ref="CB31:DT31" si="57">AVERAGE(CB28,CB29,CB30)</f>
        <v>853.66666666666663</v>
      </c>
      <c r="CC31" s="228">
        <f t="shared" si="57"/>
        <v>974</v>
      </c>
      <c r="CD31" s="248">
        <f t="shared" si="57"/>
        <v>1116.6666666666667</v>
      </c>
      <c r="CE31" s="255">
        <f t="shared" si="57"/>
        <v>948.33333333333337</v>
      </c>
      <c r="CF31" s="247">
        <f>AVERAGE(CF28,CF29)</f>
        <v>1130</v>
      </c>
      <c r="CG31" s="257">
        <f t="shared" si="57"/>
        <v>978.33333333333337</v>
      </c>
      <c r="CH31" s="275">
        <f>AVERAGE(CH29,CH30)</f>
        <v>1200</v>
      </c>
      <c r="CI31" s="255">
        <f t="shared" si="57"/>
        <v>1013.3333333333334</v>
      </c>
      <c r="CJ31" s="248">
        <f t="shared" si="57"/>
        <v>1200</v>
      </c>
      <c r="CK31" s="255">
        <f t="shared" si="57"/>
        <v>1160</v>
      </c>
      <c r="CL31" s="248">
        <f t="shared" si="57"/>
        <v>1166.6666666666667</v>
      </c>
      <c r="CM31" s="228">
        <f>AVERAGE(CM28,CM29)</f>
        <v>1135</v>
      </c>
      <c r="CN31" s="248">
        <f t="shared" si="57"/>
        <v>1240</v>
      </c>
      <c r="CO31" s="255">
        <f t="shared" si="57"/>
        <v>1170</v>
      </c>
      <c r="CP31" s="253">
        <f t="shared" si="57"/>
        <v>648</v>
      </c>
      <c r="CQ31" s="257">
        <f t="shared" si="57"/>
        <v>1186.6666666666667</v>
      </c>
      <c r="CR31" s="273">
        <f t="shared" si="57"/>
        <v>669.66666666666663</v>
      </c>
      <c r="CS31" s="255">
        <f t="shared" si="57"/>
        <v>1020</v>
      </c>
      <c r="CT31" s="248">
        <f t="shared" si="57"/>
        <v>686.66666666666663</v>
      </c>
      <c r="CU31" s="255">
        <f t="shared" si="57"/>
        <v>921.66666666666663</v>
      </c>
      <c r="CV31" s="248">
        <f t="shared" si="57"/>
        <v>643.66666666666663</v>
      </c>
      <c r="CW31" s="253">
        <f t="shared" si="57"/>
        <v>858.66666666666663</v>
      </c>
      <c r="CX31" s="248">
        <f t="shared" si="57"/>
        <v>645</v>
      </c>
      <c r="CY31" s="255">
        <f t="shared" si="57"/>
        <v>784.66666666666663</v>
      </c>
      <c r="CZ31" s="253">
        <f t="shared" si="57"/>
        <v>529</v>
      </c>
      <c r="DA31" s="257">
        <f t="shared" si="57"/>
        <v>713.66666666666663</v>
      </c>
      <c r="DB31" s="253">
        <f t="shared" si="57"/>
        <v>770</v>
      </c>
      <c r="DC31" s="255">
        <f t="shared" si="57"/>
        <v>635.33333333333337</v>
      </c>
      <c r="DD31" s="248">
        <f t="shared" si="57"/>
        <v>674.33333333333337</v>
      </c>
      <c r="DE31" s="255">
        <f t="shared" si="57"/>
        <v>997.33333333333337</v>
      </c>
      <c r="DF31" s="253">
        <f t="shared" si="57"/>
        <v>995.66666666666663</v>
      </c>
      <c r="DG31" s="253">
        <f t="shared" si="57"/>
        <v>685.33333333333337</v>
      </c>
      <c r="DH31" s="248">
        <f t="shared" si="57"/>
        <v>795.66666666666663</v>
      </c>
      <c r="DI31" s="255">
        <f t="shared" si="57"/>
        <v>1010</v>
      </c>
      <c r="DJ31" s="253">
        <f t="shared" si="57"/>
        <v>1093.3333333333333</v>
      </c>
      <c r="DK31" s="257">
        <f t="shared" si="57"/>
        <v>913.66666666666663</v>
      </c>
      <c r="DL31" s="253">
        <f t="shared" si="57"/>
        <v>1036.6666666666667</v>
      </c>
      <c r="DM31" s="231">
        <f t="shared" si="57"/>
        <v>918</v>
      </c>
      <c r="DN31" s="248">
        <f t="shared" si="57"/>
        <v>1001.3333333333334</v>
      </c>
      <c r="DO31" s="249">
        <f>AVERAGE(DO29,DO30)</f>
        <v>961</v>
      </c>
      <c r="DP31" s="228">
        <f t="shared" si="57"/>
        <v>1080</v>
      </c>
      <c r="DQ31" s="253">
        <f t="shared" si="57"/>
        <v>982</v>
      </c>
      <c r="DR31" s="248">
        <f t="shared" si="57"/>
        <v>1006.6666666666666</v>
      </c>
      <c r="DS31" s="255">
        <f t="shared" si="57"/>
        <v>1020</v>
      </c>
      <c r="DT31" s="253">
        <f t="shared" si="57"/>
        <v>1023.3333333333334</v>
      </c>
      <c r="DU31" s="254">
        <f>AVERAGE(DU29,DU30)</f>
        <v>1030</v>
      </c>
      <c r="DV31" s="253">
        <f t="shared" ref="DV31:EX31" si="58">AVERAGE(DV28,DV29,DV30)</f>
        <v>1073.3333333333333</v>
      </c>
      <c r="DW31" s="249">
        <f>AVERAGE(DW29,DW30)</f>
        <v>1035</v>
      </c>
      <c r="DX31" s="248">
        <f t="shared" si="58"/>
        <v>1046.6666666666667</v>
      </c>
      <c r="DY31" s="255">
        <f t="shared" si="58"/>
        <v>1026.6666666666667</v>
      </c>
      <c r="DZ31" s="228">
        <f t="shared" si="58"/>
        <v>1060</v>
      </c>
      <c r="EA31" s="253">
        <f t="shared" si="58"/>
        <v>966.33333333333337</v>
      </c>
      <c r="EB31" s="248">
        <f t="shared" si="58"/>
        <v>790.66666666666663</v>
      </c>
      <c r="EC31" s="255">
        <f t="shared" si="58"/>
        <v>964.33333333333337</v>
      </c>
      <c r="ED31" s="253">
        <f t="shared" si="58"/>
        <v>806.66666666666663</v>
      </c>
      <c r="EE31" s="257">
        <f t="shared" si="58"/>
        <v>1023.3333333333334</v>
      </c>
      <c r="EF31" s="253">
        <f t="shared" si="58"/>
        <v>794.33333333333337</v>
      </c>
      <c r="EG31" s="255">
        <f t="shared" si="58"/>
        <v>905.66666666666663</v>
      </c>
      <c r="EH31" s="248">
        <f t="shared" si="58"/>
        <v>929.33333333333337</v>
      </c>
      <c r="EI31" s="231">
        <f t="shared" si="58"/>
        <v>881</v>
      </c>
      <c r="EJ31" s="253">
        <f t="shared" si="58"/>
        <v>965.66666666666663</v>
      </c>
      <c r="EK31" s="253">
        <f t="shared" si="58"/>
        <v>901.66666666666663</v>
      </c>
      <c r="EL31" s="224">
        <f t="shared" si="58"/>
        <v>1060</v>
      </c>
      <c r="EM31" s="255">
        <f t="shared" si="58"/>
        <v>901</v>
      </c>
      <c r="EN31" s="253">
        <f t="shared" si="58"/>
        <v>1066.6666666666667</v>
      </c>
      <c r="EO31" s="257">
        <f t="shared" si="58"/>
        <v>892</v>
      </c>
      <c r="EP31" s="253">
        <f t="shared" si="58"/>
        <v>1006.6666666666666</v>
      </c>
      <c r="EQ31" s="255">
        <f t="shared" si="58"/>
        <v>964</v>
      </c>
      <c r="ER31" s="248">
        <f t="shared" si="58"/>
        <v>840</v>
      </c>
      <c r="ES31" s="255">
        <f t="shared" si="58"/>
        <v>980.33333333333337</v>
      </c>
      <c r="ET31" s="247">
        <f>AVERAGE(ET29,ET30)</f>
        <v>945</v>
      </c>
      <c r="EU31" s="253">
        <f t="shared" si="58"/>
        <v>960</v>
      </c>
      <c r="EV31" s="224">
        <f t="shared" si="58"/>
        <v>848</v>
      </c>
      <c r="EW31" s="255">
        <f t="shared" si="58"/>
        <v>929.66666666666663</v>
      </c>
      <c r="EX31" s="253">
        <f t="shared" si="58"/>
        <v>939.66666666666663</v>
      </c>
      <c r="EY31" s="254">
        <f>AVERAGE(EY29,EY30)</f>
        <v>938.5</v>
      </c>
      <c r="EZ31" s="253">
        <f t="shared" ref="EZ31:FS31" si="59">AVERAGE(EZ28,EZ29,EZ30)</f>
        <v>1413.3333333333333</v>
      </c>
      <c r="FA31" s="255">
        <f t="shared" si="59"/>
        <v>806</v>
      </c>
      <c r="FB31" s="250">
        <f>AVERAGE(FB29,FB30)</f>
        <v>762</v>
      </c>
      <c r="FC31" s="253">
        <f>AVERAGE(FC29,FC30)</f>
        <v>710.5</v>
      </c>
      <c r="FD31" s="248">
        <f t="shared" si="59"/>
        <v>730.66666666666663</v>
      </c>
      <c r="FE31" s="255">
        <f t="shared" si="59"/>
        <v>738.66666666666663</v>
      </c>
      <c r="FF31" s="247">
        <f>AVERAGE(FF28,FF30)</f>
        <v>618</v>
      </c>
      <c r="FG31" s="255">
        <f t="shared" si="59"/>
        <v>815.66666666666663</v>
      </c>
      <c r="FH31" s="228">
        <f t="shared" si="59"/>
        <v>790</v>
      </c>
      <c r="FI31" s="257">
        <f t="shared" si="59"/>
        <v>797.66666666666663</v>
      </c>
      <c r="FJ31" s="253">
        <f t="shared" si="59"/>
        <v>839.33333333333337</v>
      </c>
      <c r="FK31" s="255">
        <f t="shared" si="59"/>
        <v>830.66666666666663</v>
      </c>
      <c r="FL31" s="248">
        <f t="shared" si="59"/>
        <v>791.66666666666663</v>
      </c>
      <c r="FM31" s="255">
        <f t="shared" si="59"/>
        <v>790.66666666666663</v>
      </c>
      <c r="FN31" s="253">
        <f t="shared" si="59"/>
        <v>819.66666666666663</v>
      </c>
      <c r="FO31" s="253">
        <f t="shared" si="59"/>
        <v>898</v>
      </c>
      <c r="FP31" s="250">
        <f>AVERAGE(FP29,FP30)</f>
        <v>714.5</v>
      </c>
      <c r="FQ31" s="249">
        <f>AVERAGE(FQ28,FQ29)</f>
        <v>852</v>
      </c>
      <c r="FR31" s="253">
        <f t="shared" si="59"/>
        <v>792.66666666666663</v>
      </c>
      <c r="FS31" s="257">
        <f t="shared" si="59"/>
        <v>844.33333333333337</v>
      </c>
      <c r="FT31" s="253">
        <f>AVERAGE(FT28,FT29,FT30)</f>
        <v>1056.6666666666667</v>
      </c>
      <c r="FU31" s="255">
        <f t="shared" ref="FU31:GC31" si="60">AVERAGE(FU28,FU29,FU30)</f>
        <v>809</v>
      </c>
      <c r="FV31" s="253">
        <f>AVERAGE(FV28,FV29,FV30)</f>
        <v>747.66666666666663</v>
      </c>
      <c r="FW31" s="253">
        <f>AVERAGE(FW28,FW29,FW30)</f>
        <v>995.66666666666663</v>
      </c>
      <c r="FX31" s="224">
        <f t="shared" si="60"/>
        <v>763</v>
      </c>
      <c r="FY31" s="255">
        <f t="shared" si="60"/>
        <v>803.33333333333337</v>
      </c>
      <c r="FZ31" s="248">
        <f t="shared" si="60"/>
        <v>747.66666666666663</v>
      </c>
      <c r="GA31" s="255">
        <f t="shared" si="60"/>
        <v>995.66666666666663</v>
      </c>
      <c r="GB31" s="228">
        <f t="shared" si="60"/>
        <v>846</v>
      </c>
      <c r="GC31" s="257">
        <f t="shared" si="60"/>
        <v>902.66666666666663</v>
      </c>
      <c r="GD31" s="247">
        <f>AVERAGE(GD29,GD30)</f>
        <v>906.5</v>
      </c>
      <c r="GE31" s="255">
        <f t="shared" ref="GE31:GW31" si="61">AVERAGE(GE28,GE29,GE30)</f>
        <v>941.33333333333337</v>
      </c>
      <c r="GF31" s="248">
        <f t="shared" si="61"/>
        <v>996</v>
      </c>
      <c r="GG31" s="255">
        <f t="shared" si="61"/>
        <v>939.33333333333337</v>
      </c>
      <c r="GH31" s="228">
        <f t="shared" si="61"/>
        <v>988</v>
      </c>
      <c r="GI31" s="253">
        <f t="shared" si="61"/>
        <v>901</v>
      </c>
      <c r="GJ31" s="248">
        <f t="shared" si="61"/>
        <v>1083.3333333333333</v>
      </c>
      <c r="GK31" s="255">
        <f t="shared" si="61"/>
        <v>936.33333333333337</v>
      </c>
      <c r="GL31" s="247">
        <f>AVERAGE(GL29,GL30)</f>
        <v>1045</v>
      </c>
      <c r="GM31" s="257">
        <f t="shared" si="61"/>
        <v>963</v>
      </c>
      <c r="GN31" s="253">
        <f t="shared" si="61"/>
        <v>1050</v>
      </c>
      <c r="GO31" s="255">
        <f t="shared" si="61"/>
        <v>1030</v>
      </c>
      <c r="GP31" s="248">
        <f t="shared" si="61"/>
        <v>909.66666666666663</v>
      </c>
      <c r="GQ31" s="255">
        <f t="shared" si="61"/>
        <v>1063.3333333333333</v>
      </c>
      <c r="GR31" s="253">
        <f t="shared" si="61"/>
        <v>999.66666666666663</v>
      </c>
      <c r="GS31" s="253">
        <f t="shared" si="61"/>
        <v>1036.6666666666667</v>
      </c>
      <c r="GT31" s="224">
        <f t="shared" si="61"/>
        <v>922</v>
      </c>
      <c r="GU31" s="255">
        <f t="shared" si="61"/>
        <v>1043.3333333333333</v>
      </c>
      <c r="GV31" s="253">
        <f t="shared" si="61"/>
        <v>929.33333333333337</v>
      </c>
      <c r="GW31" s="257">
        <f t="shared" si="61"/>
        <v>970</v>
      </c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86"/>
      <c r="IC31" s="186"/>
      <c r="ID31" s="186"/>
      <c r="IE31" s="186"/>
      <c r="IF31" s="186"/>
      <c r="IG31" s="186"/>
      <c r="IH31" s="186"/>
      <c r="II31" s="186"/>
      <c r="IJ31" s="186"/>
      <c r="IK31" s="186"/>
      <c r="IL31" s="186"/>
      <c r="IM31" s="186"/>
      <c r="IN31" s="186"/>
      <c r="IO31" s="186"/>
      <c r="IP31" s="186"/>
      <c r="IQ31" s="186"/>
      <c r="IR31" s="186"/>
      <c r="IS31" s="186"/>
      <c r="IT31" s="186"/>
      <c r="IU31" s="186"/>
      <c r="IV31" s="186"/>
      <c r="IW31" s="186"/>
      <c r="IX31" s="186"/>
      <c r="IY31" s="186"/>
      <c r="IZ31" s="186"/>
      <c r="JA31" s="186"/>
      <c r="JB31" s="186"/>
      <c r="JC31" s="186"/>
      <c r="JD31" s="186"/>
      <c r="JE31" s="186"/>
      <c r="JF31" s="186"/>
      <c r="JG31" s="186"/>
      <c r="JH31" s="186"/>
      <c r="JI31" s="186"/>
      <c r="JJ31" s="186"/>
      <c r="JK31" s="186"/>
      <c r="JL31" s="186"/>
      <c r="JM31" s="186"/>
      <c r="JN31" s="186"/>
      <c r="JO31" s="186"/>
      <c r="JP31" s="186"/>
      <c r="JQ31" s="186"/>
      <c r="JR31" s="186"/>
      <c r="JS31" s="186"/>
      <c r="JT31" s="186"/>
      <c r="JU31" s="186"/>
      <c r="JV31" s="186"/>
      <c r="JW31" s="186"/>
      <c r="JX31" s="186"/>
      <c r="JY31" s="186"/>
      <c r="JZ31" s="186"/>
      <c r="KA31" s="186"/>
      <c r="KB31" s="186"/>
      <c r="KC31" s="186"/>
      <c r="KD31" s="186"/>
      <c r="KE31" s="186"/>
      <c r="KF31" s="186"/>
      <c r="KG31" s="186"/>
      <c r="KH31" s="186"/>
      <c r="KI31" s="186"/>
      <c r="KJ31" s="186"/>
      <c r="KK31" s="186"/>
      <c r="KL31" s="186"/>
      <c r="KM31" s="186"/>
      <c r="KN31" s="186"/>
      <c r="KO31" s="186"/>
      <c r="KP31" s="186"/>
      <c r="KQ31" s="186"/>
      <c r="KR31" s="186"/>
      <c r="KS31" s="186"/>
      <c r="KT31" s="186"/>
      <c r="KU31" s="186"/>
      <c r="KV31" s="186"/>
      <c r="KW31" s="186"/>
      <c r="KX31" s="186"/>
      <c r="KY31" s="186"/>
      <c r="KZ31" s="186"/>
      <c r="LA31" s="186"/>
      <c r="LB31" s="186"/>
      <c r="LC31" s="186"/>
      <c r="LD31" s="186"/>
      <c r="LE31" s="186"/>
      <c r="LF31" s="186"/>
      <c r="LG31" s="186"/>
      <c r="LH31" s="186"/>
      <c r="LI31" s="186"/>
      <c r="LJ31" s="186"/>
      <c r="LK31" s="186"/>
      <c r="LL31" s="186"/>
      <c r="LM31" s="186"/>
      <c r="LN31" s="186"/>
      <c r="LO31" s="186"/>
      <c r="LP31" s="186"/>
      <c r="LQ31" s="186"/>
      <c r="LR31" s="186"/>
      <c r="LS31" s="186"/>
      <c r="LT31" s="186"/>
      <c r="LU31" s="186"/>
      <c r="LV31" s="186"/>
      <c r="LW31" s="186"/>
      <c r="LX31" s="186"/>
      <c r="LY31" s="186"/>
      <c r="LZ31" s="186"/>
      <c r="MA31" s="186"/>
      <c r="MB31" s="186"/>
      <c r="MC31" s="186"/>
      <c r="MD31" s="186"/>
      <c r="ME31" s="186"/>
      <c r="MF31" s="186"/>
      <c r="MG31" s="186"/>
      <c r="MH31" s="186"/>
      <c r="MI31" s="186"/>
      <c r="MJ31" s="186"/>
      <c r="MK31" s="186"/>
      <c r="ML31" s="186"/>
      <c r="MM31" s="186"/>
      <c r="MN31" s="186"/>
      <c r="MO31" s="186"/>
      <c r="MP31" s="186"/>
      <c r="MQ31" s="186"/>
      <c r="MR31" s="186"/>
      <c r="MS31" s="186"/>
      <c r="MT31" s="186"/>
      <c r="MU31" s="186"/>
      <c r="MV31" s="186"/>
      <c r="MW31" s="186"/>
      <c r="MX31" s="186"/>
      <c r="MY31" s="186"/>
      <c r="MZ31" s="186"/>
      <c r="NA31" s="186"/>
      <c r="NB31" s="186"/>
      <c r="NC31" s="186"/>
      <c r="ND31" s="186"/>
      <c r="NE31" s="186"/>
      <c r="NF31" s="186"/>
      <c r="NG31" s="186"/>
      <c r="NH31" s="186"/>
      <c r="NI31" s="186"/>
      <c r="NJ31" s="186"/>
      <c r="NK31" s="186"/>
      <c r="NL31" s="186"/>
      <c r="NM31" s="186"/>
      <c r="NN31" s="186"/>
      <c r="NO31" s="186"/>
      <c r="NP31" s="186"/>
      <c r="NQ31" s="186"/>
      <c r="NR31" s="186"/>
      <c r="NS31" s="186"/>
      <c r="NT31" s="186"/>
      <c r="NU31" s="186"/>
      <c r="NV31" s="186"/>
      <c r="NW31" s="186"/>
      <c r="NX31" s="186"/>
      <c r="NY31" s="186"/>
      <c r="NZ31" s="186"/>
      <c r="OA31" s="186"/>
      <c r="OB31" s="186"/>
      <c r="OC31" s="186"/>
      <c r="OD31" s="186"/>
      <c r="OE31" s="186"/>
      <c r="OF31" s="186"/>
      <c r="OG31" s="186"/>
      <c r="OH31" s="186"/>
      <c r="OI31" s="186"/>
      <c r="OJ31" s="186"/>
      <c r="OK31" s="186"/>
      <c r="OL31" s="186"/>
      <c r="OM31" s="186"/>
      <c r="ON31" s="186"/>
      <c r="OO31" s="186"/>
      <c r="OP31" s="186"/>
      <c r="OQ31" s="186"/>
      <c r="OR31" s="186"/>
      <c r="OS31" s="186"/>
      <c r="OT31" s="186"/>
      <c r="OU31" s="186"/>
      <c r="OV31" s="186"/>
      <c r="OW31" s="186"/>
      <c r="OX31" s="186"/>
      <c r="OY31" s="186"/>
      <c r="OZ31" s="186"/>
      <c r="PA31" s="186"/>
      <c r="PB31" s="186"/>
      <c r="PC31" s="186"/>
      <c r="PD31" s="186"/>
      <c r="PE31" s="186"/>
      <c r="PF31" s="186"/>
      <c r="PG31" s="186"/>
      <c r="PH31" s="186"/>
      <c r="PI31" s="186"/>
      <c r="PJ31" s="186"/>
      <c r="PK31" s="186"/>
      <c r="PL31" s="186"/>
      <c r="PM31" s="186"/>
      <c r="PN31" s="186"/>
      <c r="PO31" s="186"/>
      <c r="PP31" s="186"/>
      <c r="PQ31" s="186"/>
      <c r="PR31" s="186"/>
      <c r="PS31" s="186"/>
      <c r="PT31" s="186"/>
      <c r="PU31" s="186"/>
      <c r="PV31" s="186"/>
      <c r="PW31" s="186"/>
      <c r="PX31" s="186"/>
      <c r="PY31" s="186"/>
      <c r="PZ31" s="186"/>
      <c r="QA31" s="186"/>
      <c r="QB31" s="186"/>
      <c r="QC31" s="186"/>
      <c r="QD31" s="186"/>
      <c r="QE31" s="186"/>
      <c r="QF31" s="186"/>
      <c r="QG31" s="186"/>
      <c r="QH31" s="186"/>
      <c r="QI31" s="186"/>
      <c r="QJ31" s="186"/>
      <c r="QK31" s="186"/>
      <c r="QL31" s="186"/>
      <c r="QM31" s="186"/>
      <c r="QN31" s="186"/>
      <c r="QO31" s="186"/>
      <c r="QP31" s="186"/>
      <c r="QQ31" s="186"/>
      <c r="QR31" s="186"/>
      <c r="QS31" s="186"/>
      <c r="QT31" s="186"/>
      <c r="QU31" s="186"/>
      <c r="QV31" s="186"/>
      <c r="QW31" s="186"/>
      <c r="QX31" s="186"/>
      <c r="QY31" s="186"/>
      <c r="QZ31" s="186"/>
      <c r="RA31" s="186"/>
      <c r="RB31" s="186"/>
      <c r="RC31" s="186"/>
      <c r="RD31" s="186"/>
      <c r="RE31" s="186"/>
      <c r="RF31" s="186"/>
      <c r="RG31" s="186"/>
      <c r="RH31" s="186"/>
      <c r="RI31" s="186"/>
      <c r="RJ31" s="186"/>
      <c r="RK31" s="186"/>
      <c r="RL31" s="186"/>
      <c r="RM31" s="186"/>
      <c r="RN31" s="186"/>
      <c r="RO31" s="186"/>
      <c r="RP31" s="186"/>
      <c r="RQ31" s="186"/>
      <c r="RR31" s="186"/>
      <c r="RS31" s="186"/>
      <c r="RT31" s="186"/>
      <c r="RU31" s="186"/>
      <c r="RV31" s="186"/>
      <c r="RW31" s="186"/>
      <c r="RX31" s="186"/>
      <c r="RY31" s="186"/>
      <c r="RZ31" s="186"/>
      <c r="SA31" s="186"/>
      <c r="SB31" s="186"/>
      <c r="SC31" s="186"/>
      <c r="SD31" s="186"/>
      <c r="SE31" s="186"/>
      <c r="SF31" s="186"/>
      <c r="SG31" s="186"/>
      <c r="SH31" s="186"/>
      <c r="SI31" s="186"/>
      <c r="SJ31" s="186"/>
      <c r="SK31" s="186"/>
      <c r="SL31" s="186"/>
      <c r="SM31" s="186"/>
      <c r="SN31" s="186"/>
      <c r="SO31" s="186"/>
      <c r="SP31" s="186"/>
      <c r="SQ31" s="186"/>
      <c r="SR31" s="186"/>
      <c r="SS31" s="186"/>
      <c r="ST31" s="186"/>
      <c r="SU31" s="186"/>
      <c r="SV31" s="186"/>
      <c r="SW31" s="186"/>
      <c r="SX31" s="186"/>
      <c r="SY31" s="186"/>
      <c r="SZ31" s="186"/>
      <c r="TA31" s="186"/>
      <c r="TB31" s="186"/>
      <c r="TC31" s="186"/>
      <c r="TD31" s="186"/>
      <c r="TE31" s="186"/>
      <c r="TF31" s="186"/>
      <c r="TG31" s="186"/>
      <c r="TH31" s="186"/>
      <c r="TI31" s="186"/>
      <c r="TJ31" s="186"/>
      <c r="TK31" s="186"/>
      <c r="TL31" s="186"/>
      <c r="TM31" s="186"/>
      <c r="TN31" s="186"/>
      <c r="TO31" s="186"/>
      <c r="TP31" s="186"/>
      <c r="TQ31" s="186"/>
      <c r="TR31" s="186"/>
      <c r="TS31" s="186"/>
      <c r="TT31" s="186"/>
      <c r="TU31" s="186"/>
      <c r="TV31" s="186"/>
      <c r="TW31" s="186"/>
      <c r="TX31" s="186"/>
      <c r="TY31" s="186"/>
      <c r="TZ31" s="186"/>
      <c r="UA31" s="186"/>
      <c r="UB31" s="186"/>
      <c r="UC31" s="186"/>
      <c r="UD31" s="186"/>
      <c r="UE31" s="186"/>
      <c r="UF31" s="186"/>
      <c r="UG31" s="186"/>
      <c r="UH31" s="186"/>
      <c r="UI31" s="186"/>
      <c r="UJ31" s="186"/>
      <c r="UK31" s="186"/>
      <c r="UL31" s="186"/>
      <c r="UM31" s="186"/>
      <c r="UN31" s="186"/>
      <c r="UO31" s="186"/>
      <c r="UP31" s="186"/>
      <c r="UQ31" s="186"/>
      <c r="UR31" s="186"/>
      <c r="US31" s="186"/>
      <c r="UT31" s="186"/>
      <c r="UU31" s="186"/>
      <c r="UV31" s="186"/>
      <c r="UW31" s="186"/>
      <c r="UX31" s="186"/>
      <c r="UY31" s="186"/>
      <c r="UZ31" s="186"/>
      <c r="VA31" s="186"/>
      <c r="VB31" s="186"/>
      <c r="VC31" s="186"/>
      <c r="VD31" s="186"/>
      <c r="VE31" s="186"/>
      <c r="VF31" s="186"/>
      <c r="VG31" s="186"/>
      <c r="VH31" s="186"/>
      <c r="VI31" s="186"/>
      <c r="VJ31" s="186"/>
      <c r="VK31" s="186"/>
      <c r="VL31" s="186"/>
      <c r="VM31" s="186"/>
      <c r="VN31" s="186"/>
      <c r="VO31" s="186"/>
      <c r="VP31" s="186"/>
      <c r="VQ31" s="186"/>
      <c r="VR31" s="186"/>
      <c r="VS31" s="186"/>
      <c r="VT31" s="186"/>
      <c r="VU31" s="186"/>
      <c r="VV31" s="186"/>
      <c r="VW31" s="186"/>
      <c r="VX31" s="186"/>
      <c r="VY31" s="186"/>
      <c r="VZ31" s="186"/>
      <c r="WA31" s="186"/>
      <c r="WB31" s="186"/>
      <c r="WC31" s="186"/>
      <c r="WD31" s="186"/>
      <c r="WE31" s="186"/>
      <c r="WF31" s="186"/>
      <c r="WG31" s="186"/>
      <c r="WH31" s="186"/>
      <c r="WI31" s="186"/>
      <c r="WJ31" s="186"/>
      <c r="WK31" s="186"/>
      <c r="WL31" s="186"/>
      <c r="WM31" s="186"/>
      <c r="WN31" s="186"/>
      <c r="WO31" s="186"/>
      <c r="WP31" s="186"/>
      <c r="WQ31" s="186"/>
      <c r="WR31" s="186"/>
      <c r="WS31" s="186"/>
      <c r="WT31" s="186"/>
      <c r="WU31" s="186"/>
      <c r="WV31" s="186"/>
      <c r="WW31" s="186"/>
      <c r="WX31" s="186"/>
      <c r="WY31" s="186"/>
      <c r="WZ31" s="186"/>
      <c r="XA31" s="186"/>
      <c r="XB31" s="186"/>
      <c r="XC31" s="186"/>
      <c r="XD31" s="186"/>
      <c r="XE31" s="186"/>
      <c r="XF31" s="186"/>
      <c r="XG31" s="186"/>
      <c r="XH31" s="186"/>
      <c r="XI31" s="186"/>
      <c r="XJ31" s="186"/>
      <c r="XK31" s="186"/>
      <c r="XL31" s="186"/>
      <c r="XM31" s="186"/>
      <c r="XN31" s="186"/>
      <c r="XO31" s="186"/>
      <c r="XP31" s="186"/>
      <c r="XQ31" s="186"/>
      <c r="XR31" s="186"/>
      <c r="XS31" s="186"/>
      <c r="XT31" s="186"/>
      <c r="XU31" s="186"/>
      <c r="XV31" s="186"/>
      <c r="XW31" s="186"/>
      <c r="XX31" s="186"/>
      <c r="XY31" s="186"/>
      <c r="XZ31" s="186"/>
      <c r="YA31" s="186"/>
      <c r="YB31" s="186"/>
      <c r="YC31" s="186"/>
      <c r="YD31" s="186"/>
      <c r="YE31" s="186"/>
      <c r="YF31" s="186"/>
      <c r="YG31" s="186"/>
      <c r="YH31" s="186"/>
      <c r="YI31" s="186"/>
      <c r="YJ31" s="186"/>
      <c r="YK31" s="186"/>
      <c r="YL31" s="186"/>
      <c r="YM31" s="186"/>
      <c r="YN31" s="186"/>
      <c r="YO31" s="186"/>
      <c r="YP31" s="186"/>
      <c r="YQ31" s="186"/>
      <c r="YR31" s="186"/>
      <c r="YS31" s="186"/>
      <c r="YT31" s="186"/>
      <c r="YU31" s="186"/>
      <c r="YV31" s="186"/>
      <c r="YW31" s="186"/>
      <c r="YX31" s="186"/>
      <c r="YY31" s="186"/>
      <c r="YZ31" s="186"/>
      <c r="ZA31" s="186"/>
      <c r="ZB31" s="186"/>
      <c r="ZC31" s="186"/>
      <c r="ZD31" s="186"/>
      <c r="ZE31" s="186"/>
      <c r="ZF31" s="186"/>
      <c r="ZG31" s="186"/>
      <c r="ZH31" s="186"/>
      <c r="ZI31" s="186"/>
      <c r="ZJ31" s="186"/>
      <c r="ZK31" s="186"/>
      <c r="ZL31" s="186"/>
      <c r="ZM31" s="186"/>
      <c r="ZN31" s="186"/>
      <c r="ZO31" s="186"/>
      <c r="ZP31" s="186"/>
      <c r="ZQ31" s="186"/>
      <c r="ZR31" s="186"/>
      <c r="ZS31" s="186"/>
      <c r="ZT31" s="186"/>
      <c r="ZU31" s="186"/>
      <c r="ZV31" s="186"/>
      <c r="ZW31" s="186"/>
      <c r="ZX31" s="186"/>
      <c r="ZY31" s="186"/>
      <c r="ZZ31" s="186"/>
      <c r="AAA31" s="186"/>
      <c r="AAB31" s="186"/>
      <c r="AAC31" s="186"/>
      <c r="AAD31" s="186"/>
      <c r="AAE31" s="186"/>
      <c r="AAF31" s="186"/>
      <c r="AAG31" s="186"/>
      <c r="AAH31" s="186"/>
      <c r="AAI31" s="186"/>
      <c r="AAJ31" s="186"/>
      <c r="AAK31" s="186"/>
      <c r="AAL31" s="186"/>
      <c r="AAM31" s="186"/>
      <c r="AAN31" s="186"/>
      <c r="AAO31" s="186"/>
      <c r="AAP31" s="186"/>
      <c r="AAQ31" s="186"/>
      <c r="AAR31" s="186"/>
      <c r="AAS31" s="186"/>
      <c r="AAT31" s="186"/>
      <c r="AAU31" s="186"/>
      <c r="AAV31" s="186"/>
      <c r="AAW31" s="186"/>
      <c r="AAX31" s="186"/>
      <c r="AAY31" s="186"/>
      <c r="AAZ31" s="186"/>
      <c r="ABA31" s="186"/>
      <c r="ABB31" s="186"/>
      <c r="ABC31" s="186"/>
      <c r="ABD31" s="186"/>
      <c r="ABE31" s="186"/>
      <c r="ABF31" s="186"/>
      <c r="ABG31" s="186"/>
      <c r="ABH31" s="186"/>
      <c r="ABI31" s="186"/>
      <c r="ABJ31" s="186"/>
      <c r="ABK31" s="186"/>
      <c r="ABL31" s="186"/>
      <c r="ABM31" s="186"/>
      <c r="ABN31" s="186"/>
      <c r="ABO31" s="186"/>
      <c r="ABP31" s="186"/>
      <c r="ABQ31" s="186"/>
      <c r="ABR31" s="186"/>
      <c r="ABS31" s="186"/>
      <c r="ABT31" s="186"/>
      <c r="ABU31" s="186"/>
      <c r="ABV31" s="186"/>
      <c r="ABW31" s="186"/>
      <c r="ABX31" s="186"/>
      <c r="ABY31" s="186"/>
      <c r="ABZ31" s="186"/>
      <c r="ACA31" s="186"/>
      <c r="ACB31" s="186"/>
      <c r="ACC31" s="186"/>
      <c r="ACD31" s="186"/>
      <c r="ACE31" s="186"/>
      <c r="ACF31" s="186"/>
      <c r="ACG31" s="186"/>
      <c r="ACH31" s="186"/>
      <c r="ACI31" s="186"/>
      <c r="ACJ31" s="186"/>
      <c r="ACK31" s="186"/>
      <c r="ACL31" s="186"/>
      <c r="ACM31" s="186"/>
      <c r="ACN31" s="186"/>
      <c r="ACO31" s="186"/>
      <c r="ACP31" s="186"/>
      <c r="ACQ31" s="186"/>
      <c r="ACR31" s="186"/>
      <c r="ACS31" s="186"/>
      <c r="ACT31" s="186"/>
      <c r="ACU31" s="186"/>
      <c r="ACV31" s="186"/>
      <c r="ACW31" s="186"/>
      <c r="ACX31" s="186"/>
      <c r="ACY31" s="186"/>
      <c r="ACZ31" s="186"/>
      <c r="ADA31" s="186"/>
      <c r="ADB31" s="186"/>
      <c r="ADC31" s="186"/>
      <c r="ADD31" s="186"/>
      <c r="ADE31" s="186"/>
      <c r="ADF31" s="186"/>
      <c r="ADG31" s="186"/>
      <c r="ADH31" s="186"/>
      <c r="ADI31" s="186"/>
      <c r="ADJ31" s="186"/>
      <c r="ADK31" s="186"/>
      <c r="ADL31" s="186"/>
      <c r="ADM31" s="186"/>
      <c r="ADN31" s="186"/>
      <c r="ADO31" s="186"/>
      <c r="ADP31" s="186"/>
      <c r="ADQ31" s="186"/>
      <c r="ADR31" s="186"/>
      <c r="ADS31" s="186"/>
      <c r="ADT31" s="186"/>
      <c r="ADU31" s="186"/>
      <c r="ADV31" s="186"/>
      <c r="ADW31" s="186"/>
      <c r="ADX31" s="186"/>
      <c r="ADY31" s="186"/>
      <c r="ADZ31" s="186"/>
      <c r="AEA31" s="186"/>
      <c r="AEB31" s="186"/>
      <c r="AEC31" s="186"/>
      <c r="AED31" s="186"/>
      <c r="AEE31" s="186"/>
      <c r="AEF31" s="186"/>
      <c r="AEG31" s="186"/>
      <c r="AEH31" s="186"/>
      <c r="AEI31" s="186"/>
      <c r="AEJ31" s="186"/>
      <c r="AEK31" s="186"/>
      <c r="AEL31" s="186"/>
      <c r="AEM31" s="186"/>
      <c r="AEN31" s="186"/>
      <c r="AEO31" s="186"/>
      <c r="AEP31" s="186"/>
      <c r="AEQ31" s="186"/>
      <c r="AER31" s="186"/>
      <c r="AES31" s="186"/>
      <c r="AET31" s="186"/>
      <c r="AEU31" s="186"/>
      <c r="AEV31" s="186"/>
      <c r="AEW31" s="186"/>
      <c r="AEX31" s="186"/>
      <c r="AEY31" s="186"/>
      <c r="AEZ31" s="186"/>
      <c r="AFA31" s="186"/>
      <c r="AFB31" s="186"/>
      <c r="AFC31" s="186"/>
      <c r="AFD31" s="186"/>
      <c r="AFE31" s="186"/>
      <c r="AFF31" s="186"/>
      <c r="AFG31" s="186"/>
      <c r="AFH31" s="186"/>
      <c r="AFI31" s="186"/>
      <c r="AFJ31" s="186"/>
      <c r="AFK31" s="186"/>
      <c r="AFL31" s="186"/>
      <c r="AFM31" s="186"/>
      <c r="AFN31" s="186"/>
      <c r="AFO31" s="186"/>
      <c r="AFP31" s="186"/>
      <c r="AFQ31" s="186"/>
      <c r="AFR31" s="186"/>
      <c r="AFS31" s="186"/>
      <c r="AFT31" s="186"/>
      <c r="AFU31" s="186"/>
      <c r="AFV31" s="186"/>
      <c r="AFW31" s="186"/>
      <c r="AFX31" s="186"/>
      <c r="AFY31" s="186"/>
      <c r="AFZ31" s="186"/>
      <c r="AGA31" s="186"/>
      <c r="AGB31" s="186"/>
      <c r="AGC31" s="186"/>
      <c r="AGD31" s="186"/>
      <c r="AGE31" s="186"/>
      <c r="AGF31" s="186"/>
      <c r="AGG31" s="186"/>
      <c r="AGH31" s="186"/>
      <c r="AGI31" s="186"/>
      <c r="AGJ31" s="186"/>
      <c r="AGK31" s="186"/>
      <c r="AGL31" s="186"/>
      <c r="AGM31" s="186"/>
      <c r="AGN31" s="186"/>
      <c r="AGO31" s="186"/>
      <c r="AGP31" s="186"/>
      <c r="AGQ31" s="186"/>
      <c r="AGR31" s="186"/>
      <c r="AGS31" s="186"/>
      <c r="AGT31" s="186"/>
      <c r="AGU31" s="186"/>
      <c r="AGV31" s="186"/>
      <c r="AGW31" s="186"/>
      <c r="AGX31" s="186"/>
      <c r="AGY31" s="186"/>
      <c r="AGZ31" s="186"/>
      <c r="AHA31" s="186"/>
      <c r="AHB31" s="186"/>
      <c r="AHC31" s="186"/>
      <c r="AHD31" s="186"/>
      <c r="AHE31" s="186"/>
      <c r="AHF31" s="186"/>
      <c r="AHG31" s="186"/>
      <c r="AHH31" s="186"/>
      <c r="AHI31" s="186"/>
      <c r="AHJ31" s="186"/>
      <c r="AHK31" s="186"/>
      <c r="AHL31" s="186"/>
      <c r="AHM31" s="186"/>
      <c r="AHN31" s="186"/>
      <c r="AHO31" s="186"/>
      <c r="AHP31" s="186"/>
      <c r="AHQ31" s="186"/>
      <c r="AHR31" s="186"/>
      <c r="AHS31" s="186"/>
      <c r="AHT31" s="186"/>
      <c r="AHU31" s="186"/>
      <c r="AHV31" s="186"/>
      <c r="AHW31" s="186"/>
      <c r="AHX31" s="186"/>
      <c r="AHY31" s="186"/>
      <c r="AHZ31" s="186"/>
      <c r="AIA31" s="186"/>
      <c r="AIB31" s="186"/>
      <c r="AIC31" s="186"/>
      <c r="AID31" s="186"/>
      <c r="AIE31" s="186"/>
      <c r="AIF31" s="186"/>
      <c r="AIG31" s="186"/>
      <c r="AIH31" s="186"/>
      <c r="AII31" s="186"/>
      <c r="AIJ31" s="186"/>
      <c r="AIK31" s="186"/>
      <c r="AIL31" s="186"/>
      <c r="AIM31" s="186"/>
      <c r="AIN31" s="186"/>
      <c r="AIO31" s="186"/>
      <c r="AIP31" s="186"/>
      <c r="AIQ31" s="186"/>
      <c r="AIR31" s="186"/>
      <c r="AIS31" s="186"/>
      <c r="AIT31" s="186"/>
      <c r="AIU31" s="186"/>
      <c r="AIV31" s="186"/>
      <c r="AIW31" s="186"/>
      <c r="AIX31" s="186"/>
      <c r="AIY31" s="186"/>
      <c r="AIZ31" s="186"/>
      <c r="AJA31" s="186"/>
      <c r="AJB31" s="186"/>
      <c r="AJC31" s="186"/>
      <c r="AJD31" s="186"/>
      <c r="AJE31" s="186"/>
      <c r="AJF31" s="186"/>
      <c r="AJG31" s="186"/>
      <c r="AJH31" s="186"/>
      <c r="AJI31" s="186"/>
      <c r="AJJ31" s="186"/>
      <c r="AJK31" s="186"/>
      <c r="AJL31" s="186"/>
      <c r="AJM31" s="186"/>
      <c r="AJN31" s="186"/>
      <c r="AJO31" s="186"/>
      <c r="AJP31" s="186"/>
      <c r="AJQ31" s="186"/>
      <c r="AJR31" s="186"/>
      <c r="AJS31" s="186"/>
      <c r="AJT31" s="186"/>
      <c r="AJU31" s="186"/>
      <c r="AJV31" s="186"/>
      <c r="AJW31" s="186"/>
      <c r="AJX31" s="186"/>
      <c r="AJY31" s="186"/>
      <c r="AJZ31" s="186"/>
      <c r="AKA31" s="186"/>
      <c r="AKB31" s="186"/>
      <c r="AKC31" s="186"/>
      <c r="AKD31" s="186"/>
      <c r="AKE31" s="186"/>
      <c r="AKF31" s="186"/>
      <c r="AKG31" s="186"/>
      <c r="AKH31" s="186"/>
      <c r="AKI31" s="186"/>
      <c r="AKJ31" s="186"/>
      <c r="AKK31" s="186"/>
      <c r="AKL31" s="186"/>
      <c r="AKM31" s="186"/>
      <c r="AKN31" s="186"/>
      <c r="AKO31" s="186"/>
      <c r="AKP31" s="186"/>
      <c r="AKQ31" s="186"/>
      <c r="AKR31" s="186"/>
      <c r="AKS31" s="186"/>
      <c r="AKT31" s="186"/>
      <c r="AKU31" s="186"/>
      <c r="AKV31" s="186"/>
      <c r="AKW31" s="186"/>
      <c r="AKX31" s="186"/>
      <c r="AKY31" s="186"/>
      <c r="AKZ31" s="186"/>
      <c r="ALA31" s="186"/>
      <c r="ALB31" s="186"/>
      <c r="ALC31" s="186"/>
      <c r="ALD31" s="186"/>
      <c r="ALE31" s="186"/>
      <c r="ALF31" s="186"/>
      <c r="ALG31" s="186"/>
      <c r="ALH31" s="186"/>
      <c r="ALI31" s="186"/>
      <c r="ALJ31" s="186"/>
      <c r="ALK31" s="186"/>
      <c r="ALL31" s="186"/>
      <c r="ALM31" s="186"/>
      <c r="ALN31" s="186"/>
      <c r="ALO31" s="186"/>
      <c r="ALP31" s="186"/>
      <c r="ALQ31" s="186"/>
      <c r="ALR31" s="186"/>
      <c r="ALS31" s="186"/>
      <c r="ALT31" s="186"/>
      <c r="ALU31" s="186"/>
      <c r="ALV31" s="186"/>
      <c r="ALW31" s="186"/>
      <c r="ALX31" s="186"/>
      <c r="ALY31" s="186"/>
      <c r="ALZ31" s="186"/>
      <c r="AMA31" s="186"/>
      <c r="AMB31" s="186"/>
      <c r="AMC31" s="186"/>
      <c r="AMD31" s="186"/>
      <c r="AME31" s="186"/>
      <c r="AMF31" s="186"/>
      <c r="AMG31" s="186"/>
      <c r="AMH31" s="186"/>
      <c r="AMI31" s="186"/>
      <c r="AMJ31" s="186"/>
      <c r="AMK31" s="186"/>
      <c r="AML31" s="186"/>
      <c r="AMM31" s="186"/>
      <c r="AMN31" s="186"/>
      <c r="AMO31" s="186"/>
      <c r="AMP31" s="186"/>
      <c r="AMQ31" s="186"/>
      <c r="AMR31" s="186"/>
      <c r="AMS31" s="186"/>
      <c r="AMT31" s="186"/>
      <c r="AMU31" s="186"/>
      <c r="AMV31" s="186"/>
      <c r="AMW31" s="186"/>
      <c r="AMX31" s="186"/>
      <c r="AMY31" s="186"/>
      <c r="AMZ31" s="186"/>
      <c r="ANA31" s="186"/>
      <c r="ANB31" s="186"/>
      <c r="ANC31" s="186"/>
      <c r="AND31" s="186"/>
      <c r="ANE31" s="186"/>
      <c r="ANF31" s="186"/>
    </row>
    <row r="32" spans="1:1046" x14ac:dyDescent="0.2">
      <c r="A32" s="2"/>
      <c r="B32" s="47"/>
      <c r="C32" s="69" t="s">
        <v>88</v>
      </c>
      <c r="D32" s="259">
        <f>STDEV(D29:D30)</f>
        <v>0.70710678118654757</v>
      </c>
      <c r="E32" s="276">
        <f>STDEV(E28:E30)</f>
        <v>20</v>
      </c>
      <c r="F32" s="38">
        <f>STDEV(F28:F30)</f>
        <v>3.7859388972001824</v>
      </c>
      <c r="G32" s="45">
        <f>STDEV(G28:G30)</f>
        <v>10</v>
      </c>
      <c r="H32" s="42">
        <f>STDEV(H28:H30)</f>
        <v>4.6188021535170058</v>
      </c>
      <c r="I32" s="40">
        <f>STDEV(I29:I30)</f>
        <v>2.1213203435596424</v>
      </c>
      <c r="J32" s="42">
        <f t="shared" ref="J32:BS32" si="62">STDEV(J28:J30)</f>
        <v>4.0414518843273806</v>
      </c>
      <c r="K32" s="40">
        <f>STDEV(K29:K30)</f>
        <v>4.9497474683058327</v>
      </c>
      <c r="L32" s="38">
        <f t="shared" si="62"/>
        <v>4.6188021535170058</v>
      </c>
      <c r="M32" s="38">
        <f t="shared" si="62"/>
        <v>1.1547005383792517</v>
      </c>
      <c r="N32" s="42">
        <f t="shared" si="62"/>
        <v>5</v>
      </c>
      <c r="O32" s="43">
        <f t="shared" si="62"/>
        <v>5.0332229568471663</v>
      </c>
      <c r="P32" s="38">
        <f t="shared" si="62"/>
        <v>2.3094010767585034</v>
      </c>
      <c r="Q32" s="40">
        <f t="shared" si="62"/>
        <v>1.7320508075688772</v>
      </c>
      <c r="R32" s="35">
        <f t="shared" si="62"/>
        <v>4.0414518843273806</v>
      </c>
      <c r="S32" s="32">
        <f t="shared" si="62"/>
        <v>6.5574385243020004</v>
      </c>
      <c r="T32" s="6">
        <f t="shared" si="62"/>
        <v>6.0827625302982193</v>
      </c>
      <c r="U32" s="6">
        <f t="shared" si="62"/>
        <v>3.0550504633038931</v>
      </c>
      <c r="V32" s="35">
        <f t="shared" si="62"/>
        <v>2</v>
      </c>
      <c r="W32" s="32">
        <f t="shared" si="62"/>
        <v>3.5118845842842461</v>
      </c>
      <c r="X32" s="6">
        <f>STDEV(X28:X30)</f>
        <v>1.7320508075688772</v>
      </c>
      <c r="Y32" s="7">
        <f t="shared" si="62"/>
        <v>2.0816659994661331</v>
      </c>
      <c r="Z32" s="44">
        <f t="shared" si="62"/>
        <v>3.0550504633038931</v>
      </c>
      <c r="AA32" s="40">
        <f t="shared" si="62"/>
        <v>4.358898943540674</v>
      </c>
      <c r="AB32" s="277"/>
      <c r="AC32" s="268"/>
      <c r="AD32" s="35">
        <f t="shared" si="62"/>
        <v>3.6055512754639891</v>
      </c>
      <c r="AE32" s="32">
        <f t="shared" si="62"/>
        <v>2.8867513459481287</v>
      </c>
      <c r="AF32" s="42">
        <f t="shared" si="62"/>
        <v>2.6457513110645907</v>
      </c>
      <c r="AG32" s="40">
        <f t="shared" si="62"/>
        <v>5.7735026918962573</v>
      </c>
      <c r="AH32" s="42">
        <f t="shared" si="62"/>
        <v>2.0816659994661331</v>
      </c>
      <c r="AI32" s="43">
        <f t="shared" si="62"/>
        <v>4.5825756949558398</v>
      </c>
      <c r="AJ32" s="38">
        <f>STDEV(AJ29:AJ30)</f>
        <v>1.4142135623730951</v>
      </c>
      <c r="AK32" s="38">
        <f t="shared" si="62"/>
        <v>5.7735026918962573</v>
      </c>
      <c r="AL32" s="42">
        <f>STDEV(AL29:AL30)</f>
        <v>0.70710678118654757</v>
      </c>
      <c r="AM32" s="40">
        <f t="shared" si="62"/>
        <v>2.8867513459481287</v>
      </c>
      <c r="AN32" s="38">
        <f t="shared" si="62"/>
        <v>1.5275252316519468</v>
      </c>
      <c r="AO32" s="38">
        <f t="shared" si="62"/>
        <v>2.8867513459481287</v>
      </c>
      <c r="AP32" s="42">
        <f>STDEV(AP28:AP29)</f>
        <v>1.4142135623730951</v>
      </c>
      <c r="AQ32" s="40">
        <f t="shared" si="62"/>
        <v>7</v>
      </c>
      <c r="AR32" s="38">
        <f>STDEV(AR28:AR30)</f>
        <v>0</v>
      </c>
      <c r="AS32" s="43">
        <f t="shared" si="62"/>
        <v>5.5677643628300215</v>
      </c>
      <c r="AT32" s="44">
        <f t="shared" si="62"/>
        <v>1.1547005383792517</v>
      </c>
      <c r="AU32" s="40">
        <f t="shared" si="62"/>
        <v>7.810249675906654</v>
      </c>
      <c r="AV32" s="38">
        <f t="shared" si="62"/>
        <v>1.1547005383792517</v>
      </c>
      <c r="AW32" s="40">
        <f t="shared" si="62"/>
        <v>2.5166114784235831</v>
      </c>
      <c r="AX32" s="42">
        <f t="shared" si="62"/>
        <v>5.5075705472861021</v>
      </c>
      <c r="AY32" s="38">
        <f t="shared" si="62"/>
        <v>6.429100507328636</v>
      </c>
      <c r="AZ32" s="42">
        <f t="shared" si="62"/>
        <v>0</v>
      </c>
      <c r="BA32" s="40">
        <f t="shared" si="62"/>
        <v>3.5118845842842461</v>
      </c>
      <c r="BB32" s="38">
        <f t="shared" si="62"/>
        <v>2</v>
      </c>
      <c r="BC32" s="43">
        <f t="shared" si="62"/>
        <v>1.1547005383792517</v>
      </c>
      <c r="BD32" s="44">
        <f t="shared" si="62"/>
        <v>2</v>
      </c>
      <c r="BE32" s="40">
        <f t="shared" si="62"/>
        <v>0.57735026918962573</v>
      </c>
      <c r="BF32" s="38">
        <f t="shared" si="62"/>
        <v>1.7320508075688772</v>
      </c>
      <c r="BG32" s="40">
        <f t="shared" si="62"/>
        <v>5.8594652770823146</v>
      </c>
      <c r="BH32" s="42">
        <f t="shared" si="62"/>
        <v>2</v>
      </c>
      <c r="BI32" s="38">
        <f t="shared" si="62"/>
        <v>1</v>
      </c>
      <c r="BJ32" s="42">
        <f t="shared" si="62"/>
        <v>1.5275252316519468</v>
      </c>
      <c r="BK32" s="40">
        <f t="shared" si="62"/>
        <v>4.1633319989322652</v>
      </c>
      <c r="BL32" s="38">
        <f t="shared" si="62"/>
        <v>0.57735026918962573</v>
      </c>
      <c r="BM32" s="43">
        <f t="shared" si="62"/>
        <v>5.196152422706632</v>
      </c>
      <c r="BN32" s="44">
        <f t="shared" si="62"/>
        <v>2.0816659994661326</v>
      </c>
      <c r="BO32" s="40">
        <f t="shared" si="62"/>
        <v>3.7859388972001824</v>
      </c>
      <c r="BP32" s="263"/>
      <c r="BQ32" s="262"/>
      <c r="BR32" s="42">
        <f t="shared" si="62"/>
        <v>2.6457513110645907</v>
      </c>
      <c r="BS32" s="38">
        <f t="shared" si="62"/>
        <v>2.3094010767585034</v>
      </c>
      <c r="BT32" s="42">
        <f>STDEV(BT28:BT29)</f>
        <v>2.8284271247461903</v>
      </c>
      <c r="BU32" s="40">
        <f t="shared" ref="BU32:EF32" si="63">STDEV(BU28:BU30)</f>
        <v>2.0816659994661331</v>
      </c>
      <c r="BV32" s="38">
        <f t="shared" si="63"/>
        <v>3.0550504633038931</v>
      </c>
      <c r="BW32" s="43">
        <f t="shared" si="63"/>
        <v>2</v>
      </c>
      <c r="BX32" s="44">
        <f t="shared" si="63"/>
        <v>5.8594652770823146</v>
      </c>
      <c r="BY32" s="40">
        <f t="shared" si="63"/>
        <v>2.3094010767585034</v>
      </c>
      <c r="BZ32" s="42">
        <f t="shared" si="63"/>
        <v>1.5275252316519468</v>
      </c>
      <c r="CA32" s="40">
        <f t="shared" si="63"/>
        <v>1</v>
      </c>
      <c r="CB32" s="42">
        <f t="shared" si="63"/>
        <v>9.0737717258774673</v>
      </c>
      <c r="CC32" s="38">
        <f t="shared" si="63"/>
        <v>8.1853527718724504</v>
      </c>
      <c r="CD32" s="42">
        <f t="shared" si="63"/>
        <v>5.7735026918962573</v>
      </c>
      <c r="CE32" s="40">
        <f t="shared" si="63"/>
        <v>2.8867513459481287</v>
      </c>
      <c r="CF32" s="38">
        <f>STDEV(CF28:CF29)</f>
        <v>0</v>
      </c>
      <c r="CG32" s="43">
        <f t="shared" si="63"/>
        <v>7.5718777944003657</v>
      </c>
      <c r="CH32" s="44">
        <f>STDEV(CH29:CH30)</f>
        <v>0</v>
      </c>
      <c r="CI32" s="40">
        <f t="shared" si="63"/>
        <v>5.7735026918962573</v>
      </c>
      <c r="CJ32" s="42">
        <f t="shared" si="63"/>
        <v>0</v>
      </c>
      <c r="CK32" s="40">
        <f t="shared" si="63"/>
        <v>0</v>
      </c>
      <c r="CL32" s="42">
        <f t="shared" si="63"/>
        <v>5.7735026918962573</v>
      </c>
      <c r="CM32" s="38">
        <f>STDEV(CM28:CM29)</f>
        <v>7.0710678118654755</v>
      </c>
      <c r="CN32" s="42">
        <f t="shared" si="63"/>
        <v>0</v>
      </c>
      <c r="CO32" s="40">
        <f t="shared" si="63"/>
        <v>0</v>
      </c>
      <c r="CP32" s="38">
        <f t="shared" si="63"/>
        <v>4</v>
      </c>
      <c r="CQ32" s="43">
        <f t="shared" si="63"/>
        <v>5.7735026918962573</v>
      </c>
      <c r="CR32" s="44">
        <f t="shared" si="63"/>
        <v>1.5275252316519468</v>
      </c>
      <c r="CS32" s="40">
        <f t="shared" si="63"/>
        <v>0</v>
      </c>
      <c r="CT32" s="42">
        <f t="shared" si="63"/>
        <v>0.57735026918962573</v>
      </c>
      <c r="CU32" s="40">
        <f t="shared" si="63"/>
        <v>0.57735026918962573</v>
      </c>
      <c r="CV32" s="42">
        <f t="shared" si="63"/>
        <v>4.0414518843273806</v>
      </c>
      <c r="CW32" s="38">
        <f t="shared" si="63"/>
        <v>1.1547005383792517</v>
      </c>
      <c r="CX32" s="42">
        <f t="shared" si="63"/>
        <v>1</v>
      </c>
      <c r="CY32" s="40">
        <f t="shared" si="63"/>
        <v>4.9328828623162471</v>
      </c>
      <c r="CZ32" s="38">
        <f t="shared" si="63"/>
        <v>2</v>
      </c>
      <c r="DA32" s="43">
        <f t="shared" si="63"/>
        <v>2.8867513459481287</v>
      </c>
      <c r="DB32" s="38">
        <f t="shared" si="63"/>
        <v>2</v>
      </c>
      <c r="DC32" s="40">
        <f t="shared" si="63"/>
        <v>0.57735026918962573</v>
      </c>
      <c r="DD32" s="35">
        <f t="shared" si="63"/>
        <v>2.8867513459481287</v>
      </c>
      <c r="DE32" s="32">
        <f t="shared" si="63"/>
        <v>2.8867513459481287</v>
      </c>
      <c r="DF32" s="6">
        <f t="shared" si="63"/>
        <v>3.5118845842842461</v>
      </c>
      <c r="DG32" s="6">
        <f t="shared" si="63"/>
        <v>1.1547005383792517</v>
      </c>
      <c r="DH32" s="35">
        <f t="shared" si="63"/>
        <v>2.5166114784235836</v>
      </c>
      <c r="DI32" s="32">
        <f t="shared" si="63"/>
        <v>0</v>
      </c>
      <c r="DJ32" s="6">
        <f t="shared" si="63"/>
        <v>5.7735026918962573</v>
      </c>
      <c r="DK32" s="7">
        <f t="shared" si="63"/>
        <v>2.0816659994661331</v>
      </c>
      <c r="DL32" s="38">
        <f t="shared" si="63"/>
        <v>5.7735026918962573</v>
      </c>
      <c r="DM32" s="40">
        <f t="shared" si="63"/>
        <v>2.6457513110645907</v>
      </c>
      <c r="DN32" s="35">
        <f t="shared" si="63"/>
        <v>8.0829037686547611</v>
      </c>
      <c r="DO32" s="32">
        <f>STDEV(DO29:DO30)</f>
        <v>9.8994949366116654</v>
      </c>
      <c r="DP32" s="6">
        <f t="shared" si="63"/>
        <v>0</v>
      </c>
      <c r="DQ32" s="6">
        <f t="shared" si="63"/>
        <v>1</v>
      </c>
      <c r="DR32" s="35">
        <f t="shared" si="63"/>
        <v>5.7735026918962573</v>
      </c>
      <c r="DS32" s="32">
        <f t="shared" si="63"/>
        <v>10</v>
      </c>
      <c r="DT32" s="6">
        <f t="shared" si="63"/>
        <v>5.7735026918962573</v>
      </c>
      <c r="DU32" s="7">
        <f>STDEV(DU29:DU30)</f>
        <v>0</v>
      </c>
      <c r="DV32" s="38">
        <f t="shared" si="63"/>
        <v>5.7735026918962573</v>
      </c>
      <c r="DW32" s="40">
        <f>STDEV(DW29:DW30)</f>
        <v>7.0710678118654755</v>
      </c>
      <c r="DX32" s="35">
        <f t="shared" si="63"/>
        <v>5.7735026918962573</v>
      </c>
      <c r="DY32" s="32">
        <f t="shared" si="63"/>
        <v>5.7735026918962573</v>
      </c>
      <c r="DZ32" s="6">
        <f t="shared" si="63"/>
        <v>10</v>
      </c>
      <c r="EA32" s="6">
        <f t="shared" si="63"/>
        <v>4.1633319989322652</v>
      </c>
      <c r="EB32" s="35">
        <f t="shared" si="63"/>
        <v>3.5118845842842461</v>
      </c>
      <c r="EC32" s="32">
        <f t="shared" si="63"/>
        <v>4.1633319989322652</v>
      </c>
      <c r="ED32" s="6">
        <f t="shared" si="63"/>
        <v>7.0945988845975876</v>
      </c>
      <c r="EE32" s="7">
        <f t="shared" si="63"/>
        <v>5.7735026918962573</v>
      </c>
      <c r="EF32" s="38">
        <f t="shared" si="63"/>
        <v>3.0550504633038931</v>
      </c>
      <c r="EG32" s="40">
        <f t="shared" ref="EG32:FS32" si="64">STDEV(EG28:EG30)</f>
        <v>4.1633319989322652</v>
      </c>
      <c r="EH32" s="35">
        <f t="shared" si="64"/>
        <v>6.6583281184793925</v>
      </c>
      <c r="EI32" s="32">
        <f t="shared" si="64"/>
        <v>6.2449979983983983</v>
      </c>
      <c r="EJ32" s="6">
        <f t="shared" si="64"/>
        <v>0.57735026918962573</v>
      </c>
      <c r="EK32" s="6">
        <f t="shared" si="64"/>
        <v>4.5092497528228943</v>
      </c>
      <c r="EL32" s="35">
        <f t="shared" si="64"/>
        <v>0</v>
      </c>
      <c r="EM32" s="32">
        <f t="shared" si="64"/>
        <v>1</v>
      </c>
      <c r="EN32" s="6">
        <f t="shared" si="64"/>
        <v>5.7735026918962573</v>
      </c>
      <c r="EO32" s="7">
        <f t="shared" si="64"/>
        <v>1</v>
      </c>
      <c r="EP32" s="38">
        <f t="shared" si="64"/>
        <v>5.7735026918962573</v>
      </c>
      <c r="EQ32" s="40">
        <f t="shared" si="64"/>
        <v>6.2449979983983983</v>
      </c>
      <c r="ER32" s="35">
        <f t="shared" si="64"/>
        <v>1</v>
      </c>
      <c r="ES32" s="32">
        <f t="shared" si="64"/>
        <v>1.1547005383792517</v>
      </c>
      <c r="ET32" s="6">
        <f>STDEV(ET29:ET30)</f>
        <v>1.4142135623730951</v>
      </c>
      <c r="EU32" s="6">
        <f t="shared" si="64"/>
        <v>4</v>
      </c>
      <c r="EV32" s="35">
        <f t="shared" si="64"/>
        <v>2</v>
      </c>
      <c r="EW32" s="32">
        <f t="shared" si="64"/>
        <v>1.1547005383792517</v>
      </c>
      <c r="EX32" s="6">
        <f t="shared" si="64"/>
        <v>8.5049005481153834</v>
      </c>
      <c r="EY32" s="7">
        <f>STDEV(EY29:EY30)</f>
        <v>6.3639610306789276</v>
      </c>
      <c r="EZ32" s="38">
        <f t="shared" si="64"/>
        <v>5.7735026918962573</v>
      </c>
      <c r="FA32" s="40">
        <f t="shared" si="64"/>
        <v>2</v>
      </c>
      <c r="FB32" s="35">
        <f>STDEV(FB29:FB30)</f>
        <v>1.4142135623730951</v>
      </c>
      <c r="FC32" s="6">
        <f>STDEV(FC29:FC30)</f>
        <v>6.3639610306789276</v>
      </c>
      <c r="FD32" s="35">
        <f t="shared" si="64"/>
        <v>2.5166114784235831</v>
      </c>
      <c r="FE32" s="32">
        <f t="shared" si="64"/>
        <v>3.214550253664318</v>
      </c>
      <c r="FF32" s="6">
        <f>STDEV(FF28,FF30)</f>
        <v>11.313708498984761</v>
      </c>
      <c r="FG32" s="32">
        <f t="shared" si="64"/>
        <v>1.5275252316519468</v>
      </c>
      <c r="FH32" s="6">
        <f t="shared" si="64"/>
        <v>1</v>
      </c>
      <c r="FI32" s="7">
        <f t="shared" si="64"/>
        <v>2.0816659994661331</v>
      </c>
      <c r="FJ32" s="38">
        <f t="shared" si="64"/>
        <v>1.1547005383792517</v>
      </c>
      <c r="FK32" s="40">
        <f t="shared" si="64"/>
        <v>2.5166114784235836</v>
      </c>
      <c r="FL32" s="35">
        <f t="shared" si="64"/>
        <v>1.5275252316519468</v>
      </c>
      <c r="FM32" s="32">
        <f t="shared" si="64"/>
        <v>0.57735026918962573</v>
      </c>
      <c r="FN32" s="6">
        <f t="shared" si="64"/>
        <v>3.214550253664318</v>
      </c>
      <c r="FO32" s="2">
        <f t="shared" si="64"/>
        <v>0</v>
      </c>
      <c r="FP32" s="35">
        <f>STDEV(FP29:FP30)</f>
        <v>3.5355339059327378</v>
      </c>
      <c r="FQ32" s="32">
        <f>STDEV(FQ28:FQ29)</f>
        <v>5.6568542494923806</v>
      </c>
      <c r="FR32" s="6">
        <f t="shared" si="64"/>
        <v>1.5275252316519468</v>
      </c>
      <c r="FS32" s="7">
        <f t="shared" si="64"/>
        <v>2.8867513459481287</v>
      </c>
      <c r="FT32" s="38">
        <f>STDEV(FT29:FT30)</f>
        <v>0</v>
      </c>
      <c r="FU32" s="40">
        <f>STDEV(FU28:FU30)</f>
        <v>1.7320508075688772</v>
      </c>
      <c r="FV32" s="6">
        <f t="shared" ref="FV32:GC32" si="65">STDEV(FV28:FV30)</f>
        <v>1.1547005383792517</v>
      </c>
      <c r="FW32" s="6">
        <f>STDEV(FW28:FW30)</f>
        <v>2.5166114784235836</v>
      </c>
      <c r="FX32" s="42">
        <f>STDEV(FX28:FX30)</f>
        <v>4</v>
      </c>
      <c r="FY32" s="40">
        <f>STDEV(FY28:FY30)</f>
        <v>2.8867513459481287</v>
      </c>
      <c r="FZ32" s="35">
        <f t="shared" si="65"/>
        <v>1.1547005383792517</v>
      </c>
      <c r="GA32" s="32">
        <f t="shared" si="65"/>
        <v>2.5166114784235836</v>
      </c>
      <c r="GB32" s="6">
        <f t="shared" si="65"/>
        <v>1.7320508075688772</v>
      </c>
      <c r="GC32" s="7">
        <f t="shared" si="65"/>
        <v>0.57735026918962573</v>
      </c>
      <c r="GD32" s="38">
        <f>STDEV(GD29:GD30)</f>
        <v>6.3639610306789276</v>
      </c>
      <c r="GE32" s="40">
        <f>STDEV(GE28:GE30)</f>
        <v>1.1547005383792517</v>
      </c>
      <c r="GF32" s="35">
        <f>STDEV(GF28:GF30)</f>
        <v>3</v>
      </c>
      <c r="GG32" s="32">
        <f>STDEV(GG28:GG30)</f>
        <v>4.0414518843273806</v>
      </c>
      <c r="GH32" s="6">
        <f t="shared" ref="GH32:GM32" si="66">STDEV(GH28:GH30)</f>
        <v>3.6055512754639891</v>
      </c>
      <c r="GI32" s="6">
        <f t="shared" si="66"/>
        <v>1</v>
      </c>
      <c r="GJ32" s="35">
        <f t="shared" si="66"/>
        <v>5.7735026918962573</v>
      </c>
      <c r="GK32" s="32">
        <f t="shared" si="66"/>
        <v>0.57735026918962573</v>
      </c>
      <c r="GL32" s="6">
        <f>STDEV(GL29:GL30)</f>
        <v>7.0710678118654755</v>
      </c>
      <c r="GM32" s="7">
        <f t="shared" si="66"/>
        <v>3</v>
      </c>
      <c r="GN32" s="45">
        <f>STDEV(GN28:GN30)</f>
        <v>0</v>
      </c>
      <c r="GO32" s="49">
        <f>STDEV(GO28:GO30)</f>
        <v>0</v>
      </c>
      <c r="GP32" s="35">
        <f>STDEV(GP28:GP30)</f>
        <v>2.5166114784235836</v>
      </c>
      <c r="GQ32" s="32">
        <f>STDEV(GQ28:GQ30)</f>
        <v>5.7735026918962573</v>
      </c>
      <c r="GR32" s="6">
        <f t="shared" ref="GR32:GW32" si="67">STDEV(GR28:GR30)</f>
        <v>0.57735026918962573</v>
      </c>
      <c r="GS32" s="6">
        <f t="shared" si="67"/>
        <v>5.7735026918962573</v>
      </c>
      <c r="GT32" s="35">
        <f t="shared" si="67"/>
        <v>5.5677643628300215</v>
      </c>
      <c r="GU32" s="32">
        <f t="shared" si="67"/>
        <v>5.7735026918962573</v>
      </c>
      <c r="GV32" s="6">
        <f t="shared" si="67"/>
        <v>1.5275252316519468</v>
      </c>
      <c r="GW32" s="7">
        <f t="shared" si="67"/>
        <v>10.583005244258363</v>
      </c>
    </row>
    <row r="33" spans="1:1046" x14ac:dyDescent="0.2">
      <c r="A33" s="1"/>
      <c r="B33" s="241" t="s">
        <v>92</v>
      </c>
      <c r="C33" s="51">
        <v>1</v>
      </c>
      <c r="D33" s="242">
        <v>27.1</v>
      </c>
      <c r="E33" s="243">
        <v>67.7</v>
      </c>
      <c r="F33" s="53">
        <v>106</v>
      </c>
      <c r="G33" s="59">
        <v>40.5</v>
      </c>
      <c r="H33" s="75">
        <v>497</v>
      </c>
      <c r="I33" s="58">
        <v>25.1</v>
      </c>
      <c r="J33" s="56">
        <v>380</v>
      </c>
      <c r="K33" s="58">
        <v>12.08</v>
      </c>
      <c r="L33" s="59">
        <v>386</v>
      </c>
      <c r="M33" s="59">
        <v>10.57</v>
      </c>
      <c r="N33" s="56">
        <v>550</v>
      </c>
      <c r="O33" s="278">
        <v>10.7</v>
      </c>
      <c r="P33" s="59">
        <v>160</v>
      </c>
      <c r="Q33" s="58">
        <v>7.67</v>
      </c>
      <c r="R33" s="56">
        <v>352</v>
      </c>
      <c r="S33" s="58">
        <v>15.92</v>
      </c>
      <c r="T33" s="54">
        <v>232</v>
      </c>
      <c r="U33" s="59">
        <v>30.1</v>
      </c>
      <c r="V33" s="75">
        <v>464</v>
      </c>
      <c r="W33" s="58">
        <v>7.28</v>
      </c>
      <c r="X33" s="59">
        <v>281</v>
      </c>
      <c r="Y33" s="65">
        <v>4.6399999999999997</v>
      </c>
      <c r="Z33" s="217">
        <v>481</v>
      </c>
      <c r="AA33" s="28">
        <v>10.51</v>
      </c>
      <c r="AB33" s="208"/>
      <c r="AC33" s="209"/>
      <c r="AD33" s="56">
        <v>230</v>
      </c>
      <c r="AE33" s="58">
        <v>32.6</v>
      </c>
      <c r="AF33" s="3">
        <v>332</v>
      </c>
      <c r="AG33" s="28">
        <v>8.16</v>
      </c>
      <c r="AH33" s="3">
        <v>171</v>
      </c>
      <c r="AI33" s="4">
        <v>6.07</v>
      </c>
      <c r="AJ33" s="56">
        <v>644</v>
      </c>
      <c r="AK33" s="59">
        <v>8.77</v>
      </c>
      <c r="AL33" s="56">
        <v>444</v>
      </c>
      <c r="AM33" s="58">
        <v>6.61</v>
      </c>
      <c r="AN33" s="59">
        <v>411</v>
      </c>
      <c r="AO33" s="59">
        <v>8.0500000000000007</v>
      </c>
      <c r="AP33" s="56">
        <v>542</v>
      </c>
      <c r="AQ33" s="58">
        <v>6.79</v>
      </c>
      <c r="AR33" s="59">
        <v>591</v>
      </c>
      <c r="AS33" s="65">
        <v>7.78</v>
      </c>
      <c r="AT33" s="59">
        <v>583</v>
      </c>
      <c r="AU33" s="58">
        <v>4.8</v>
      </c>
      <c r="AV33" s="75">
        <v>262</v>
      </c>
      <c r="AW33" s="279">
        <v>4.9000000000000004</v>
      </c>
      <c r="AX33" s="75">
        <v>352</v>
      </c>
      <c r="AY33" s="59">
        <v>5.0999999999999996</v>
      </c>
      <c r="AZ33" s="56">
        <v>361</v>
      </c>
      <c r="BA33" s="58">
        <v>7.5</v>
      </c>
      <c r="BB33" s="54">
        <v>454</v>
      </c>
      <c r="BC33" s="65">
        <v>4.78</v>
      </c>
      <c r="BD33" s="59">
        <v>128</v>
      </c>
      <c r="BE33" s="58">
        <v>3.77</v>
      </c>
      <c r="BF33" s="59">
        <v>400</v>
      </c>
      <c r="BG33" s="58">
        <v>4.38</v>
      </c>
      <c r="BH33" s="75">
        <v>490</v>
      </c>
      <c r="BI33" s="59">
        <v>4.09</v>
      </c>
      <c r="BJ33" s="75">
        <v>562</v>
      </c>
      <c r="BK33" s="58">
        <v>3.56</v>
      </c>
      <c r="BL33" s="59">
        <v>508</v>
      </c>
      <c r="BM33" s="65">
        <v>9.4700000000000006</v>
      </c>
      <c r="BN33" s="56">
        <v>465</v>
      </c>
      <c r="BO33" s="58">
        <v>7.09</v>
      </c>
      <c r="BP33" s="270"/>
      <c r="BQ33" s="209"/>
      <c r="BR33" s="56">
        <v>593</v>
      </c>
      <c r="BS33" s="59">
        <v>31.6</v>
      </c>
      <c r="BT33" s="56">
        <v>322</v>
      </c>
      <c r="BU33" s="58">
        <v>8.11</v>
      </c>
      <c r="BV33" s="217">
        <v>669</v>
      </c>
      <c r="BW33" s="2">
        <v>6.56</v>
      </c>
      <c r="BX33" s="269">
        <v>336</v>
      </c>
      <c r="BY33" s="58">
        <v>4.0999999999999996</v>
      </c>
      <c r="BZ33" s="56">
        <v>705</v>
      </c>
      <c r="CA33" s="58">
        <v>4.1399999999999997</v>
      </c>
      <c r="CB33" s="56">
        <v>367</v>
      </c>
      <c r="CC33" s="59">
        <v>4.83</v>
      </c>
      <c r="CD33" s="56">
        <v>722</v>
      </c>
      <c r="CE33" s="58">
        <v>13.29</v>
      </c>
      <c r="CF33" s="59">
        <v>480</v>
      </c>
      <c r="CG33" s="65">
        <v>9.68</v>
      </c>
      <c r="CH33" s="280">
        <v>686</v>
      </c>
      <c r="CI33" s="58">
        <v>7.99</v>
      </c>
      <c r="CJ33" s="56">
        <v>741</v>
      </c>
      <c r="CK33" s="58">
        <v>12.64</v>
      </c>
      <c r="CL33" s="85">
        <v>533</v>
      </c>
      <c r="CM33" s="59">
        <v>8.73</v>
      </c>
      <c r="CN33" s="56">
        <v>624</v>
      </c>
      <c r="CO33" s="58">
        <v>12.02</v>
      </c>
      <c r="CP33" s="59">
        <v>942</v>
      </c>
      <c r="CQ33" s="65">
        <v>10.92</v>
      </c>
      <c r="CR33" s="269">
        <v>820</v>
      </c>
      <c r="CS33" s="58">
        <v>9.8800000000000008</v>
      </c>
      <c r="CT33" s="75">
        <v>576</v>
      </c>
      <c r="CU33" s="58">
        <v>18.28</v>
      </c>
      <c r="CV33" s="56">
        <v>864</v>
      </c>
      <c r="CW33" s="59">
        <v>16.29</v>
      </c>
      <c r="CX33" s="75">
        <v>707</v>
      </c>
      <c r="CY33" s="58">
        <v>7.71</v>
      </c>
      <c r="CZ33" s="59">
        <v>684</v>
      </c>
      <c r="DA33" s="65">
        <v>3.58</v>
      </c>
      <c r="DB33" s="59">
        <v>449</v>
      </c>
      <c r="DC33" s="279">
        <v>4</v>
      </c>
      <c r="DD33" s="56">
        <v>623</v>
      </c>
      <c r="DE33" s="58">
        <v>7.73</v>
      </c>
      <c r="DF33" s="54">
        <v>744</v>
      </c>
      <c r="DG33" s="59">
        <v>6.45</v>
      </c>
      <c r="DH33" s="56">
        <v>682</v>
      </c>
      <c r="DI33" s="58">
        <v>13.51</v>
      </c>
      <c r="DJ33" s="54">
        <v>880</v>
      </c>
      <c r="DK33" s="65">
        <v>11.24</v>
      </c>
      <c r="DL33" s="59">
        <v>547</v>
      </c>
      <c r="DM33" s="58">
        <v>6.63</v>
      </c>
      <c r="DN33" s="75">
        <v>742</v>
      </c>
      <c r="DO33" s="64">
        <v>9.33</v>
      </c>
      <c r="DP33" s="59">
        <v>996</v>
      </c>
      <c r="DQ33" s="59">
        <v>13.88</v>
      </c>
      <c r="DR33" s="56">
        <v>614</v>
      </c>
      <c r="DS33" s="58">
        <v>7.67</v>
      </c>
      <c r="DT33" s="59">
        <v>522</v>
      </c>
      <c r="DU33" s="65">
        <v>4.8099999999999996</v>
      </c>
      <c r="DV33" s="54">
        <v>913</v>
      </c>
      <c r="DW33" s="58">
        <v>4.47</v>
      </c>
      <c r="DX33" s="56">
        <v>650</v>
      </c>
      <c r="DY33" s="58">
        <v>6.59</v>
      </c>
      <c r="DZ33" s="59">
        <v>957</v>
      </c>
      <c r="EA33" s="59">
        <v>8.07</v>
      </c>
      <c r="EB33" s="56">
        <v>936</v>
      </c>
      <c r="EC33" s="58">
        <v>7.11</v>
      </c>
      <c r="ED33" s="59">
        <v>779</v>
      </c>
      <c r="EE33" s="65">
        <v>8.48</v>
      </c>
      <c r="EF33" s="54">
        <v>899</v>
      </c>
      <c r="EG33" s="58">
        <v>8.35</v>
      </c>
      <c r="EH33" s="56">
        <v>825</v>
      </c>
      <c r="EI33" s="58">
        <v>6.36</v>
      </c>
      <c r="EJ33" s="59">
        <v>912</v>
      </c>
      <c r="EK33" s="59">
        <v>6.52</v>
      </c>
      <c r="EL33" s="56">
        <v>834</v>
      </c>
      <c r="EM33" s="58">
        <v>6.75</v>
      </c>
      <c r="EN33" s="54">
        <v>932</v>
      </c>
      <c r="EO33" s="65">
        <v>7.21</v>
      </c>
      <c r="EP33" s="54">
        <v>987</v>
      </c>
      <c r="EQ33" s="58">
        <v>9.83</v>
      </c>
      <c r="ER33" s="75">
        <v>722</v>
      </c>
      <c r="ES33" s="58">
        <v>8.98</v>
      </c>
      <c r="ET33" s="59">
        <v>538</v>
      </c>
      <c r="EU33" s="59">
        <v>7.16</v>
      </c>
      <c r="EV33" s="56">
        <v>712</v>
      </c>
      <c r="EW33" s="58">
        <v>15.77</v>
      </c>
      <c r="EX33" s="59">
        <v>837</v>
      </c>
      <c r="EY33" s="65">
        <v>12.12</v>
      </c>
      <c r="EZ33" s="59">
        <v>918</v>
      </c>
      <c r="FA33" s="58">
        <v>10.23</v>
      </c>
      <c r="FB33" s="75">
        <v>852</v>
      </c>
      <c r="FC33" s="54">
        <v>25.6</v>
      </c>
      <c r="FD33" s="75">
        <v>609</v>
      </c>
      <c r="FE33" s="66">
        <v>19.3</v>
      </c>
      <c r="FF33" s="59">
        <v>666</v>
      </c>
      <c r="FG33" s="58">
        <v>31.5</v>
      </c>
      <c r="FH33" s="54">
        <v>993</v>
      </c>
      <c r="FI33" s="65">
        <v>13.28</v>
      </c>
      <c r="FJ33" s="59">
        <v>764</v>
      </c>
      <c r="FK33" s="58">
        <v>8.4600000000000009</v>
      </c>
      <c r="FL33" s="75">
        <v>908</v>
      </c>
      <c r="FM33" s="58">
        <v>10.68</v>
      </c>
      <c r="FN33" s="59">
        <v>830</v>
      </c>
      <c r="FO33" s="59">
        <v>53.5</v>
      </c>
      <c r="FP33" s="56">
        <v>668</v>
      </c>
      <c r="FQ33" s="66">
        <v>25.5</v>
      </c>
      <c r="FR33" s="54">
        <v>995</v>
      </c>
      <c r="FS33" s="65">
        <v>10.99</v>
      </c>
      <c r="FT33" s="59">
        <v>332</v>
      </c>
      <c r="FU33" s="58">
        <v>22.7</v>
      </c>
      <c r="FV33" s="56">
        <v>919</v>
      </c>
      <c r="FW33" s="58">
        <v>259</v>
      </c>
      <c r="FX33" s="56">
        <v>968</v>
      </c>
      <c r="FY33" s="58">
        <v>8.92</v>
      </c>
      <c r="FZ33" s="56">
        <v>928</v>
      </c>
      <c r="GA33" s="58">
        <v>9.7200000000000006</v>
      </c>
      <c r="GB33" s="54">
        <v>924</v>
      </c>
      <c r="GC33" s="65">
        <v>45.2</v>
      </c>
      <c r="GD33" s="59">
        <v>915</v>
      </c>
      <c r="GE33" s="58">
        <v>9.49</v>
      </c>
      <c r="GF33" s="75">
        <v>495</v>
      </c>
      <c r="GG33" s="58">
        <v>20.7</v>
      </c>
      <c r="GH33" s="59">
        <v>435</v>
      </c>
      <c r="GI33" s="59">
        <v>9.61</v>
      </c>
      <c r="GJ33" s="56">
        <v>411</v>
      </c>
      <c r="GK33" s="58">
        <v>15.96</v>
      </c>
      <c r="GL33" s="59">
        <v>477</v>
      </c>
      <c r="GM33" s="65">
        <v>23.5</v>
      </c>
      <c r="GN33" s="59">
        <v>268</v>
      </c>
      <c r="GO33" s="58">
        <v>7.78</v>
      </c>
      <c r="GP33" s="56">
        <v>383</v>
      </c>
      <c r="GQ33" s="58">
        <v>19.91</v>
      </c>
      <c r="GR33" s="59">
        <v>390</v>
      </c>
      <c r="GS33" s="59">
        <v>43</v>
      </c>
      <c r="GT33" s="56">
        <v>336</v>
      </c>
      <c r="GU33" s="58">
        <v>30.7</v>
      </c>
      <c r="GV33" s="54">
        <v>562</v>
      </c>
      <c r="GW33" s="60">
        <v>42.9</v>
      </c>
    </row>
    <row r="34" spans="1:1046" x14ac:dyDescent="0.2">
      <c r="A34" s="2"/>
      <c r="B34" s="205"/>
      <c r="C34" s="23">
        <v>2</v>
      </c>
      <c r="D34" s="212">
        <v>26.9</v>
      </c>
      <c r="E34" s="213">
        <v>67.599999999999994</v>
      </c>
      <c r="F34" s="62">
        <v>112</v>
      </c>
      <c r="G34" s="2">
        <v>39.6</v>
      </c>
      <c r="H34" s="3">
        <v>477</v>
      </c>
      <c r="I34" s="28">
        <v>24.9</v>
      </c>
      <c r="J34" s="3">
        <v>391</v>
      </c>
      <c r="K34" s="28">
        <v>12.88</v>
      </c>
      <c r="L34" s="2">
        <v>389</v>
      </c>
      <c r="M34" s="2">
        <v>10.67</v>
      </c>
      <c r="N34" s="36">
        <v>514</v>
      </c>
      <c r="O34" s="4">
        <v>10.52</v>
      </c>
      <c r="P34" s="2">
        <v>170</v>
      </c>
      <c r="Q34" s="28">
        <v>7.5</v>
      </c>
      <c r="R34" s="3">
        <v>356</v>
      </c>
      <c r="S34" s="28">
        <v>15.04</v>
      </c>
      <c r="T34" s="217">
        <v>234</v>
      </c>
      <c r="U34" s="2">
        <v>30</v>
      </c>
      <c r="V34" s="36">
        <v>472</v>
      </c>
      <c r="W34" s="28">
        <v>7.14</v>
      </c>
      <c r="X34" s="2">
        <v>280</v>
      </c>
      <c r="Y34" s="4">
        <v>4.54</v>
      </c>
      <c r="Z34" s="217">
        <v>470</v>
      </c>
      <c r="AA34" s="28">
        <v>10.14</v>
      </c>
      <c r="AB34" s="214"/>
      <c r="AC34" s="211"/>
      <c r="AD34" s="3">
        <v>229</v>
      </c>
      <c r="AE34" s="28">
        <v>32.799999999999997</v>
      </c>
      <c r="AF34" s="3">
        <v>330</v>
      </c>
      <c r="AG34" s="28">
        <v>8.25</v>
      </c>
      <c r="AH34" s="3">
        <v>182</v>
      </c>
      <c r="AI34" s="4">
        <v>6.08</v>
      </c>
      <c r="AJ34" s="3">
        <v>643</v>
      </c>
      <c r="AK34" s="2">
        <v>8.5500000000000007</v>
      </c>
      <c r="AL34" s="3">
        <v>432</v>
      </c>
      <c r="AM34" s="28">
        <v>6.62</v>
      </c>
      <c r="AN34" s="2">
        <v>410</v>
      </c>
      <c r="AO34" s="2">
        <v>8.0299999999999994</v>
      </c>
      <c r="AP34" s="3">
        <v>543</v>
      </c>
      <c r="AQ34" s="28">
        <v>6.48</v>
      </c>
      <c r="AR34" s="217">
        <v>560</v>
      </c>
      <c r="AS34" s="4">
        <v>8.14</v>
      </c>
      <c r="AT34" s="217">
        <v>563</v>
      </c>
      <c r="AU34" s="28">
        <v>4.8099999999999996</v>
      </c>
      <c r="AV34" s="36">
        <v>247</v>
      </c>
      <c r="AW34" s="28">
        <v>4.8899999999999997</v>
      </c>
      <c r="AX34" s="36">
        <v>327</v>
      </c>
      <c r="AY34" s="2">
        <v>5.75</v>
      </c>
      <c r="AZ34" s="3">
        <v>360</v>
      </c>
      <c r="BA34" s="28">
        <v>7.99</v>
      </c>
      <c r="BB34" s="217">
        <v>411</v>
      </c>
      <c r="BC34" s="4">
        <v>4.95</v>
      </c>
      <c r="BD34" s="2">
        <v>134</v>
      </c>
      <c r="BE34" s="28">
        <v>3.81</v>
      </c>
      <c r="BF34" s="2">
        <v>399</v>
      </c>
      <c r="BG34" s="28">
        <v>4.68</v>
      </c>
      <c r="BH34" s="36">
        <v>484</v>
      </c>
      <c r="BI34" s="2">
        <v>4.7300000000000004</v>
      </c>
      <c r="BJ34" s="36">
        <v>548</v>
      </c>
      <c r="BK34" s="28">
        <v>3.55</v>
      </c>
      <c r="BL34" s="2">
        <v>502</v>
      </c>
      <c r="BM34" s="4">
        <v>9.7799999999999994</v>
      </c>
      <c r="BN34" s="3">
        <v>457</v>
      </c>
      <c r="BO34" s="28">
        <v>7.27</v>
      </c>
      <c r="BP34" s="210"/>
      <c r="BQ34" s="211"/>
      <c r="BR34" s="3">
        <v>600</v>
      </c>
      <c r="BS34" s="2">
        <v>30.6</v>
      </c>
      <c r="BT34" s="3">
        <v>321</v>
      </c>
      <c r="BU34" s="28">
        <v>8.68</v>
      </c>
      <c r="BV34" s="2">
        <v>647</v>
      </c>
      <c r="BW34" s="2">
        <v>6.64</v>
      </c>
      <c r="BX34" s="79">
        <v>331</v>
      </c>
      <c r="BY34" s="28">
        <v>3.98</v>
      </c>
      <c r="BZ34" s="3">
        <v>713</v>
      </c>
      <c r="CA34" s="28">
        <v>4.13</v>
      </c>
      <c r="CB34" s="3">
        <v>369</v>
      </c>
      <c r="CC34" s="2">
        <v>4.51</v>
      </c>
      <c r="CD34" s="3">
        <v>721</v>
      </c>
      <c r="CE34" s="28">
        <v>12.86</v>
      </c>
      <c r="CF34" s="2">
        <v>471</v>
      </c>
      <c r="CG34" s="4">
        <v>10.3</v>
      </c>
      <c r="CH34" s="281">
        <v>665</v>
      </c>
      <c r="CI34" s="28">
        <v>7.97</v>
      </c>
      <c r="CJ34" s="3">
        <v>748</v>
      </c>
      <c r="CK34" s="28">
        <v>11.84</v>
      </c>
      <c r="CL34" s="82">
        <v>530</v>
      </c>
      <c r="CM34" s="2">
        <v>7.97</v>
      </c>
      <c r="CN34" s="3">
        <v>630</v>
      </c>
      <c r="CO34" s="28">
        <v>11.52</v>
      </c>
      <c r="CP34" s="217">
        <v>964</v>
      </c>
      <c r="CQ34" s="4">
        <v>11.17</v>
      </c>
      <c r="CR34" s="264">
        <v>842</v>
      </c>
      <c r="CS34" s="28">
        <v>9.6999999999999993</v>
      </c>
      <c r="CT34" s="36">
        <v>568</v>
      </c>
      <c r="CU34" s="28">
        <v>18.84</v>
      </c>
      <c r="CV34" s="3">
        <v>864</v>
      </c>
      <c r="CW34" s="2">
        <v>16.100000000000001</v>
      </c>
      <c r="CX34" s="3">
        <v>684</v>
      </c>
      <c r="CY34" s="33">
        <v>4.71</v>
      </c>
      <c r="CZ34" s="2">
        <v>674</v>
      </c>
      <c r="DA34" s="4">
        <v>2.97</v>
      </c>
      <c r="DB34" s="217">
        <v>432</v>
      </c>
      <c r="DC34" s="28">
        <v>3.91</v>
      </c>
      <c r="DD34" s="36">
        <v>643</v>
      </c>
      <c r="DE34" s="28">
        <v>7.54</v>
      </c>
      <c r="DF34" s="2">
        <v>723</v>
      </c>
      <c r="DG34" s="2">
        <v>6.47</v>
      </c>
      <c r="DH34" s="36">
        <v>699</v>
      </c>
      <c r="DI34" s="28">
        <v>12.54</v>
      </c>
      <c r="DJ34" s="2">
        <v>907</v>
      </c>
      <c r="DK34" s="4">
        <v>11.32</v>
      </c>
      <c r="DL34" s="2">
        <v>541</v>
      </c>
      <c r="DM34" s="28">
        <v>7.45</v>
      </c>
      <c r="DN34" s="3">
        <v>692</v>
      </c>
      <c r="DO34" s="28">
        <v>10.050000000000001</v>
      </c>
      <c r="DP34" s="2">
        <v>992</v>
      </c>
      <c r="DQ34" s="2">
        <v>13.96</v>
      </c>
      <c r="DR34" s="3">
        <v>629</v>
      </c>
      <c r="DS34" s="28">
        <v>7.9</v>
      </c>
      <c r="DT34" s="2">
        <v>521</v>
      </c>
      <c r="DU34" s="4">
        <v>4.82</v>
      </c>
      <c r="DV34" s="2">
        <v>895</v>
      </c>
      <c r="DW34" s="28">
        <v>4.37</v>
      </c>
      <c r="DX34" s="3">
        <v>643</v>
      </c>
      <c r="DY34" s="28">
        <v>5.71</v>
      </c>
      <c r="DZ34" s="217">
        <v>942</v>
      </c>
      <c r="EA34" s="217">
        <v>6.12</v>
      </c>
      <c r="EB34" s="3">
        <v>927</v>
      </c>
      <c r="EC34" s="33">
        <v>5.22</v>
      </c>
      <c r="ED34" s="2">
        <v>775</v>
      </c>
      <c r="EE34" s="67">
        <v>6.11</v>
      </c>
      <c r="EF34" s="2">
        <v>879</v>
      </c>
      <c r="EG34" s="28">
        <v>8.42</v>
      </c>
      <c r="EH34" s="3">
        <v>829</v>
      </c>
      <c r="EI34" s="32">
        <v>5.8</v>
      </c>
      <c r="EJ34" s="217">
        <v>981</v>
      </c>
      <c r="EK34" s="2">
        <v>6.33</v>
      </c>
      <c r="EL34" s="36">
        <v>850</v>
      </c>
      <c r="EM34" s="28">
        <v>5.46</v>
      </c>
      <c r="EN34" s="2">
        <v>981</v>
      </c>
      <c r="EO34" s="4">
        <v>5.58</v>
      </c>
      <c r="EP34" s="217">
        <v>983</v>
      </c>
      <c r="EQ34" s="33">
        <v>8.17</v>
      </c>
      <c r="ER34" s="3">
        <v>748</v>
      </c>
      <c r="ES34" s="28">
        <v>8.7100000000000009</v>
      </c>
      <c r="ET34" s="2">
        <v>543</v>
      </c>
      <c r="EU34" s="2">
        <v>6.6</v>
      </c>
      <c r="EV34" s="3">
        <v>718</v>
      </c>
      <c r="EW34" s="33">
        <v>9.3699999999999992</v>
      </c>
      <c r="EX34" s="217">
        <v>814</v>
      </c>
      <c r="EY34" s="4">
        <v>12.08</v>
      </c>
      <c r="EZ34" s="2">
        <v>917</v>
      </c>
      <c r="FA34" s="28">
        <v>9.98</v>
      </c>
      <c r="FB34" s="3">
        <v>835</v>
      </c>
      <c r="FC34" s="217">
        <v>24.6</v>
      </c>
      <c r="FD34" s="36">
        <v>599</v>
      </c>
      <c r="FE34" s="33">
        <v>18.28</v>
      </c>
      <c r="FF34" s="2">
        <v>667</v>
      </c>
      <c r="FG34" s="28">
        <v>32.1</v>
      </c>
      <c r="FH34" s="217">
        <v>972</v>
      </c>
      <c r="FI34" s="4">
        <v>14.08</v>
      </c>
      <c r="FJ34" s="2">
        <v>771</v>
      </c>
      <c r="FK34" s="28">
        <v>8.7200000000000006</v>
      </c>
      <c r="FL34" s="3">
        <v>939</v>
      </c>
      <c r="FM34" s="28">
        <v>10.52</v>
      </c>
      <c r="FN34" s="2">
        <v>837</v>
      </c>
      <c r="FO34" s="217">
        <v>56.7</v>
      </c>
      <c r="FP34" s="3">
        <v>664</v>
      </c>
      <c r="FQ34" s="28">
        <v>27.9</v>
      </c>
      <c r="FR34" s="217">
        <v>998</v>
      </c>
      <c r="FS34" s="4">
        <v>12.25</v>
      </c>
      <c r="FT34" s="2">
        <v>338</v>
      </c>
      <c r="FU34" s="28">
        <v>25.6</v>
      </c>
      <c r="FV34" s="3">
        <v>885</v>
      </c>
      <c r="FW34" s="33">
        <v>242</v>
      </c>
      <c r="FX34" s="3">
        <v>967</v>
      </c>
      <c r="FY34" s="28">
        <v>9.74</v>
      </c>
      <c r="FZ34" s="3">
        <v>932</v>
      </c>
      <c r="GA34" s="28">
        <v>9.9</v>
      </c>
      <c r="GB34" s="217">
        <v>924</v>
      </c>
      <c r="GC34" s="4">
        <v>43.7</v>
      </c>
      <c r="GD34" s="2">
        <v>913</v>
      </c>
      <c r="GE34" s="28">
        <v>9.75</v>
      </c>
      <c r="GF34" s="36">
        <v>483</v>
      </c>
      <c r="GG34" s="28">
        <v>20.399999999999999</v>
      </c>
      <c r="GH34" s="2">
        <v>433</v>
      </c>
      <c r="GI34" s="2">
        <v>9.59</v>
      </c>
      <c r="GJ34" s="36">
        <v>404</v>
      </c>
      <c r="GK34" s="33">
        <v>17</v>
      </c>
      <c r="GL34" s="2">
        <v>478</v>
      </c>
      <c r="GM34" s="4">
        <v>26.9</v>
      </c>
      <c r="GN34" s="217">
        <v>237</v>
      </c>
      <c r="GO34" s="28">
        <v>7.07</v>
      </c>
      <c r="GP34" s="3">
        <v>394</v>
      </c>
      <c r="GQ34" s="28">
        <v>23.8</v>
      </c>
      <c r="GR34" s="2">
        <v>397</v>
      </c>
      <c r="GS34" s="2">
        <v>37.5</v>
      </c>
      <c r="GT34" s="3">
        <v>335</v>
      </c>
      <c r="GU34" s="28">
        <v>36.200000000000003</v>
      </c>
      <c r="GV34" s="217">
        <v>561</v>
      </c>
      <c r="GW34" s="67">
        <v>40</v>
      </c>
    </row>
    <row r="35" spans="1:1046" x14ac:dyDescent="0.2">
      <c r="A35" s="2"/>
      <c r="B35" s="205"/>
      <c r="C35" s="23">
        <v>3</v>
      </c>
      <c r="D35" s="212">
        <v>26.8</v>
      </c>
      <c r="E35" s="213">
        <v>68.5</v>
      </c>
      <c r="F35" s="62">
        <v>101</v>
      </c>
      <c r="G35" s="2">
        <v>40.200000000000003</v>
      </c>
      <c r="H35" s="36">
        <v>495</v>
      </c>
      <c r="I35" s="28">
        <v>24.8</v>
      </c>
      <c r="J35" s="3">
        <v>393</v>
      </c>
      <c r="K35" s="28">
        <v>12.09</v>
      </c>
      <c r="L35" s="2">
        <v>401</v>
      </c>
      <c r="M35" s="2">
        <v>10.47</v>
      </c>
      <c r="N35" s="36">
        <v>504</v>
      </c>
      <c r="O35" s="4">
        <v>10.38</v>
      </c>
      <c r="P35" s="2">
        <v>181</v>
      </c>
      <c r="Q35" s="28">
        <v>7.95</v>
      </c>
      <c r="R35" s="3">
        <v>356</v>
      </c>
      <c r="S35" s="28">
        <v>16.91</v>
      </c>
      <c r="T35" s="2">
        <v>250</v>
      </c>
      <c r="U35" s="2">
        <v>30.1</v>
      </c>
      <c r="V35" s="3">
        <v>486</v>
      </c>
      <c r="W35" s="28">
        <v>7.29</v>
      </c>
      <c r="X35" s="2">
        <v>292</v>
      </c>
      <c r="Y35" s="4">
        <v>4.7300000000000004</v>
      </c>
      <c r="Z35" s="2">
        <v>444</v>
      </c>
      <c r="AA35" s="28">
        <v>10.46</v>
      </c>
      <c r="AB35" s="214"/>
      <c r="AC35" s="211"/>
      <c r="AD35" s="3">
        <v>230</v>
      </c>
      <c r="AE35" s="28">
        <v>32.700000000000003</v>
      </c>
      <c r="AF35" s="3">
        <v>334</v>
      </c>
      <c r="AG35" s="28">
        <v>8.11</v>
      </c>
      <c r="AH35" s="3">
        <v>175</v>
      </c>
      <c r="AI35" s="4">
        <v>6.01</v>
      </c>
      <c r="AJ35" s="3">
        <v>639</v>
      </c>
      <c r="AK35" s="2">
        <v>8.5399999999999991</v>
      </c>
      <c r="AL35" s="3">
        <v>446</v>
      </c>
      <c r="AM35" s="28"/>
      <c r="AN35" s="2">
        <v>401</v>
      </c>
      <c r="AO35" s="2">
        <v>7.96</v>
      </c>
      <c r="AP35" s="3">
        <v>533</v>
      </c>
      <c r="AQ35" s="28">
        <v>6.58</v>
      </c>
      <c r="AR35" s="217">
        <v>565</v>
      </c>
      <c r="AS35" s="4">
        <v>7.94</v>
      </c>
      <c r="AT35" s="217">
        <v>569</v>
      </c>
      <c r="AU35" s="28">
        <v>5.1100000000000003</v>
      </c>
      <c r="AV35" s="3">
        <v>301</v>
      </c>
      <c r="AW35" s="28">
        <v>5.12</v>
      </c>
      <c r="AX35" s="3">
        <v>294</v>
      </c>
      <c r="AY35" s="2">
        <v>5.08</v>
      </c>
      <c r="AZ35" s="3">
        <v>352</v>
      </c>
      <c r="BA35" s="28">
        <v>7.5</v>
      </c>
      <c r="BB35" s="2">
        <v>340</v>
      </c>
      <c r="BC35" s="4">
        <v>5.32</v>
      </c>
      <c r="BD35" s="2">
        <v>132</v>
      </c>
      <c r="BE35" s="28">
        <v>3.76</v>
      </c>
      <c r="BF35" s="2">
        <v>397</v>
      </c>
      <c r="BG35" s="28">
        <v>4.04</v>
      </c>
      <c r="BH35" s="3">
        <v>514</v>
      </c>
      <c r="BI35" s="2">
        <v>4.45</v>
      </c>
      <c r="BJ35" s="3">
        <v>586</v>
      </c>
      <c r="BK35" s="28">
        <v>3.59</v>
      </c>
      <c r="BL35" s="2">
        <v>484</v>
      </c>
      <c r="BM35" s="4">
        <v>9.59</v>
      </c>
      <c r="BN35" s="3">
        <v>462</v>
      </c>
      <c r="BO35" s="28">
        <v>7.19</v>
      </c>
      <c r="BP35" s="210"/>
      <c r="BQ35" s="211"/>
      <c r="BR35" s="3">
        <v>604</v>
      </c>
      <c r="BS35" s="2">
        <v>30.5</v>
      </c>
      <c r="BT35" s="3">
        <v>325</v>
      </c>
      <c r="BU35" s="28">
        <v>8.43</v>
      </c>
      <c r="BV35" s="217">
        <v>686</v>
      </c>
      <c r="BW35" s="2">
        <v>6.49</v>
      </c>
      <c r="BX35" s="79">
        <v>338</v>
      </c>
      <c r="BY35" s="28">
        <v>4.28</v>
      </c>
      <c r="BZ35" s="3">
        <v>713</v>
      </c>
      <c r="CA35" s="28">
        <v>4.26</v>
      </c>
      <c r="CB35" s="3">
        <v>366</v>
      </c>
      <c r="CC35" s="2">
        <v>4.84</v>
      </c>
      <c r="CD35" s="3">
        <v>732</v>
      </c>
      <c r="CE35" s="28">
        <v>13.21</v>
      </c>
      <c r="CF35" s="2">
        <v>480</v>
      </c>
      <c r="CG35" s="4">
        <v>11.2</v>
      </c>
      <c r="CH35" s="272">
        <v>678</v>
      </c>
      <c r="CI35" s="28">
        <v>8.42</v>
      </c>
      <c r="CJ35" s="3">
        <v>746</v>
      </c>
      <c r="CK35" s="28">
        <v>12.45</v>
      </c>
      <c r="CL35" s="82">
        <v>520</v>
      </c>
      <c r="CM35" s="2">
        <v>9.4700000000000006</v>
      </c>
      <c r="CN35" s="3"/>
      <c r="CO35" s="28">
        <v>10.49</v>
      </c>
      <c r="CP35" s="217">
        <v>975</v>
      </c>
      <c r="CQ35" s="4">
        <v>11.09</v>
      </c>
      <c r="CR35" s="264">
        <v>851</v>
      </c>
      <c r="CS35" s="28">
        <v>9.69</v>
      </c>
      <c r="CT35" s="3">
        <v>543</v>
      </c>
      <c r="CU35" s="28">
        <v>19.739999999999998</v>
      </c>
      <c r="CV35" s="3">
        <v>865</v>
      </c>
      <c r="CW35" s="2">
        <v>16.02</v>
      </c>
      <c r="CX35" s="36">
        <v>726</v>
      </c>
      <c r="CY35" s="33">
        <v>4.7699999999999996</v>
      </c>
      <c r="CZ35" s="2">
        <v>672</v>
      </c>
      <c r="DA35" s="4">
        <v>4.8099999999999996</v>
      </c>
      <c r="DB35" s="217">
        <v>419</v>
      </c>
      <c r="DC35" s="28">
        <v>3.42</v>
      </c>
      <c r="DD35" s="36">
        <v>653</v>
      </c>
      <c r="DE35" s="28">
        <v>8.2799999999999994</v>
      </c>
      <c r="DF35" s="217">
        <v>741</v>
      </c>
      <c r="DG35" s="2">
        <v>6.32</v>
      </c>
      <c r="DH35" s="36">
        <v>698</v>
      </c>
      <c r="DI35" s="28">
        <v>13.32</v>
      </c>
      <c r="DJ35" s="217">
        <v>872</v>
      </c>
      <c r="DK35" s="4">
        <v>12.3</v>
      </c>
      <c r="DL35" s="2">
        <v>556</v>
      </c>
      <c r="DM35" s="28">
        <v>7.06</v>
      </c>
      <c r="DN35" s="36">
        <v>737</v>
      </c>
      <c r="DO35" s="28">
        <v>8.57</v>
      </c>
      <c r="DP35" s="2">
        <v>993</v>
      </c>
      <c r="DQ35" s="2">
        <v>12.35</v>
      </c>
      <c r="DR35" s="3">
        <v>619</v>
      </c>
      <c r="DS35" s="28">
        <v>7.91</v>
      </c>
      <c r="DT35" s="2">
        <v>520</v>
      </c>
      <c r="DU35" s="4">
        <v>5.77</v>
      </c>
      <c r="DV35" s="217">
        <v>927</v>
      </c>
      <c r="DW35" s="28">
        <v>4.25</v>
      </c>
      <c r="DX35" s="3">
        <v>652</v>
      </c>
      <c r="DY35" s="28">
        <v>5.91</v>
      </c>
      <c r="DZ35" s="217">
        <v>941</v>
      </c>
      <c r="EA35" s="217">
        <v>6.12</v>
      </c>
      <c r="EB35" s="3">
        <v>921</v>
      </c>
      <c r="EC35" s="33">
        <v>5.04</v>
      </c>
      <c r="ED35" s="2">
        <v>782</v>
      </c>
      <c r="EE35" s="67">
        <v>5.31</v>
      </c>
      <c r="EF35" s="217">
        <v>892</v>
      </c>
      <c r="EG35" s="28">
        <v>7.93</v>
      </c>
      <c r="EH35" s="3">
        <v>820</v>
      </c>
      <c r="EI35" s="28">
        <v>6.38</v>
      </c>
      <c r="EJ35" s="217">
        <v>969</v>
      </c>
      <c r="EK35" s="2">
        <v>6.34</v>
      </c>
      <c r="EL35" s="36">
        <v>860</v>
      </c>
      <c r="EM35" s="28">
        <v>5.93</v>
      </c>
      <c r="EN35" s="217">
        <v>942</v>
      </c>
      <c r="EO35" s="4">
        <v>6.34</v>
      </c>
      <c r="EP35" s="2">
        <v>957</v>
      </c>
      <c r="EQ35" s="33">
        <v>7.76</v>
      </c>
      <c r="ER35" s="36">
        <v>727</v>
      </c>
      <c r="ES35" s="28">
        <v>9.7899999999999991</v>
      </c>
      <c r="ET35" s="2">
        <v>542</v>
      </c>
      <c r="EU35" s="2">
        <v>7.12</v>
      </c>
      <c r="EV35" s="3">
        <v>717</v>
      </c>
      <c r="EW35" s="33">
        <v>9.27</v>
      </c>
      <c r="EX35" s="217">
        <v>803</v>
      </c>
      <c r="EY35" s="4">
        <v>11.75</v>
      </c>
      <c r="EZ35" s="2">
        <v>918</v>
      </c>
      <c r="FA35" s="28">
        <v>9.9700000000000006</v>
      </c>
      <c r="FB35" s="36">
        <v>856</v>
      </c>
      <c r="FC35" s="2">
        <v>31.1</v>
      </c>
      <c r="FD35" s="3">
        <v>625</v>
      </c>
      <c r="FE35" s="28">
        <v>20.7</v>
      </c>
      <c r="FF35" s="2">
        <v>675</v>
      </c>
      <c r="FG35" s="28">
        <v>32.299999999999997</v>
      </c>
      <c r="FH35" s="2">
        <v>909</v>
      </c>
      <c r="FI35" s="4">
        <v>13.22</v>
      </c>
      <c r="FJ35" s="2">
        <v>757</v>
      </c>
      <c r="FK35" s="28">
        <v>7.99</v>
      </c>
      <c r="FL35" s="36">
        <v>908</v>
      </c>
      <c r="FM35" s="28">
        <v>12.1</v>
      </c>
      <c r="FN35" s="2">
        <v>827</v>
      </c>
      <c r="FO35" s="217">
        <v>56.8</v>
      </c>
      <c r="FP35" s="3">
        <v>671</v>
      </c>
      <c r="FQ35" s="33">
        <v>25.5</v>
      </c>
      <c r="FR35" s="2">
        <v>827</v>
      </c>
      <c r="FS35" s="4">
        <v>11.62</v>
      </c>
      <c r="FT35" s="2">
        <v>333</v>
      </c>
      <c r="FU35" s="28">
        <v>23.9</v>
      </c>
      <c r="FV35" s="3">
        <v>877</v>
      </c>
      <c r="FW35" s="33">
        <v>226</v>
      </c>
      <c r="FX35" s="3">
        <v>971</v>
      </c>
      <c r="FY35" s="28">
        <v>9.48</v>
      </c>
      <c r="FZ35" s="3">
        <v>939</v>
      </c>
      <c r="GA35" s="28">
        <v>9.68</v>
      </c>
      <c r="GB35" s="2">
        <v>901</v>
      </c>
      <c r="GC35" s="4">
        <v>37.6</v>
      </c>
      <c r="GD35" s="2">
        <v>912</v>
      </c>
      <c r="GE35" s="28">
        <v>9.64</v>
      </c>
      <c r="GF35" s="3">
        <v>509</v>
      </c>
      <c r="GG35" s="28">
        <v>20.5</v>
      </c>
      <c r="GH35" s="2">
        <v>435</v>
      </c>
      <c r="GI35" s="2">
        <v>9.6</v>
      </c>
      <c r="GJ35" s="36">
        <v>405</v>
      </c>
      <c r="GK35" s="33">
        <v>17.29</v>
      </c>
      <c r="GL35" s="2">
        <v>473</v>
      </c>
      <c r="GM35" s="4">
        <v>30</v>
      </c>
      <c r="GN35" s="217">
        <v>237</v>
      </c>
      <c r="GO35" s="28">
        <v>6.05</v>
      </c>
      <c r="GP35" s="3">
        <v>389</v>
      </c>
      <c r="GQ35" s="28">
        <v>24</v>
      </c>
      <c r="GR35" s="2">
        <v>393</v>
      </c>
      <c r="GS35" s="2">
        <v>41.9</v>
      </c>
      <c r="GT35" s="3">
        <v>336</v>
      </c>
      <c r="GU35" s="28">
        <v>38.200000000000003</v>
      </c>
      <c r="GV35" s="2">
        <v>548</v>
      </c>
      <c r="GW35" s="4">
        <v>46.6</v>
      </c>
    </row>
    <row r="36" spans="1:1046" s="234" customFormat="1" ht="15" x14ac:dyDescent="0.2">
      <c r="A36" s="2"/>
      <c r="B36" s="78"/>
      <c r="C36" s="220" t="s">
        <v>87</v>
      </c>
      <c r="D36" s="282">
        <f>AVERAGE(D33,D34,D35)</f>
        <v>26.933333333333334</v>
      </c>
      <c r="E36" s="283">
        <f>AVERAGE(E33,E34,E35)</f>
        <v>67.933333333333337</v>
      </c>
      <c r="F36" s="253">
        <f>AVERAGE(F33,F34,F35)</f>
        <v>106.33333333333333</v>
      </c>
      <c r="G36" s="228">
        <f t="shared" ref="G36:BR36" si="68">AVERAGE(G33,G34,G35)</f>
        <v>40.1</v>
      </c>
      <c r="H36" s="250">
        <f>AVERAGE(H33,H35)</f>
        <v>496</v>
      </c>
      <c r="I36" s="284">
        <f t="shared" si="68"/>
        <v>24.933333333333334</v>
      </c>
      <c r="J36" s="224">
        <f t="shared" si="68"/>
        <v>388</v>
      </c>
      <c r="K36" s="231">
        <f t="shared" si="68"/>
        <v>12.35</v>
      </c>
      <c r="L36" s="228">
        <f t="shared" si="68"/>
        <v>392</v>
      </c>
      <c r="M36" s="228">
        <f t="shared" si="68"/>
        <v>10.57</v>
      </c>
      <c r="N36" s="250">
        <f>AVERAGE(N34,N35)</f>
        <v>509</v>
      </c>
      <c r="O36" s="230">
        <f t="shared" si="68"/>
        <v>10.533333333333333</v>
      </c>
      <c r="P36" s="253">
        <f t="shared" si="68"/>
        <v>170.33333333333334</v>
      </c>
      <c r="Q36" s="225">
        <f t="shared" si="68"/>
        <v>7.706666666666667</v>
      </c>
      <c r="R36" s="248">
        <f t="shared" si="68"/>
        <v>354.66666666666669</v>
      </c>
      <c r="S36" s="225">
        <f t="shared" si="68"/>
        <v>15.956666666666669</v>
      </c>
      <c r="T36" s="247">
        <f>AVERAGE(T33,T34)</f>
        <v>233</v>
      </c>
      <c r="U36" s="285">
        <f t="shared" si="68"/>
        <v>30.066666666666666</v>
      </c>
      <c r="V36" s="256">
        <f>AVERAGE(V33,V34)</f>
        <v>468</v>
      </c>
      <c r="W36" s="225">
        <f t="shared" si="68"/>
        <v>7.2366666666666672</v>
      </c>
      <c r="X36" s="253">
        <f t="shared" si="68"/>
        <v>284.33333333333331</v>
      </c>
      <c r="Y36" s="230">
        <f t="shared" si="68"/>
        <v>4.6366666666666667</v>
      </c>
      <c r="Z36" s="252">
        <f>AVERAGE(Z33,Z34)</f>
        <v>475.5</v>
      </c>
      <c r="AA36" s="231">
        <f>AVERAGE(AA33,AA34,AA35)</f>
        <v>10.37</v>
      </c>
      <c r="AB36" s="224"/>
      <c r="AC36" s="231"/>
      <c r="AD36" s="248">
        <f t="shared" si="68"/>
        <v>229.66666666666666</v>
      </c>
      <c r="AE36" s="231">
        <f t="shared" si="68"/>
        <v>32.700000000000003</v>
      </c>
      <c r="AF36" s="224">
        <f t="shared" si="68"/>
        <v>332</v>
      </c>
      <c r="AG36" s="225">
        <f t="shared" si="68"/>
        <v>8.1733333333333338</v>
      </c>
      <c r="AH36" s="253">
        <f t="shared" si="68"/>
        <v>176</v>
      </c>
      <c r="AI36" s="230">
        <f t="shared" si="68"/>
        <v>6.0533333333333337</v>
      </c>
      <c r="AJ36" s="78">
        <f t="shared" si="68"/>
        <v>642</v>
      </c>
      <c r="AK36" s="228">
        <f t="shared" si="68"/>
        <v>8.6199999999999992</v>
      </c>
      <c r="AL36" s="248">
        <f t="shared" si="68"/>
        <v>440.66666666666669</v>
      </c>
      <c r="AM36" s="225">
        <f t="shared" si="68"/>
        <v>6.6150000000000002</v>
      </c>
      <c r="AN36" s="253">
        <f t="shared" si="68"/>
        <v>407.33333333333331</v>
      </c>
      <c r="AO36" s="223">
        <f t="shared" si="68"/>
        <v>8.0133333333333336</v>
      </c>
      <c r="AP36" s="248">
        <f t="shared" si="68"/>
        <v>539.33333333333337</v>
      </c>
      <c r="AQ36" s="225">
        <f t="shared" si="68"/>
        <v>6.6166666666666671</v>
      </c>
      <c r="AR36" s="247">
        <f>AVERAGE(AR34,AR35)</f>
        <v>562.5</v>
      </c>
      <c r="AS36" s="230">
        <f t="shared" si="68"/>
        <v>7.953333333333334</v>
      </c>
      <c r="AT36" s="247">
        <f>AVERAGE(AT34,AT35)</f>
        <v>566</v>
      </c>
      <c r="AU36" s="225">
        <f t="shared" si="68"/>
        <v>4.9066666666666663</v>
      </c>
      <c r="AV36" s="256">
        <f>AVERAGE(AV33,AV34)</f>
        <v>254.5</v>
      </c>
      <c r="AW36" s="231">
        <f t="shared" si="68"/>
        <v>4.97</v>
      </c>
      <c r="AX36" s="250">
        <f>AVERAGE(AX33,AX34)</f>
        <v>339.5</v>
      </c>
      <c r="AY36" s="228">
        <f t="shared" si="68"/>
        <v>5.31</v>
      </c>
      <c r="AZ36" s="248">
        <f t="shared" si="68"/>
        <v>357.66666666666669</v>
      </c>
      <c r="BA36" s="225">
        <f t="shared" si="68"/>
        <v>7.663333333333334</v>
      </c>
      <c r="BB36" s="247">
        <f>AVERAGE(BB33,BB34)</f>
        <v>432.5</v>
      </c>
      <c r="BC36" s="230">
        <f t="shared" si="68"/>
        <v>5.0166666666666666</v>
      </c>
      <c r="BD36" s="253">
        <f t="shared" si="68"/>
        <v>131.33333333333334</v>
      </c>
      <c r="BE36" s="225">
        <f t="shared" si="68"/>
        <v>3.78</v>
      </c>
      <c r="BF36" s="253">
        <f t="shared" si="68"/>
        <v>398.66666666666669</v>
      </c>
      <c r="BG36" s="225">
        <f t="shared" si="68"/>
        <v>4.3666666666666663</v>
      </c>
      <c r="BH36" s="256">
        <f>AVERAGE(BH33,BH34)</f>
        <v>487</v>
      </c>
      <c r="BI36" s="223">
        <f t="shared" si="68"/>
        <v>4.4233333333333329</v>
      </c>
      <c r="BJ36" s="250">
        <f>AVERAGE(BJ33,BJ34)</f>
        <v>555</v>
      </c>
      <c r="BK36" s="225">
        <f t="shared" si="68"/>
        <v>3.5666666666666664</v>
      </c>
      <c r="BL36" s="253">
        <f>AVERAGE(BL33,BL34)</f>
        <v>505</v>
      </c>
      <c r="BM36" s="257">
        <f t="shared" si="68"/>
        <v>9.6133333333333333</v>
      </c>
      <c r="BN36" s="248">
        <f t="shared" si="68"/>
        <v>461.33333333333331</v>
      </c>
      <c r="BO36" s="225">
        <f t="shared" si="68"/>
        <v>7.1833333333333336</v>
      </c>
      <c r="BP36" s="253"/>
      <c r="BQ36" s="225"/>
      <c r="BR36" s="248">
        <f t="shared" si="68"/>
        <v>599</v>
      </c>
      <c r="BS36" s="225">
        <f t="shared" ref="BS36:BW36" si="69">AVERAGE(BS33,BS34,BS35)</f>
        <v>30.900000000000002</v>
      </c>
      <c r="BT36" s="248">
        <f t="shared" si="69"/>
        <v>322.66666666666669</v>
      </c>
      <c r="BU36" s="225">
        <f t="shared" si="69"/>
        <v>8.4066666666666663</v>
      </c>
      <c r="BV36" s="247">
        <f>AVERAGE(BV33,BV35)</f>
        <v>677.5</v>
      </c>
      <c r="BW36" s="223">
        <f t="shared" si="69"/>
        <v>6.5633333333333326</v>
      </c>
      <c r="BX36" s="273">
        <f>AVERAGE(BX33,BX34,BX35)</f>
        <v>335</v>
      </c>
      <c r="BY36" s="255">
        <f>AVERAGE(BY33,BY34,BY35)</f>
        <v>4.12</v>
      </c>
      <c r="BZ36" s="248">
        <f>AVERAGE(BZ33,BZ34,BZ35)</f>
        <v>710.33333333333337</v>
      </c>
      <c r="CA36" s="225">
        <f>AVERAGE(CA33,CA34,CA35)</f>
        <v>4.1766666666666667</v>
      </c>
      <c r="CB36" s="248">
        <f t="shared" ref="CB36:DU36" si="70">AVERAGE(CB33,CB34,CB35)</f>
        <v>367.33333333333331</v>
      </c>
      <c r="CC36" s="223">
        <f t="shared" si="70"/>
        <v>4.7266666666666666</v>
      </c>
      <c r="CD36" s="248">
        <f t="shared" si="70"/>
        <v>725</v>
      </c>
      <c r="CE36" s="225">
        <f t="shared" si="70"/>
        <v>13.12</v>
      </c>
      <c r="CF36" s="253">
        <f t="shared" si="70"/>
        <v>477</v>
      </c>
      <c r="CG36" s="230">
        <f t="shared" si="70"/>
        <v>10.393333333333333</v>
      </c>
      <c r="CH36" s="247">
        <f>AVERAGE(CH33,CH35)</f>
        <v>682</v>
      </c>
      <c r="CI36" s="225">
        <f t="shared" si="70"/>
        <v>8.1266666666666669</v>
      </c>
      <c r="CJ36" s="248">
        <f t="shared" si="70"/>
        <v>745</v>
      </c>
      <c r="CK36" s="225">
        <f t="shared" si="70"/>
        <v>12.31</v>
      </c>
      <c r="CL36" s="248">
        <f t="shared" si="70"/>
        <v>527.66666666666663</v>
      </c>
      <c r="CM36" s="223">
        <f t="shared" si="70"/>
        <v>8.7233333333333345</v>
      </c>
      <c r="CN36" s="248">
        <f t="shared" si="70"/>
        <v>627</v>
      </c>
      <c r="CO36" s="225">
        <f t="shared" si="70"/>
        <v>11.343333333333334</v>
      </c>
      <c r="CP36" s="247">
        <f>AVERAGE(CP34,CP35)</f>
        <v>969.5</v>
      </c>
      <c r="CQ36" s="230">
        <f t="shared" si="70"/>
        <v>11.06</v>
      </c>
      <c r="CR36" s="247">
        <f>AVERAGE(CR34,CR35)</f>
        <v>846.5</v>
      </c>
      <c r="CS36" s="225">
        <f t="shared" si="70"/>
        <v>9.7566666666666659</v>
      </c>
      <c r="CT36" s="250">
        <f>AVERAGE(CT33,CT34)</f>
        <v>572</v>
      </c>
      <c r="CU36" s="225">
        <f t="shared" si="70"/>
        <v>18.953333333333333</v>
      </c>
      <c r="CV36" s="248">
        <f t="shared" si="70"/>
        <v>864.33333333333337</v>
      </c>
      <c r="CW36" s="223">
        <f t="shared" si="70"/>
        <v>16.136666666666667</v>
      </c>
      <c r="CX36" s="250">
        <f>AVERAGE(CX33,CX35)</f>
        <v>716.5</v>
      </c>
      <c r="CY36" s="227">
        <f>AVERAGE(CY34,CY35)</f>
        <v>4.74</v>
      </c>
      <c r="CZ36" s="253">
        <f t="shared" si="70"/>
        <v>676.66666666666663</v>
      </c>
      <c r="DA36" s="230">
        <f t="shared" si="70"/>
        <v>3.7866666666666666</v>
      </c>
      <c r="DB36" s="247">
        <f>AVERAGE(DB34,DB35)</f>
        <v>425.5</v>
      </c>
      <c r="DC36" s="225">
        <f t="shared" si="70"/>
        <v>3.7766666666666668</v>
      </c>
      <c r="DD36" s="250">
        <f>AVERAGE(DD34,DD35)</f>
        <v>648</v>
      </c>
      <c r="DE36" s="225">
        <f t="shared" si="70"/>
        <v>7.8499999999999988</v>
      </c>
      <c r="DF36" s="247">
        <f>AVERAGE(DF33,DF35)</f>
        <v>742.5</v>
      </c>
      <c r="DG36" s="285">
        <f t="shared" si="70"/>
        <v>6.413333333333334</v>
      </c>
      <c r="DH36" s="250">
        <f>AVERAGE(DH34,DH35)</f>
        <v>698.5</v>
      </c>
      <c r="DI36" s="225">
        <f t="shared" si="70"/>
        <v>13.123333333333333</v>
      </c>
      <c r="DJ36" s="247">
        <f>AVERAGE(DJ33,DJ35)</f>
        <v>876</v>
      </c>
      <c r="DK36" s="230">
        <f t="shared" si="70"/>
        <v>11.62</v>
      </c>
      <c r="DL36" s="253">
        <f>AVERAGE(DL33,DL34,DL35)</f>
        <v>548</v>
      </c>
      <c r="DM36" s="225">
        <f t="shared" si="70"/>
        <v>7.0466666666666669</v>
      </c>
      <c r="DN36" s="250">
        <f>AVERAGE(DN33,DN35)</f>
        <v>739.5</v>
      </c>
      <c r="DO36" s="225">
        <f t="shared" si="70"/>
        <v>9.3166666666666682</v>
      </c>
      <c r="DP36" s="253">
        <f t="shared" si="70"/>
        <v>993.66666666666663</v>
      </c>
      <c r="DQ36" s="285">
        <f t="shared" si="70"/>
        <v>13.396666666666668</v>
      </c>
      <c r="DR36" s="248">
        <f t="shared" si="70"/>
        <v>620.66666666666663</v>
      </c>
      <c r="DS36" s="225">
        <f t="shared" si="70"/>
        <v>7.8266666666666671</v>
      </c>
      <c r="DT36" s="253">
        <f t="shared" si="70"/>
        <v>521</v>
      </c>
      <c r="DU36" s="230">
        <f t="shared" si="70"/>
        <v>5.1333333333333329</v>
      </c>
      <c r="DV36" s="247">
        <f>AVERAGE(DV33,DV35)</f>
        <v>920</v>
      </c>
      <c r="DW36" s="225">
        <f t="shared" ref="DW36:ED36" si="71">AVERAGE(DW33,DW34,DW35)</f>
        <v>4.3633333333333333</v>
      </c>
      <c r="DX36" s="248">
        <f t="shared" si="71"/>
        <v>648.33333333333337</v>
      </c>
      <c r="DY36" s="225">
        <f t="shared" si="71"/>
        <v>6.07</v>
      </c>
      <c r="DZ36" s="247">
        <f>AVERAGE(DZ34,DZ35)</f>
        <v>941.5</v>
      </c>
      <c r="EA36" s="286">
        <f>AVERAGE(EA34,EA35)</f>
        <v>6.12</v>
      </c>
      <c r="EB36" s="224">
        <f t="shared" si="71"/>
        <v>928</v>
      </c>
      <c r="EC36" s="227">
        <f>AVERAGE(EC34,EC35)</f>
        <v>5.13</v>
      </c>
      <c r="ED36" s="253">
        <f t="shared" si="71"/>
        <v>778.66666666666663</v>
      </c>
      <c r="EE36" s="287">
        <f>AVERAGE(EE34,EE35)</f>
        <v>5.71</v>
      </c>
      <c r="EF36" s="247">
        <f>AVERAGE(EF33,EF35)</f>
        <v>895.5</v>
      </c>
      <c r="EG36" s="225">
        <f t="shared" ref="EG36:EO36" si="72">AVERAGE(EG33,EG34,EG35)</f>
        <v>8.2333333333333325</v>
      </c>
      <c r="EH36" s="248">
        <f t="shared" si="72"/>
        <v>824.66666666666663</v>
      </c>
      <c r="EI36" s="225">
        <f t="shared" si="72"/>
        <v>6.18</v>
      </c>
      <c r="EJ36" s="247">
        <f>AVERAGE(EJ34,EJ35)</f>
        <v>975</v>
      </c>
      <c r="EK36" s="285">
        <f t="shared" si="72"/>
        <v>6.3966666666666656</v>
      </c>
      <c r="EL36" s="256">
        <f>AVERAGE(EL34,EL35)</f>
        <v>855</v>
      </c>
      <c r="EM36" s="225">
        <f t="shared" si="72"/>
        <v>6.0466666666666669</v>
      </c>
      <c r="EN36" s="247">
        <f>AVERAGE(EN33,EN35)</f>
        <v>937</v>
      </c>
      <c r="EO36" s="230">
        <f t="shared" si="72"/>
        <v>6.376666666666666</v>
      </c>
      <c r="EP36" s="247">
        <f>AVERAGE(EP33,EP34)</f>
        <v>985</v>
      </c>
      <c r="EQ36" s="227">
        <f>AVERAGE(EQ34,EQ35)</f>
        <v>7.9649999999999999</v>
      </c>
      <c r="ER36" s="250">
        <f>AVERAGE(ER33,ER35)</f>
        <v>724.5</v>
      </c>
      <c r="ES36" s="225">
        <f t="shared" ref="ES36:FS36" si="73">AVERAGE(ES33,ES34,ES35)</f>
        <v>9.16</v>
      </c>
      <c r="ET36" s="253">
        <f t="shared" si="73"/>
        <v>541</v>
      </c>
      <c r="EU36" s="285">
        <f t="shared" si="73"/>
        <v>6.96</v>
      </c>
      <c r="EV36" s="248">
        <f t="shared" si="73"/>
        <v>715.66666666666663</v>
      </c>
      <c r="EW36" s="227">
        <f>AVERAGE(EW34,EW35)</f>
        <v>9.32</v>
      </c>
      <c r="EX36" s="247">
        <f>AVERAGE(EX34,EX35)</f>
        <v>808.5</v>
      </c>
      <c r="EY36" s="230">
        <f t="shared" si="73"/>
        <v>11.983333333333334</v>
      </c>
      <c r="EZ36" s="253">
        <f t="shared" si="73"/>
        <v>917.66666666666663</v>
      </c>
      <c r="FA36" s="225">
        <f t="shared" si="73"/>
        <v>10.06</v>
      </c>
      <c r="FB36" s="250">
        <f>AVERAGE(FB33,FB35)</f>
        <v>854</v>
      </c>
      <c r="FC36" s="232">
        <f>AVERAGE(FC33,FC34)</f>
        <v>25.1</v>
      </c>
      <c r="FD36" s="250">
        <f>AVERAGE(FD33,FD34)</f>
        <v>604</v>
      </c>
      <c r="FE36" s="227">
        <f>AVERAGE(FE33,FE34)</f>
        <v>18.79</v>
      </c>
      <c r="FF36" s="253">
        <f t="shared" si="73"/>
        <v>669.33333333333337</v>
      </c>
      <c r="FG36" s="225">
        <f t="shared" si="73"/>
        <v>31.966666666666669</v>
      </c>
      <c r="FH36" s="247">
        <f>AVERAGE(FH33,FH34)</f>
        <v>982.5</v>
      </c>
      <c r="FI36" s="230">
        <f t="shared" si="73"/>
        <v>13.526666666666666</v>
      </c>
      <c r="FJ36" s="253">
        <f t="shared" si="73"/>
        <v>764</v>
      </c>
      <c r="FK36" s="225">
        <f t="shared" si="73"/>
        <v>8.39</v>
      </c>
      <c r="FL36" s="250">
        <f>AVERAGE(FL33,FL35)</f>
        <v>908</v>
      </c>
      <c r="FM36" s="225">
        <f t="shared" si="73"/>
        <v>11.1</v>
      </c>
      <c r="FN36" s="253">
        <f t="shared" si="73"/>
        <v>831.33333333333337</v>
      </c>
      <c r="FO36" s="286">
        <f>AVERAGE(FO34,FO35)</f>
        <v>56.75</v>
      </c>
      <c r="FP36" s="248">
        <f t="shared" si="73"/>
        <v>667.66666666666663</v>
      </c>
      <c r="FQ36" s="288">
        <f>AVERAGE(FQ33,FQ35)</f>
        <v>25.5</v>
      </c>
      <c r="FR36" s="247">
        <f>AVERAGE(FR33,FR34)</f>
        <v>996.5</v>
      </c>
      <c r="FS36" s="230">
        <f t="shared" si="73"/>
        <v>11.62</v>
      </c>
      <c r="FT36" s="253">
        <f>AVERAGE(FT33,FT34,FT35)</f>
        <v>334.33333333333331</v>
      </c>
      <c r="FU36" s="225">
        <f>AVERAGE(FU33,FU34,FU35)</f>
        <v>24.066666666666663</v>
      </c>
      <c r="FV36" s="248">
        <f>AVERAGE(FV34,FV35)</f>
        <v>881</v>
      </c>
      <c r="FW36" s="249">
        <f>AVERAGE(FW34,FW35)</f>
        <v>234</v>
      </c>
      <c r="FX36" s="253">
        <f>AVERAGE(FX33,FX34,FX35)</f>
        <v>968.66666666666663</v>
      </c>
      <c r="FY36" s="285">
        <f>AVERAGE(FY33,FY34,FY35)</f>
        <v>9.3800000000000008</v>
      </c>
      <c r="FZ36" s="224">
        <f>AVERAGE(FZ33,FZ34,FZ35)</f>
        <v>933</v>
      </c>
      <c r="GA36" s="225">
        <f>AVERAGE(GA33,GA34,GA35)</f>
        <v>9.7666666666666675</v>
      </c>
      <c r="GB36" s="247">
        <f>AVERAGE(GB33,GB34)</f>
        <v>924</v>
      </c>
      <c r="GC36" s="230">
        <f>AVERAGE(GC33,GC34,GC35)</f>
        <v>42.166666666666664</v>
      </c>
      <c r="GD36" s="253">
        <f>AVERAGE(GD33,GD34,GD35)</f>
        <v>913.33333333333337</v>
      </c>
      <c r="GE36" s="225">
        <f>AVERAGE(GE33,GE34,GE35)</f>
        <v>9.6266666666666669</v>
      </c>
      <c r="GF36" s="250">
        <f>AVERAGE(GF33,GF34)</f>
        <v>489</v>
      </c>
      <c r="GG36" s="284">
        <f>AVERAGE(GG33,GG34,GG35)</f>
        <v>20.533333333333331</v>
      </c>
      <c r="GH36" s="253">
        <f>AVERAGE(GH33,GH34,GH35)</f>
        <v>434.33333333333331</v>
      </c>
      <c r="GI36" s="285">
        <f>AVERAGE(GI33,GI34,GI35)</f>
        <v>9.6</v>
      </c>
      <c r="GJ36" s="250">
        <f>AVERAGE(GJ34,GJ35)</f>
        <v>404.5</v>
      </c>
      <c r="GK36" s="227">
        <f>AVERAGE(GK34,GK35)</f>
        <v>17.145</v>
      </c>
      <c r="GL36" s="253">
        <f>AVERAGE(GL33,GL34,GL35)</f>
        <v>476</v>
      </c>
      <c r="GM36" s="289">
        <f>AVERAGE(GM33,GM34,GM35)</f>
        <v>26.8</v>
      </c>
      <c r="GN36" s="247">
        <f>AVERAGE(GN34,GN35)</f>
        <v>237</v>
      </c>
      <c r="GO36" s="225">
        <f>AVERAGE(GO33,GO34,GO35)</f>
        <v>6.9666666666666677</v>
      </c>
      <c r="GP36" s="248">
        <f t="shared" ref="GP36:GU36" si="74">AVERAGE(GP33,GP34,GP35)</f>
        <v>388.66666666666669</v>
      </c>
      <c r="GQ36" s="225">
        <f t="shared" si="74"/>
        <v>22.570000000000004</v>
      </c>
      <c r="GR36" s="253">
        <f t="shared" si="74"/>
        <v>393.33333333333331</v>
      </c>
      <c r="GS36" s="285">
        <f t="shared" si="74"/>
        <v>40.800000000000004</v>
      </c>
      <c r="GT36" s="248">
        <f>AVERAGE(GT33,GT34,GT35)</f>
        <v>335.66666666666669</v>
      </c>
      <c r="GU36" s="225">
        <f t="shared" si="74"/>
        <v>35.033333333333339</v>
      </c>
      <c r="GV36" s="247">
        <f>AVERAGE(GV33,GV34)</f>
        <v>561.5</v>
      </c>
      <c r="GW36" s="287">
        <f>AVERAGE(GW33,GW34)</f>
        <v>41.45</v>
      </c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86"/>
      <c r="IC36" s="186"/>
      <c r="ID36" s="186"/>
      <c r="IE36" s="186"/>
      <c r="IF36" s="186"/>
      <c r="IG36" s="186"/>
      <c r="IH36" s="186"/>
      <c r="II36" s="186"/>
      <c r="IJ36" s="186"/>
      <c r="IK36" s="186"/>
      <c r="IL36" s="186"/>
      <c r="IM36" s="186"/>
      <c r="IN36" s="186"/>
      <c r="IO36" s="186"/>
      <c r="IP36" s="186"/>
      <c r="IQ36" s="186"/>
      <c r="IR36" s="186"/>
      <c r="IS36" s="186"/>
      <c r="IT36" s="186"/>
      <c r="IU36" s="186"/>
      <c r="IV36" s="186"/>
      <c r="IW36" s="186"/>
      <c r="IX36" s="186"/>
      <c r="IY36" s="186"/>
      <c r="IZ36" s="186"/>
      <c r="JA36" s="186"/>
      <c r="JB36" s="186"/>
      <c r="JC36" s="186"/>
      <c r="JD36" s="186"/>
      <c r="JE36" s="186"/>
      <c r="JF36" s="186"/>
      <c r="JG36" s="186"/>
      <c r="JH36" s="186"/>
      <c r="JI36" s="186"/>
      <c r="JJ36" s="186"/>
      <c r="JK36" s="186"/>
      <c r="JL36" s="186"/>
      <c r="JM36" s="186"/>
      <c r="JN36" s="186"/>
      <c r="JO36" s="186"/>
      <c r="JP36" s="186"/>
      <c r="JQ36" s="186"/>
      <c r="JR36" s="186"/>
      <c r="JS36" s="186"/>
      <c r="JT36" s="186"/>
      <c r="JU36" s="186"/>
      <c r="JV36" s="186"/>
      <c r="JW36" s="186"/>
      <c r="JX36" s="186"/>
      <c r="JY36" s="186"/>
      <c r="JZ36" s="186"/>
      <c r="KA36" s="186"/>
      <c r="KB36" s="186"/>
      <c r="KC36" s="186"/>
      <c r="KD36" s="186"/>
      <c r="KE36" s="186"/>
      <c r="KF36" s="186"/>
      <c r="KG36" s="186"/>
      <c r="KH36" s="186"/>
      <c r="KI36" s="186"/>
      <c r="KJ36" s="186"/>
      <c r="KK36" s="186"/>
      <c r="KL36" s="186"/>
      <c r="KM36" s="186"/>
      <c r="KN36" s="186"/>
      <c r="KO36" s="186"/>
      <c r="KP36" s="186"/>
      <c r="KQ36" s="186"/>
      <c r="KR36" s="186"/>
      <c r="KS36" s="186"/>
      <c r="KT36" s="186"/>
      <c r="KU36" s="186"/>
      <c r="KV36" s="186"/>
      <c r="KW36" s="186"/>
      <c r="KX36" s="186"/>
      <c r="KY36" s="186"/>
      <c r="KZ36" s="186"/>
      <c r="LA36" s="186"/>
      <c r="LB36" s="186"/>
      <c r="LC36" s="186"/>
      <c r="LD36" s="186"/>
      <c r="LE36" s="186"/>
      <c r="LF36" s="186"/>
      <c r="LG36" s="186"/>
      <c r="LH36" s="186"/>
      <c r="LI36" s="186"/>
      <c r="LJ36" s="186"/>
      <c r="LK36" s="186"/>
      <c r="LL36" s="186"/>
      <c r="LM36" s="186"/>
      <c r="LN36" s="186"/>
      <c r="LO36" s="186"/>
      <c r="LP36" s="186"/>
      <c r="LQ36" s="186"/>
      <c r="LR36" s="186"/>
      <c r="LS36" s="186"/>
      <c r="LT36" s="186"/>
      <c r="LU36" s="186"/>
      <c r="LV36" s="186"/>
      <c r="LW36" s="186"/>
      <c r="LX36" s="186"/>
      <c r="LY36" s="186"/>
      <c r="LZ36" s="186"/>
      <c r="MA36" s="186"/>
      <c r="MB36" s="186"/>
      <c r="MC36" s="186"/>
      <c r="MD36" s="186"/>
      <c r="ME36" s="186"/>
      <c r="MF36" s="186"/>
      <c r="MG36" s="186"/>
      <c r="MH36" s="186"/>
      <c r="MI36" s="186"/>
      <c r="MJ36" s="186"/>
      <c r="MK36" s="186"/>
      <c r="ML36" s="186"/>
      <c r="MM36" s="186"/>
      <c r="MN36" s="186"/>
      <c r="MO36" s="186"/>
      <c r="MP36" s="186"/>
      <c r="MQ36" s="186"/>
      <c r="MR36" s="186"/>
      <c r="MS36" s="186"/>
      <c r="MT36" s="186"/>
      <c r="MU36" s="186"/>
      <c r="MV36" s="186"/>
      <c r="MW36" s="186"/>
      <c r="MX36" s="186"/>
      <c r="MY36" s="186"/>
      <c r="MZ36" s="186"/>
      <c r="NA36" s="186"/>
      <c r="NB36" s="186"/>
      <c r="NC36" s="186"/>
      <c r="ND36" s="186"/>
      <c r="NE36" s="186"/>
      <c r="NF36" s="186"/>
      <c r="NG36" s="186"/>
      <c r="NH36" s="186"/>
      <c r="NI36" s="186"/>
      <c r="NJ36" s="186"/>
      <c r="NK36" s="186"/>
      <c r="NL36" s="186"/>
      <c r="NM36" s="186"/>
      <c r="NN36" s="186"/>
      <c r="NO36" s="186"/>
      <c r="NP36" s="186"/>
      <c r="NQ36" s="186"/>
      <c r="NR36" s="186"/>
      <c r="NS36" s="186"/>
      <c r="NT36" s="186"/>
      <c r="NU36" s="186"/>
      <c r="NV36" s="186"/>
      <c r="NW36" s="186"/>
      <c r="NX36" s="186"/>
      <c r="NY36" s="186"/>
      <c r="NZ36" s="186"/>
      <c r="OA36" s="186"/>
      <c r="OB36" s="186"/>
      <c r="OC36" s="186"/>
      <c r="OD36" s="186"/>
      <c r="OE36" s="186"/>
      <c r="OF36" s="186"/>
      <c r="OG36" s="186"/>
      <c r="OH36" s="186"/>
      <c r="OI36" s="186"/>
      <c r="OJ36" s="186"/>
      <c r="OK36" s="186"/>
      <c r="OL36" s="186"/>
      <c r="OM36" s="186"/>
      <c r="ON36" s="186"/>
      <c r="OO36" s="186"/>
      <c r="OP36" s="186"/>
      <c r="OQ36" s="186"/>
      <c r="OR36" s="186"/>
      <c r="OS36" s="186"/>
      <c r="OT36" s="186"/>
      <c r="OU36" s="186"/>
      <c r="OV36" s="186"/>
      <c r="OW36" s="186"/>
      <c r="OX36" s="186"/>
      <c r="OY36" s="186"/>
      <c r="OZ36" s="186"/>
      <c r="PA36" s="186"/>
      <c r="PB36" s="186"/>
      <c r="PC36" s="186"/>
      <c r="PD36" s="186"/>
      <c r="PE36" s="186"/>
      <c r="PF36" s="186"/>
      <c r="PG36" s="186"/>
      <c r="PH36" s="186"/>
      <c r="PI36" s="186"/>
      <c r="PJ36" s="186"/>
      <c r="PK36" s="186"/>
      <c r="PL36" s="186"/>
      <c r="PM36" s="186"/>
      <c r="PN36" s="186"/>
      <c r="PO36" s="186"/>
      <c r="PP36" s="186"/>
      <c r="PQ36" s="186"/>
      <c r="PR36" s="186"/>
      <c r="PS36" s="186"/>
      <c r="PT36" s="186"/>
      <c r="PU36" s="186"/>
      <c r="PV36" s="186"/>
      <c r="PW36" s="186"/>
      <c r="PX36" s="186"/>
      <c r="PY36" s="186"/>
      <c r="PZ36" s="186"/>
      <c r="QA36" s="186"/>
      <c r="QB36" s="186"/>
      <c r="QC36" s="186"/>
      <c r="QD36" s="186"/>
      <c r="QE36" s="186"/>
      <c r="QF36" s="186"/>
      <c r="QG36" s="186"/>
      <c r="QH36" s="186"/>
      <c r="QI36" s="186"/>
      <c r="QJ36" s="186"/>
      <c r="QK36" s="186"/>
      <c r="QL36" s="186"/>
      <c r="QM36" s="186"/>
      <c r="QN36" s="186"/>
      <c r="QO36" s="186"/>
      <c r="QP36" s="186"/>
      <c r="QQ36" s="186"/>
      <c r="QR36" s="186"/>
      <c r="QS36" s="186"/>
      <c r="QT36" s="186"/>
      <c r="QU36" s="186"/>
      <c r="QV36" s="186"/>
      <c r="QW36" s="186"/>
      <c r="QX36" s="186"/>
      <c r="QY36" s="186"/>
      <c r="QZ36" s="186"/>
      <c r="RA36" s="186"/>
      <c r="RB36" s="186"/>
      <c r="RC36" s="186"/>
      <c r="RD36" s="186"/>
      <c r="RE36" s="186"/>
      <c r="RF36" s="186"/>
      <c r="RG36" s="186"/>
      <c r="RH36" s="186"/>
      <c r="RI36" s="186"/>
      <c r="RJ36" s="186"/>
      <c r="RK36" s="186"/>
      <c r="RL36" s="186"/>
      <c r="RM36" s="186"/>
      <c r="RN36" s="186"/>
      <c r="RO36" s="186"/>
      <c r="RP36" s="186"/>
      <c r="RQ36" s="186"/>
      <c r="RR36" s="186"/>
      <c r="RS36" s="186"/>
      <c r="RT36" s="186"/>
      <c r="RU36" s="186"/>
      <c r="RV36" s="186"/>
      <c r="RW36" s="186"/>
      <c r="RX36" s="186"/>
      <c r="RY36" s="186"/>
      <c r="RZ36" s="186"/>
      <c r="SA36" s="186"/>
      <c r="SB36" s="186"/>
      <c r="SC36" s="186"/>
      <c r="SD36" s="186"/>
      <c r="SE36" s="186"/>
      <c r="SF36" s="186"/>
      <c r="SG36" s="186"/>
      <c r="SH36" s="186"/>
      <c r="SI36" s="186"/>
      <c r="SJ36" s="186"/>
      <c r="SK36" s="186"/>
      <c r="SL36" s="186"/>
      <c r="SM36" s="186"/>
      <c r="SN36" s="186"/>
      <c r="SO36" s="186"/>
      <c r="SP36" s="186"/>
      <c r="SQ36" s="186"/>
      <c r="SR36" s="186"/>
      <c r="SS36" s="186"/>
      <c r="ST36" s="186"/>
      <c r="SU36" s="186"/>
      <c r="SV36" s="186"/>
      <c r="SW36" s="186"/>
      <c r="SX36" s="186"/>
      <c r="SY36" s="186"/>
      <c r="SZ36" s="186"/>
      <c r="TA36" s="186"/>
      <c r="TB36" s="186"/>
      <c r="TC36" s="186"/>
      <c r="TD36" s="186"/>
      <c r="TE36" s="186"/>
      <c r="TF36" s="186"/>
      <c r="TG36" s="186"/>
      <c r="TH36" s="186"/>
      <c r="TI36" s="186"/>
      <c r="TJ36" s="186"/>
      <c r="TK36" s="186"/>
      <c r="TL36" s="186"/>
      <c r="TM36" s="186"/>
      <c r="TN36" s="186"/>
      <c r="TO36" s="186"/>
      <c r="TP36" s="186"/>
      <c r="TQ36" s="186"/>
      <c r="TR36" s="186"/>
      <c r="TS36" s="186"/>
      <c r="TT36" s="186"/>
      <c r="TU36" s="186"/>
      <c r="TV36" s="186"/>
      <c r="TW36" s="186"/>
      <c r="TX36" s="186"/>
      <c r="TY36" s="186"/>
      <c r="TZ36" s="186"/>
      <c r="UA36" s="186"/>
      <c r="UB36" s="186"/>
      <c r="UC36" s="186"/>
      <c r="UD36" s="186"/>
      <c r="UE36" s="186"/>
      <c r="UF36" s="186"/>
      <c r="UG36" s="186"/>
      <c r="UH36" s="186"/>
      <c r="UI36" s="186"/>
      <c r="UJ36" s="186"/>
      <c r="UK36" s="186"/>
      <c r="UL36" s="186"/>
      <c r="UM36" s="186"/>
      <c r="UN36" s="186"/>
      <c r="UO36" s="186"/>
      <c r="UP36" s="186"/>
      <c r="UQ36" s="186"/>
      <c r="UR36" s="186"/>
      <c r="US36" s="186"/>
      <c r="UT36" s="186"/>
      <c r="UU36" s="186"/>
      <c r="UV36" s="186"/>
      <c r="UW36" s="186"/>
      <c r="UX36" s="186"/>
      <c r="UY36" s="186"/>
      <c r="UZ36" s="186"/>
      <c r="VA36" s="186"/>
      <c r="VB36" s="186"/>
      <c r="VC36" s="186"/>
      <c r="VD36" s="186"/>
      <c r="VE36" s="186"/>
      <c r="VF36" s="186"/>
      <c r="VG36" s="186"/>
      <c r="VH36" s="186"/>
      <c r="VI36" s="186"/>
      <c r="VJ36" s="186"/>
      <c r="VK36" s="186"/>
      <c r="VL36" s="186"/>
      <c r="VM36" s="186"/>
      <c r="VN36" s="186"/>
      <c r="VO36" s="186"/>
      <c r="VP36" s="186"/>
      <c r="VQ36" s="186"/>
      <c r="VR36" s="186"/>
      <c r="VS36" s="186"/>
      <c r="VT36" s="186"/>
      <c r="VU36" s="186"/>
      <c r="VV36" s="186"/>
      <c r="VW36" s="186"/>
      <c r="VX36" s="186"/>
      <c r="VY36" s="186"/>
      <c r="VZ36" s="186"/>
      <c r="WA36" s="186"/>
      <c r="WB36" s="186"/>
      <c r="WC36" s="186"/>
      <c r="WD36" s="186"/>
      <c r="WE36" s="186"/>
      <c r="WF36" s="186"/>
      <c r="WG36" s="186"/>
      <c r="WH36" s="186"/>
      <c r="WI36" s="186"/>
      <c r="WJ36" s="186"/>
      <c r="WK36" s="186"/>
      <c r="WL36" s="186"/>
      <c r="WM36" s="186"/>
      <c r="WN36" s="186"/>
      <c r="WO36" s="186"/>
      <c r="WP36" s="186"/>
      <c r="WQ36" s="186"/>
      <c r="WR36" s="186"/>
      <c r="WS36" s="186"/>
      <c r="WT36" s="186"/>
      <c r="WU36" s="186"/>
      <c r="WV36" s="186"/>
      <c r="WW36" s="186"/>
      <c r="WX36" s="186"/>
      <c r="WY36" s="186"/>
      <c r="WZ36" s="186"/>
      <c r="XA36" s="186"/>
      <c r="XB36" s="186"/>
      <c r="XC36" s="186"/>
      <c r="XD36" s="186"/>
      <c r="XE36" s="186"/>
      <c r="XF36" s="186"/>
      <c r="XG36" s="186"/>
      <c r="XH36" s="186"/>
      <c r="XI36" s="186"/>
      <c r="XJ36" s="186"/>
      <c r="XK36" s="186"/>
      <c r="XL36" s="186"/>
      <c r="XM36" s="186"/>
      <c r="XN36" s="186"/>
      <c r="XO36" s="186"/>
      <c r="XP36" s="186"/>
      <c r="XQ36" s="186"/>
      <c r="XR36" s="186"/>
      <c r="XS36" s="186"/>
      <c r="XT36" s="186"/>
      <c r="XU36" s="186"/>
      <c r="XV36" s="186"/>
      <c r="XW36" s="186"/>
      <c r="XX36" s="186"/>
      <c r="XY36" s="186"/>
      <c r="XZ36" s="186"/>
      <c r="YA36" s="186"/>
      <c r="YB36" s="186"/>
      <c r="YC36" s="186"/>
      <c r="YD36" s="186"/>
      <c r="YE36" s="186"/>
      <c r="YF36" s="186"/>
      <c r="YG36" s="186"/>
      <c r="YH36" s="186"/>
      <c r="YI36" s="186"/>
      <c r="YJ36" s="186"/>
      <c r="YK36" s="186"/>
      <c r="YL36" s="186"/>
      <c r="YM36" s="186"/>
      <c r="YN36" s="186"/>
      <c r="YO36" s="186"/>
      <c r="YP36" s="186"/>
      <c r="YQ36" s="186"/>
      <c r="YR36" s="186"/>
      <c r="YS36" s="186"/>
      <c r="YT36" s="186"/>
      <c r="YU36" s="186"/>
      <c r="YV36" s="186"/>
      <c r="YW36" s="186"/>
      <c r="YX36" s="186"/>
      <c r="YY36" s="186"/>
      <c r="YZ36" s="186"/>
      <c r="ZA36" s="186"/>
      <c r="ZB36" s="186"/>
      <c r="ZC36" s="186"/>
      <c r="ZD36" s="186"/>
      <c r="ZE36" s="186"/>
      <c r="ZF36" s="186"/>
      <c r="ZG36" s="186"/>
      <c r="ZH36" s="186"/>
      <c r="ZI36" s="186"/>
      <c r="ZJ36" s="186"/>
      <c r="ZK36" s="186"/>
      <c r="ZL36" s="186"/>
      <c r="ZM36" s="186"/>
      <c r="ZN36" s="186"/>
      <c r="ZO36" s="186"/>
      <c r="ZP36" s="186"/>
      <c r="ZQ36" s="186"/>
      <c r="ZR36" s="186"/>
      <c r="ZS36" s="186"/>
      <c r="ZT36" s="186"/>
      <c r="ZU36" s="186"/>
      <c r="ZV36" s="186"/>
      <c r="ZW36" s="186"/>
      <c r="ZX36" s="186"/>
      <c r="ZY36" s="186"/>
      <c r="ZZ36" s="186"/>
      <c r="AAA36" s="186"/>
      <c r="AAB36" s="186"/>
      <c r="AAC36" s="186"/>
      <c r="AAD36" s="186"/>
      <c r="AAE36" s="186"/>
      <c r="AAF36" s="186"/>
      <c r="AAG36" s="186"/>
      <c r="AAH36" s="186"/>
      <c r="AAI36" s="186"/>
      <c r="AAJ36" s="186"/>
      <c r="AAK36" s="186"/>
      <c r="AAL36" s="186"/>
      <c r="AAM36" s="186"/>
      <c r="AAN36" s="186"/>
      <c r="AAO36" s="186"/>
      <c r="AAP36" s="186"/>
      <c r="AAQ36" s="186"/>
      <c r="AAR36" s="186"/>
      <c r="AAS36" s="186"/>
      <c r="AAT36" s="186"/>
      <c r="AAU36" s="186"/>
      <c r="AAV36" s="186"/>
      <c r="AAW36" s="186"/>
      <c r="AAX36" s="186"/>
      <c r="AAY36" s="186"/>
      <c r="AAZ36" s="186"/>
      <c r="ABA36" s="186"/>
      <c r="ABB36" s="186"/>
      <c r="ABC36" s="186"/>
      <c r="ABD36" s="186"/>
      <c r="ABE36" s="186"/>
      <c r="ABF36" s="186"/>
      <c r="ABG36" s="186"/>
      <c r="ABH36" s="186"/>
      <c r="ABI36" s="186"/>
      <c r="ABJ36" s="186"/>
      <c r="ABK36" s="186"/>
      <c r="ABL36" s="186"/>
      <c r="ABM36" s="186"/>
      <c r="ABN36" s="186"/>
      <c r="ABO36" s="186"/>
      <c r="ABP36" s="186"/>
      <c r="ABQ36" s="186"/>
      <c r="ABR36" s="186"/>
      <c r="ABS36" s="186"/>
      <c r="ABT36" s="186"/>
      <c r="ABU36" s="186"/>
      <c r="ABV36" s="186"/>
      <c r="ABW36" s="186"/>
      <c r="ABX36" s="1"/>
      <c r="ABY36" s="186"/>
      <c r="ABZ36" s="186"/>
      <c r="ACA36" s="186"/>
      <c r="ACB36" s="186"/>
      <c r="ACC36" s="186"/>
      <c r="ACD36" s="186"/>
      <c r="ACE36" s="186"/>
      <c r="ACF36" s="186"/>
      <c r="ACG36" s="186"/>
      <c r="ACH36" s="186"/>
      <c r="ACI36" s="186"/>
      <c r="ACJ36" s="186"/>
      <c r="ACK36" s="186"/>
      <c r="ACL36" s="186"/>
      <c r="ACM36" s="186"/>
      <c r="ACN36" s="186"/>
      <c r="ACO36" s="186"/>
      <c r="ACP36" s="186"/>
      <c r="ACQ36" s="186"/>
      <c r="ACR36" s="186"/>
      <c r="ACS36" s="186"/>
      <c r="ACT36" s="186"/>
      <c r="ACU36" s="186"/>
      <c r="ACV36" s="186"/>
      <c r="ACW36" s="186"/>
      <c r="ACX36" s="186"/>
      <c r="ACY36" s="186"/>
      <c r="ACZ36" s="186"/>
      <c r="ADA36" s="186"/>
      <c r="ADB36" s="186"/>
      <c r="ADC36" s="186"/>
      <c r="ADD36" s="186"/>
      <c r="ADE36" s="186"/>
      <c r="ADF36" s="186"/>
      <c r="ADG36" s="186"/>
      <c r="ADH36" s="186"/>
      <c r="ADI36" s="186"/>
      <c r="ADJ36" s="186"/>
      <c r="ADK36" s="186"/>
      <c r="ADL36" s="186"/>
      <c r="ADM36" s="186"/>
      <c r="ADN36" s="186"/>
      <c r="ADO36" s="186"/>
      <c r="ADP36" s="186"/>
      <c r="ADQ36" s="186"/>
      <c r="ADR36" s="186"/>
      <c r="ADS36" s="186"/>
      <c r="ADT36" s="186"/>
      <c r="ADU36" s="186"/>
      <c r="ADV36" s="186"/>
      <c r="ADW36" s="186"/>
      <c r="ADX36" s="186"/>
      <c r="ADY36" s="186"/>
      <c r="ADZ36" s="186"/>
      <c r="AEA36" s="186"/>
      <c r="AEB36" s="186"/>
      <c r="AEC36" s="186"/>
      <c r="AED36" s="186"/>
      <c r="AEE36" s="186"/>
      <c r="AEF36" s="186"/>
      <c r="AEG36" s="186"/>
      <c r="AEH36" s="186"/>
      <c r="AEI36" s="186"/>
      <c r="AEJ36" s="186"/>
      <c r="AEK36" s="186"/>
      <c r="AEL36" s="186"/>
      <c r="AEM36" s="186"/>
      <c r="AEN36" s="186"/>
      <c r="AEO36" s="186"/>
      <c r="AEP36" s="186"/>
      <c r="AEQ36" s="186"/>
      <c r="AER36" s="186"/>
      <c r="AES36" s="186"/>
      <c r="AET36" s="186"/>
      <c r="AEU36" s="186"/>
      <c r="AEV36" s="186"/>
      <c r="AEW36" s="186"/>
      <c r="AEX36" s="186"/>
      <c r="AEY36" s="186"/>
      <c r="AEZ36" s="186"/>
      <c r="AFA36" s="186"/>
      <c r="AFB36" s="186"/>
      <c r="AFC36" s="186"/>
      <c r="AFD36" s="186"/>
      <c r="AFE36" s="186"/>
      <c r="AFF36" s="186"/>
      <c r="AFG36" s="186"/>
      <c r="AFH36" s="186"/>
      <c r="AFI36" s="186"/>
      <c r="AFJ36" s="186"/>
      <c r="AFK36" s="186"/>
      <c r="AFL36" s="186"/>
      <c r="AFM36" s="186"/>
      <c r="AFN36" s="186"/>
      <c r="AFO36" s="186"/>
      <c r="AFP36" s="186"/>
      <c r="AFQ36" s="186"/>
      <c r="AFR36" s="186"/>
      <c r="AFS36" s="186"/>
      <c r="AFT36" s="186"/>
      <c r="AFU36" s="186"/>
      <c r="AFV36" s="186"/>
      <c r="AFW36" s="186"/>
      <c r="AFX36" s="186"/>
      <c r="AFY36" s="186"/>
      <c r="AFZ36" s="186"/>
      <c r="AGA36" s="186"/>
      <c r="AGB36" s="186"/>
      <c r="AGC36" s="186"/>
      <c r="AGD36" s="186"/>
      <c r="AGE36" s="186"/>
      <c r="AGF36" s="186"/>
      <c r="AGG36" s="186"/>
      <c r="AGH36" s="186"/>
      <c r="AGI36" s="186"/>
      <c r="AGJ36" s="186"/>
      <c r="AGK36" s="186"/>
      <c r="AGL36" s="186"/>
      <c r="AGM36" s="186"/>
      <c r="AGN36" s="186"/>
      <c r="AGO36" s="186"/>
      <c r="AGP36" s="186"/>
      <c r="AGQ36" s="186"/>
      <c r="AGR36" s="186"/>
      <c r="AGS36" s="186"/>
      <c r="AGT36" s="186"/>
      <c r="AGU36" s="186"/>
      <c r="AGV36" s="186"/>
      <c r="AGW36" s="186"/>
      <c r="AGX36" s="186"/>
      <c r="AGY36" s="186"/>
      <c r="AGZ36" s="186"/>
      <c r="AHA36" s="186"/>
      <c r="AHB36" s="186"/>
      <c r="AHC36" s="186"/>
      <c r="AHD36" s="186"/>
      <c r="AHE36" s="186"/>
      <c r="AHF36" s="186"/>
      <c r="AHG36" s="186"/>
      <c r="AHH36" s="186"/>
      <c r="AHI36" s="186"/>
      <c r="AHJ36" s="186"/>
      <c r="AHK36" s="186"/>
      <c r="AHL36" s="186"/>
      <c r="AHM36" s="186"/>
      <c r="AHN36" s="186"/>
      <c r="AHO36" s="186"/>
      <c r="AHP36" s="186"/>
      <c r="AHQ36" s="186"/>
      <c r="AHR36" s="186"/>
      <c r="AHS36" s="186"/>
      <c r="AHT36" s="186"/>
      <c r="AHU36" s="186"/>
      <c r="AHV36" s="186"/>
      <c r="AHW36" s="186"/>
      <c r="AHX36" s="186"/>
      <c r="AHY36" s="186"/>
      <c r="AHZ36" s="186"/>
      <c r="AIA36" s="186"/>
      <c r="AIB36" s="186"/>
      <c r="AIC36" s="186"/>
      <c r="AID36" s="186"/>
      <c r="AIE36" s="186"/>
      <c r="AIF36" s="186"/>
      <c r="AIG36" s="186"/>
      <c r="AIH36" s="186"/>
      <c r="AII36" s="186"/>
      <c r="AIJ36" s="186"/>
      <c r="AIK36" s="186"/>
      <c r="AIL36" s="186"/>
      <c r="AIM36" s="186"/>
      <c r="AIN36" s="186"/>
      <c r="AIO36" s="186"/>
      <c r="AIP36" s="186"/>
      <c r="AIQ36" s="186"/>
      <c r="AIR36" s="186"/>
      <c r="AIS36" s="186"/>
      <c r="AIT36" s="186"/>
      <c r="AIU36" s="186"/>
      <c r="AIV36" s="186"/>
      <c r="AIW36" s="186"/>
      <c r="AIX36" s="186"/>
      <c r="AIY36" s="186"/>
      <c r="AIZ36" s="186"/>
      <c r="AJA36" s="186"/>
      <c r="AJB36" s="186"/>
      <c r="AJC36" s="186"/>
      <c r="AJD36" s="186"/>
      <c r="AJE36" s="186"/>
      <c r="AJF36" s="186"/>
      <c r="AJG36" s="186"/>
      <c r="AJH36" s="186"/>
      <c r="AJI36" s="186"/>
      <c r="AJJ36" s="186"/>
      <c r="AJK36" s="186"/>
      <c r="AJL36" s="186"/>
      <c r="AJM36" s="186"/>
      <c r="AJN36" s="186"/>
      <c r="AJO36" s="186"/>
      <c r="AJP36" s="186"/>
      <c r="AJQ36" s="186"/>
      <c r="AJR36" s="186"/>
      <c r="AJS36" s="186"/>
      <c r="AJT36" s="186"/>
      <c r="AJU36" s="186"/>
      <c r="AJV36" s="186"/>
      <c r="AJW36" s="186"/>
      <c r="AJX36" s="186"/>
      <c r="AJY36" s="186"/>
      <c r="AJZ36" s="186"/>
      <c r="AKA36" s="186"/>
      <c r="AKB36" s="186"/>
      <c r="AKC36" s="186"/>
      <c r="AKD36" s="186"/>
      <c r="AKE36" s="186"/>
      <c r="AKF36" s="186"/>
      <c r="AKG36" s="186"/>
      <c r="AKH36" s="186"/>
      <c r="AKI36" s="186"/>
      <c r="AKJ36" s="186"/>
      <c r="AKK36" s="186"/>
      <c r="AKL36" s="186"/>
      <c r="AKM36" s="186"/>
      <c r="AKN36" s="186"/>
      <c r="AKO36" s="186"/>
      <c r="AKP36" s="186"/>
      <c r="AKQ36" s="186"/>
      <c r="AKR36" s="186"/>
      <c r="AKS36" s="186"/>
      <c r="AKT36" s="186"/>
      <c r="AKU36" s="186"/>
      <c r="AKV36" s="186"/>
      <c r="AKW36" s="186"/>
      <c r="AKX36" s="186"/>
      <c r="AKY36" s="186"/>
      <c r="AKZ36" s="186"/>
      <c r="ALA36" s="186"/>
      <c r="ALB36" s="186"/>
      <c r="ALC36" s="186"/>
      <c r="ALD36" s="186"/>
      <c r="ALE36" s="186"/>
      <c r="ALF36" s="186"/>
      <c r="ALG36" s="186"/>
      <c r="ALH36" s="186"/>
      <c r="ALI36" s="186"/>
      <c r="ALJ36" s="186"/>
      <c r="ALK36" s="186"/>
      <c r="ALL36" s="186"/>
      <c r="ALM36" s="186"/>
      <c r="ALN36" s="186"/>
      <c r="ALO36" s="186"/>
      <c r="ALP36" s="186"/>
      <c r="ALQ36" s="186"/>
      <c r="ALR36" s="186"/>
      <c r="ALS36" s="186"/>
      <c r="ALT36" s="186"/>
      <c r="ALU36" s="186"/>
      <c r="ALV36" s="186"/>
      <c r="ALW36" s="186"/>
      <c r="ALX36" s="186"/>
      <c r="ALY36" s="186"/>
      <c r="ALZ36" s="186"/>
      <c r="AMA36" s="186"/>
      <c r="AMB36" s="186"/>
      <c r="AMC36" s="186"/>
      <c r="AMD36" s="186"/>
      <c r="AME36" s="186"/>
      <c r="AMF36" s="186"/>
      <c r="AMG36" s="186"/>
      <c r="AMH36" s="186"/>
      <c r="AMI36" s="186"/>
      <c r="AMJ36" s="186"/>
      <c r="AMK36" s="186"/>
      <c r="AML36" s="186"/>
      <c r="AMM36" s="186"/>
      <c r="AMN36" s="186"/>
      <c r="AMO36" s="186"/>
      <c r="AMP36" s="186"/>
      <c r="AMQ36" s="186"/>
      <c r="AMR36" s="186"/>
      <c r="AMS36" s="186"/>
      <c r="AMT36" s="186"/>
      <c r="AMU36" s="186"/>
      <c r="AMV36" s="186"/>
      <c r="AMW36" s="186"/>
      <c r="AMX36" s="186"/>
      <c r="AMY36" s="186"/>
      <c r="AMZ36" s="186"/>
      <c r="ANA36" s="186"/>
      <c r="ANB36" s="186"/>
      <c r="ANC36" s="186"/>
      <c r="AND36" s="186"/>
      <c r="ANE36" s="186"/>
      <c r="ANF36" s="186"/>
    </row>
    <row r="37" spans="1:1046" x14ac:dyDescent="0.2">
      <c r="A37" s="2"/>
      <c r="B37" s="47"/>
      <c r="C37" s="69" t="s">
        <v>88</v>
      </c>
      <c r="D37" s="259">
        <f>STDEV(D33:D35)</f>
        <v>0.1527525231651953</v>
      </c>
      <c r="E37" s="260">
        <f>STDEV(E33:E35)</f>
        <v>0.49328828623162596</v>
      </c>
      <c r="F37" s="38">
        <f>STDEV(F33:F35)</f>
        <v>5.5075705472861021</v>
      </c>
      <c r="G37" s="38">
        <f>STDEV(G33:G35)</f>
        <v>0.45825756949558355</v>
      </c>
      <c r="H37" s="42">
        <f>STDEV(H33,H35)</f>
        <v>1.4142135623730951</v>
      </c>
      <c r="I37" s="40">
        <f t="shared" ref="I37:BT37" si="75">STDEV(I33:I35)</f>
        <v>0.1527525231651953</v>
      </c>
      <c r="J37" s="42">
        <f t="shared" si="75"/>
        <v>7</v>
      </c>
      <c r="K37" s="40">
        <f t="shared" si="75"/>
        <v>0.45902069670114054</v>
      </c>
      <c r="L37" s="38">
        <f t="shared" si="75"/>
        <v>7.9372539331937721</v>
      </c>
      <c r="M37" s="38">
        <f t="shared" si="75"/>
        <v>9.9999999999999645E-2</v>
      </c>
      <c r="N37" s="42">
        <f>STDEV(N34:N35)</f>
        <v>7.0710678118654755</v>
      </c>
      <c r="O37" s="43">
        <f t="shared" si="75"/>
        <v>0.16041612554021215</v>
      </c>
      <c r="P37" s="38">
        <f t="shared" si="75"/>
        <v>10.503967504392486</v>
      </c>
      <c r="Q37" s="40">
        <f t="shared" si="75"/>
        <v>0.22722969289539027</v>
      </c>
      <c r="R37" s="35">
        <f t="shared" si="75"/>
        <v>2.3094010767585029</v>
      </c>
      <c r="S37" s="32">
        <f t="shared" si="75"/>
        <v>0.93553906029269251</v>
      </c>
      <c r="T37" s="6">
        <f>STDEV(T33:T34)</f>
        <v>1.4142135623730951</v>
      </c>
      <c r="U37" s="6">
        <f t="shared" si="75"/>
        <v>5.77350269189634E-2</v>
      </c>
      <c r="V37" s="35">
        <f>STDEV(V33:V34)</f>
        <v>5.6568542494923806</v>
      </c>
      <c r="W37" s="32">
        <f t="shared" si="75"/>
        <v>8.3864970836061092E-2</v>
      </c>
      <c r="X37" s="6">
        <f t="shared" si="75"/>
        <v>6.6583281184793934</v>
      </c>
      <c r="Y37" s="7">
        <f t="shared" si="75"/>
        <v>9.5043849529221874E-2</v>
      </c>
      <c r="Z37" s="44">
        <f>STDEV(Z33:Z34)</f>
        <v>7.7781745930520225</v>
      </c>
      <c r="AA37" s="40">
        <f t="shared" si="75"/>
        <v>0.20074859899884712</v>
      </c>
      <c r="AB37" s="261"/>
      <c r="AC37" s="262"/>
      <c r="AD37" s="42">
        <f t="shared" si="75"/>
        <v>0.57735026918962584</v>
      </c>
      <c r="AE37" s="40">
        <f t="shared" si="75"/>
        <v>9.9999999999997882E-2</v>
      </c>
      <c r="AF37" s="42">
        <f t="shared" si="75"/>
        <v>2</v>
      </c>
      <c r="AG37" s="40">
        <f t="shared" si="75"/>
        <v>7.094598884597611E-2</v>
      </c>
      <c r="AH37" s="42">
        <f t="shared" si="75"/>
        <v>5.5677643628300215</v>
      </c>
      <c r="AI37" s="43">
        <f t="shared" si="75"/>
        <v>3.7859388972002035E-2</v>
      </c>
      <c r="AJ37" s="42">
        <f t="shared" si="75"/>
        <v>2.6457513110645907</v>
      </c>
      <c r="AK37" s="38">
        <f t="shared" si="75"/>
        <v>0.12999999999999981</v>
      </c>
      <c r="AL37" s="42">
        <f t="shared" si="75"/>
        <v>7.5718777944003648</v>
      </c>
      <c r="AM37" s="40">
        <f t="shared" si="75"/>
        <v>7.0710678118653244E-3</v>
      </c>
      <c r="AN37" s="38">
        <f t="shared" si="75"/>
        <v>5.5075705472861021</v>
      </c>
      <c r="AO37" s="38">
        <f t="shared" si="75"/>
        <v>4.7258156262526267E-2</v>
      </c>
      <c r="AP37" s="42">
        <f t="shared" si="75"/>
        <v>5.5075705472861021</v>
      </c>
      <c r="AQ37" s="40">
        <f t="shared" si="75"/>
        <v>0.15821925715074406</v>
      </c>
      <c r="AR37" s="38">
        <f>STDEV(AR34:AR35)</f>
        <v>3.5355339059327378</v>
      </c>
      <c r="AS37" s="43">
        <f t="shared" si="75"/>
        <v>0.18036999011291593</v>
      </c>
      <c r="AT37" s="38">
        <f>STDEV(AT34:AT35)</f>
        <v>4.2426406871192848</v>
      </c>
      <c r="AU37" s="40">
        <f t="shared" si="75"/>
        <v>0.17616280348965119</v>
      </c>
      <c r="AV37" s="42">
        <f>STDEV(AV33:AV34)</f>
        <v>10.606601717798213</v>
      </c>
      <c r="AW37" s="40">
        <f t="shared" si="75"/>
        <v>0.13000000000000006</v>
      </c>
      <c r="AX37" s="42">
        <f>STDEV(AX33:AX34)</f>
        <v>17.677669529663689</v>
      </c>
      <c r="AY37" s="38">
        <f t="shared" si="75"/>
        <v>0.38118237105091846</v>
      </c>
      <c r="AZ37" s="42">
        <f t="shared" si="75"/>
        <v>4.932882862316248</v>
      </c>
      <c r="BA37" s="40">
        <f t="shared" si="75"/>
        <v>0.28290163190291673</v>
      </c>
      <c r="BB37" s="38">
        <f>STDEV(BB33:BB34)</f>
        <v>30.405591591021544</v>
      </c>
      <c r="BC37" s="43">
        <f t="shared" si="75"/>
        <v>0.27610384519838427</v>
      </c>
      <c r="BD37" s="38">
        <f t="shared" si="75"/>
        <v>3.0550504633038935</v>
      </c>
      <c r="BE37" s="40">
        <f t="shared" si="75"/>
        <v>2.6457513110646015E-2</v>
      </c>
      <c r="BF37" s="38">
        <f t="shared" si="75"/>
        <v>1.5275252316519465</v>
      </c>
      <c r="BG37" s="40">
        <f t="shared" si="75"/>
        <v>0.32020826556060861</v>
      </c>
      <c r="BH37" s="35">
        <f>STDEV(BH33:BH34)</f>
        <v>4.2426406871192848</v>
      </c>
      <c r="BI37" s="6">
        <f t="shared" si="75"/>
        <v>0.32083225108042601</v>
      </c>
      <c r="BJ37" s="42">
        <f>STDEV(BJ33:BJ34)</f>
        <v>9.8994949366116654</v>
      </c>
      <c r="BK37" s="40">
        <f t="shared" si="75"/>
        <v>2.0816659994661313E-2</v>
      </c>
      <c r="BL37" s="38">
        <f>STDEV(BL33:BL34)</f>
        <v>4.2426406871192848</v>
      </c>
      <c r="BM37" s="43">
        <f t="shared" si="75"/>
        <v>0.15631165450257745</v>
      </c>
      <c r="BN37" s="42">
        <f t="shared" si="75"/>
        <v>4.0414518843273806</v>
      </c>
      <c r="BO37" s="40">
        <f t="shared" si="75"/>
        <v>9.0184995056457773E-2</v>
      </c>
      <c r="BP37" s="263"/>
      <c r="BQ37" s="262"/>
      <c r="BR37" s="42">
        <f t="shared" si="75"/>
        <v>5.5677643628300215</v>
      </c>
      <c r="BS37" s="38">
        <f t="shared" si="75"/>
        <v>0.60827625302982247</v>
      </c>
      <c r="BT37" s="42">
        <f t="shared" si="75"/>
        <v>2.0816659994661326</v>
      </c>
      <c r="BU37" s="40">
        <f t="shared" ref="BU37:ED37" si="76">STDEV(BU33:BU35)</f>
        <v>0.2857154761879962</v>
      </c>
      <c r="BV37" s="6">
        <f>STDEV(BV33,BV35)</f>
        <v>12.020815280171307</v>
      </c>
      <c r="BW37" s="6">
        <f t="shared" si="76"/>
        <v>7.5055534994651091E-2</v>
      </c>
      <c r="BX37" s="80">
        <f t="shared" si="76"/>
        <v>3.6055512754639891</v>
      </c>
      <c r="BY37" s="32">
        <f t="shared" si="76"/>
        <v>0.15099668870541516</v>
      </c>
      <c r="BZ37" s="42">
        <f t="shared" si="76"/>
        <v>4.6188021535170058</v>
      </c>
      <c r="CA37" s="40">
        <f t="shared" si="76"/>
        <v>7.2341781380702352E-2</v>
      </c>
      <c r="CB37" s="35">
        <f t="shared" si="76"/>
        <v>1.5275252316519465</v>
      </c>
      <c r="CC37" s="6">
        <f t="shared" si="76"/>
        <v>0.18770544300401459</v>
      </c>
      <c r="CD37" s="42">
        <f t="shared" si="76"/>
        <v>6.0827625302982193</v>
      </c>
      <c r="CE37" s="40">
        <f t="shared" si="76"/>
        <v>0.22869193252058562</v>
      </c>
      <c r="CF37" s="38">
        <f t="shared" si="76"/>
        <v>5.196152422706632</v>
      </c>
      <c r="CG37" s="43">
        <f t="shared" si="76"/>
        <v>0.76428615932341271</v>
      </c>
      <c r="CH37" s="38">
        <f>STDEV(CH33,CH35)</f>
        <v>5.6568542494923806</v>
      </c>
      <c r="CI37" s="40">
        <f t="shared" si="76"/>
        <v>0.25423086620891122</v>
      </c>
      <c r="CJ37" s="42">
        <f t="shared" si="76"/>
        <v>3.6055512754639891</v>
      </c>
      <c r="CK37" s="40">
        <f t="shared" si="76"/>
        <v>0.41797129088012752</v>
      </c>
      <c r="CL37" s="42">
        <f t="shared" si="76"/>
        <v>6.8068592855540455</v>
      </c>
      <c r="CM37" s="38">
        <f t="shared" si="76"/>
        <v>0.75002222189301426</v>
      </c>
      <c r="CN37" s="42">
        <f t="shared" si="76"/>
        <v>4.2426406871192848</v>
      </c>
      <c r="CO37" s="40">
        <f t="shared" si="76"/>
        <v>0.78014955831131039</v>
      </c>
      <c r="CP37" s="38">
        <f>STDEV(CP34:CP35)</f>
        <v>7.7781745930520225</v>
      </c>
      <c r="CQ37" s="43">
        <f t="shared" si="76"/>
        <v>0.12767145334803703</v>
      </c>
      <c r="CR37" s="38">
        <f>STDEV(CR34:CR35)</f>
        <v>6.3639610306789276</v>
      </c>
      <c r="CS37" s="40">
        <f t="shared" si="76"/>
        <v>0.10692676621563706</v>
      </c>
      <c r="CT37" s="42">
        <f>STDEV(CT33:CT34)</f>
        <v>5.6568542494923806</v>
      </c>
      <c r="CU37" s="40">
        <f t="shared" si="76"/>
        <v>0.73656862092634068</v>
      </c>
      <c r="CV37" s="42">
        <f t="shared" si="76"/>
        <v>0.57735026918962573</v>
      </c>
      <c r="CW37" s="38">
        <f t="shared" si="76"/>
        <v>0.13868429375143099</v>
      </c>
      <c r="CX37" s="42">
        <f>STDEV(CX33,CX35)</f>
        <v>13.435028842544403</v>
      </c>
      <c r="CY37" s="40">
        <f>STDEV(CY34:CY35)</f>
        <v>4.2426406871192576E-2</v>
      </c>
      <c r="CZ37" s="38">
        <f t="shared" si="76"/>
        <v>6.429100507328636</v>
      </c>
      <c r="DA37" s="43">
        <f t="shared" si="76"/>
        <v>0.93724774384008525</v>
      </c>
      <c r="DB37" s="38">
        <f>STDEV(DB34:DB35)</f>
        <v>9.1923881554251174</v>
      </c>
      <c r="DC37" s="40">
        <f t="shared" si="76"/>
        <v>0.31214312956291923</v>
      </c>
      <c r="DD37" s="35">
        <f>STDEV(DD34:DD35)</f>
        <v>7.0710678118654755</v>
      </c>
      <c r="DE37" s="32">
        <f t="shared" si="76"/>
        <v>0.38431757701151226</v>
      </c>
      <c r="DF37" s="6">
        <f>STDEV(DF33,DF35)</f>
        <v>2.1213203435596424</v>
      </c>
      <c r="DG37" s="6">
        <f t="shared" si="76"/>
        <v>8.144527815247056E-2</v>
      </c>
      <c r="DH37" s="35">
        <f>STDEV(DH34:DH35)</f>
        <v>0.70710678118654757</v>
      </c>
      <c r="DI37" s="32">
        <f t="shared" si="76"/>
        <v>0.51403631518924209</v>
      </c>
      <c r="DJ37" s="6">
        <f>STDEV(DJ33,DJ35)</f>
        <v>5.6568542494923806</v>
      </c>
      <c r="DK37" s="7">
        <f t="shared" si="76"/>
        <v>0.59025418253494855</v>
      </c>
      <c r="DL37" s="38">
        <f t="shared" si="76"/>
        <v>7.5498344352707498</v>
      </c>
      <c r="DM37" s="40">
        <f t="shared" si="76"/>
        <v>0.41016256939576218</v>
      </c>
      <c r="DN37" s="35">
        <f>STDEV(DN33,DN35)</f>
        <v>3.5355339059327378</v>
      </c>
      <c r="DO37" s="32">
        <f t="shared" si="76"/>
        <v>0.74009008460682246</v>
      </c>
      <c r="DP37" s="6">
        <f t="shared" si="76"/>
        <v>2.0816659994661326</v>
      </c>
      <c r="DQ37" s="6">
        <f t="shared" si="76"/>
        <v>0.90732206703757323</v>
      </c>
      <c r="DR37" s="35">
        <f t="shared" si="76"/>
        <v>7.6376261582597342</v>
      </c>
      <c r="DS37" s="32">
        <f t="shared" si="76"/>
        <v>0.13576941236277554</v>
      </c>
      <c r="DT37" s="6">
        <f t="shared" si="76"/>
        <v>1</v>
      </c>
      <c r="DU37" s="7">
        <f t="shared" si="76"/>
        <v>0.55139217743211877</v>
      </c>
      <c r="DV37" s="38">
        <f>STDEV(DV33,DV35)</f>
        <v>9.8994949366116654</v>
      </c>
      <c r="DW37" s="40">
        <f t="shared" si="76"/>
        <v>0.11015141094572192</v>
      </c>
      <c r="DX37" s="35">
        <f t="shared" si="76"/>
        <v>4.7258156262526079</v>
      </c>
      <c r="DY37" s="32">
        <f t="shared" si="76"/>
        <v>0.46130250378683174</v>
      </c>
      <c r="DZ37" s="6">
        <f>STDEV(DZ34:DZ35)</f>
        <v>0.70710678118654757</v>
      </c>
      <c r="EA37" s="6">
        <f>STDEV(EA34:EA35)</f>
        <v>0</v>
      </c>
      <c r="EB37" s="35">
        <f t="shared" si="76"/>
        <v>7.5498344352707498</v>
      </c>
      <c r="EC37" s="32">
        <f>STDEV(EC34:EC35)</f>
        <v>0.12727922061357835</v>
      </c>
      <c r="ED37" s="6">
        <f t="shared" si="76"/>
        <v>3.5118845842842461</v>
      </c>
      <c r="EE37" s="7">
        <f>STDEV(EE34:EE35)</f>
        <v>0.56568542494923857</v>
      </c>
      <c r="EF37" s="38">
        <f>STDEV(EF33,EF35)</f>
        <v>4.9497474683058327</v>
      </c>
      <c r="EG37" s="40">
        <f t="shared" ref="EG37:GC37" si="77">STDEV(EG33:EG35)</f>
        <v>0.26501572280401281</v>
      </c>
      <c r="EH37" s="35">
        <f t="shared" si="77"/>
        <v>4.5092497528228943</v>
      </c>
      <c r="EI37" s="32">
        <f t="shared" si="77"/>
        <v>0.32924155266308669</v>
      </c>
      <c r="EJ37" s="6">
        <f>STDEV(EJ34:EJ35)</f>
        <v>8.4852813742385695</v>
      </c>
      <c r="EK37" s="6">
        <f t="shared" si="77"/>
        <v>0.10692676621563603</v>
      </c>
      <c r="EL37" s="35">
        <f>STDEV(EL34:EL35)</f>
        <v>7.0710678118654755</v>
      </c>
      <c r="EM37" s="32">
        <f t="shared" si="77"/>
        <v>0.65286547874223932</v>
      </c>
      <c r="EN37" s="6">
        <f>STDEV(EN33,EN35)</f>
        <v>7.0710678118654755</v>
      </c>
      <c r="EO37" s="7">
        <f t="shared" si="77"/>
        <v>0.81561837481344979</v>
      </c>
      <c r="EP37" s="38">
        <f>STDEV(EP33:EP34)</f>
        <v>2.8284271247461903</v>
      </c>
      <c r="EQ37" s="40">
        <f>STDEV(EQ34:EQ35)</f>
        <v>0.28991378028648457</v>
      </c>
      <c r="ER37" s="35">
        <f>STDEV(ER33,ER35)</f>
        <v>3.5355339059327378</v>
      </c>
      <c r="ES37" s="32">
        <f t="shared" si="77"/>
        <v>0.562049819855855</v>
      </c>
      <c r="ET37" s="6">
        <f t="shared" si="77"/>
        <v>2.6457513110645907</v>
      </c>
      <c r="EU37" s="6">
        <f t="shared" si="77"/>
        <v>0.31240998703626643</v>
      </c>
      <c r="EV37" s="35">
        <f t="shared" si="77"/>
        <v>3.214550253664318</v>
      </c>
      <c r="EW37" s="32">
        <f>STDEV(EW34:EW35)</f>
        <v>7.0710678118654502E-2</v>
      </c>
      <c r="EX37" s="6">
        <f>STDEV(EX34:EX35)</f>
        <v>7.7781745930520225</v>
      </c>
      <c r="EY37" s="7">
        <f t="shared" si="77"/>
        <v>0.20305992547357352</v>
      </c>
      <c r="EZ37" s="38">
        <f t="shared" si="77"/>
        <v>0.57735026918962573</v>
      </c>
      <c r="FA37" s="40">
        <f t="shared" si="77"/>
        <v>0.14730919862656228</v>
      </c>
      <c r="FB37" s="35">
        <f>STDEV(FB33,FB35)</f>
        <v>2.8284271247461903</v>
      </c>
      <c r="FC37" s="5">
        <f>STDEV(FC33:FC34)</f>
        <v>0.70710678118654757</v>
      </c>
      <c r="FD37" s="35">
        <f>STDEV(FD33:FD34)</f>
        <v>7.0710678118654755</v>
      </c>
      <c r="FE37" s="32">
        <f>STDEV(FE33:FE34)</f>
        <v>0.72124891681027814</v>
      </c>
      <c r="FF37" s="6">
        <f t="shared" si="77"/>
        <v>4.9328828623162471</v>
      </c>
      <c r="FG37" s="32">
        <f t="shared" si="77"/>
        <v>0.41633319989322565</v>
      </c>
      <c r="FH37" s="6">
        <f>STDEV(FH33:FH34)</f>
        <v>14.849242404917497</v>
      </c>
      <c r="FI37" s="7">
        <f t="shared" si="77"/>
        <v>0.4801388688008224</v>
      </c>
      <c r="FJ37" s="38">
        <f t="shared" si="77"/>
        <v>7</v>
      </c>
      <c r="FK37" s="40">
        <f t="shared" si="77"/>
        <v>0.37000000000000027</v>
      </c>
      <c r="FL37" s="35">
        <f>STDEV(FL33,FL35)</f>
        <v>0</v>
      </c>
      <c r="FM37" s="32">
        <f t="shared" si="77"/>
        <v>0.86971259620635599</v>
      </c>
      <c r="FN37" s="6">
        <f t="shared" si="77"/>
        <v>5.1316014394468841</v>
      </c>
      <c r="FO37" s="6">
        <f>STDEV(FO34:FO35)</f>
        <v>7.0710678118650741E-2</v>
      </c>
      <c r="FP37" s="35">
        <f t="shared" si="77"/>
        <v>3.5118845842842461</v>
      </c>
      <c r="FQ37" s="32">
        <f>STDEV(FQ33,FQ35)</f>
        <v>0</v>
      </c>
      <c r="FR37" s="6">
        <f>STDEV(FR33:FR34)</f>
        <v>2.1213203435596424</v>
      </c>
      <c r="FS37" s="7">
        <f t="shared" si="77"/>
        <v>0.62999999999999989</v>
      </c>
      <c r="FT37" s="38">
        <f>STDEV(FT33:FT35)</f>
        <v>3.2145502536643185</v>
      </c>
      <c r="FU37" s="40">
        <f>STDEV(FU33:FU35)</f>
        <v>1.4571661996262941</v>
      </c>
      <c r="FV37" s="35">
        <f>STDEV(FV34:FV35)</f>
        <v>5.6568542494923806</v>
      </c>
      <c r="FW37" s="32">
        <f>STDEV(FW34:FW35)</f>
        <v>11.313708498984761</v>
      </c>
      <c r="FX37" s="6">
        <f>STDEV(FX33:FX35)</f>
        <v>2.0816659994661331</v>
      </c>
      <c r="FY37" s="6">
        <f>STDEV(FY33:FY35)</f>
        <v>0.41904653679513948</v>
      </c>
      <c r="FZ37" s="42">
        <f>STDEV(FZ33:FZ35)</f>
        <v>5.5677643628300215</v>
      </c>
      <c r="GA37" s="40">
        <f t="shared" si="77"/>
        <v>0.11718930554164649</v>
      </c>
      <c r="GB37" s="6">
        <f>STDEV(GB33,GB34)</f>
        <v>0</v>
      </c>
      <c r="GC37" s="7">
        <f t="shared" si="77"/>
        <v>4.0253364248635588</v>
      </c>
      <c r="GD37" s="38">
        <f>STDEV(GD33:GD35)</f>
        <v>1.5275252316519468</v>
      </c>
      <c r="GE37" s="40">
        <f>STDEV(GE33:GE35)</f>
        <v>0.13051181300301254</v>
      </c>
      <c r="GF37" s="35">
        <f>STDEV(GF33:GF34)</f>
        <v>8.4852813742385695</v>
      </c>
      <c r="GG37" s="32">
        <f>STDEV(GG33:GG35)</f>
        <v>0.15275252316519489</v>
      </c>
      <c r="GH37" s="6">
        <f>STDEV(GH33:GH35)</f>
        <v>1.1547005383792517</v>
      </c>
      <c r="GI37" s="6">
        <f>STDEV(GI33:GI35)</f>
        <v>9.9999999999997868E-3</v>
      </c>
      <c r="GJ37" s="35">
        <f>STDEV(GJ33:GJ35)</f>
        <v>3.7859388972001828</v>
      </c>
      <c r="GK37" s="32">
        <f>STDEV(GK34:GK35)</f>
        <v>0.20506096654409819</v>
      </c>
      <c r="GL37" s="6">
        <f>STDEV(GL33:GL35)</f>
        <v>2.6457513110645907</v>
      </c>
      <c r="GM37" s="7">
        <f>STDEV(GM33:GM35)</f>
        <v>3.2511536414017717</v>
      </c>
      <c r="GN37" s="38">
        <f>STDEV(GN34:GN35)</f>
        <v>0</v>
      </c>
      <c r="GO37" s="40">
        <f t="shared" ref="GO37:GU37" si="78">STDEV(GO33:GO35)</f>
        <v>0.86961677383391867</v>
      </c>
      <c r="GP37" s="35">
        <f t="shared" si="78"/>
        <v>5.5075705472861021</v>
      </c>
      <c r="GQ37" s="32">
        <f t="shared" si="78"/>
        <v>2.3057970422394076</v>
      </c>
      <c r="GR37" s="6">
        <f t="shared" si="78"/>
        <v>3.5118845842842465</v>
      </c>
      <c r="GS37" s="6">
        <f t="shared" si="78"/>
        <v>2.9103264421710495</v>
      </c>
      <c r="GT37" s="35">
        <f t="shared" si="78"/>
        <v>0.57735026918962584</v>
      </c>
      <c r="GU37" s="32">
        <f t="shared" si="78"/>
        <v>3.8837267325770166</v>
      </c>
      <c r="GV37" s="6">
        <f>STDEV(GV33:GV34)</f>
        <v>0.70710678118654757</v>
      </c>
      <c r="GW37" s="7">
        <f>STDEV(GW33:GW34)</f>
        <v>2.0506096654409869</v>
      </c>
    </row>
    <row r="38" spans="1:1046" x14ac:dyDescent="0.2">
      <c r="A38" s="1"/>
      <c r="B38" s="51" t="s">
        <v>93</v>
      </c>
      <c r="C38" s="51" t="s">
        <v>94</v>
      </c>
      <c r="D38" s="270"/>
      <c r="E38" s="290"/>
      <c r="F38" s="53">
        <v>119</v>
      </c>
      <c r="G38" s="53">
        <v>119.4</v>
      </c>
      <c r="H38" s="208"/>
      <c r="I38" s="209"/>
      <c r="J38" s="85">
        <v>119.4</v>
      </c>
      <c r="K38" s="64">
        <v>118.6</v>
      </c>
      <c r="L38" s="270"/>
      <c r="M38" s="270"/>
      <c r="N38" s="85">
        <v>118.6</v>
      </c>
      <c r="O38" s="291">
        <v>119.6</v>
      </c>
      <c r="P38" s="53">
        <v>122.1</v>
      </c>
      <c r="Q38" s="64">
        <v>122.5</v>
      </c>
      <c r="R38" s="208"/>
      <c r="S38" s="270"/>
      <c r="T38" s="85">
        <v>122.4</v>
      </c>
      <c r="U38" s="64">
        <v>119.7</v>
      </c>
      <c r="V38" s="270"/>
      <c r="W38" s="209"/>
      <c r="X38" s="59">
        <v>121.8</v>
      </c>
      <c r="Y38" s="65">
        <v>121.5</v>
      </c>
      <c r="Z38" s="2">
        <v>214.9</v>
      </c>
      <c r="AA38" s="28">
        <v>217.3</v>
      </c>
      <c r="AB38" s="208"/>
      <c r="AC38" s="209"/>
      <c r="AD38" s="56">
        <v>225.4</v>
      </c>
      <c r="AE38" s="58">
        <v>227.3</v>
      </c>
      <c r="AF38" s="214"/>
      <c r="AG38" s="211"/>
      <c r="AH38" s="2">
        <v>216.7</v>
      </c>
      <c r="AI38" s="4">
        <v>212.3</v>
      </c>
      <c r="AJ38" s="2">
        <v>218.6</v>
      </c>
      <c r="AK38" s="28">
        <v>218.5</v>
      </c>
      <c r="AL38" s="214"/>
      <c r="AM38" s="211"/>
      <c r="AN38" s="3">
        <v>214.4</v>
      </c>
      <c r="AO38" s="28">
        <v>211</v>
      </c>
      <c r="AP38" s="214"/>
      <c r="AQ38" s="211"/>
      <c r="AR38" s="2">
        <v>217.3</v>
      </c>
      <c r="AS38" s="4">
        <v>215.8</v>
      </c>
      <c r="AT38" s="2">
        <v>221.5</v>
      </c>
      <c r="AU38" s="28">
        <v>213.4</v>
      </c>
      <c r="AV38" s="210"/>
      <c r="AW38" s="211"/>
      <c r="AX38" s="3">
        <v>225.8</v>
      </c>
      <c r="AY38" s="2">
        <v>226.6</v>
      </c>
      <c r="AZ38" s="214"/>
      <c r="BA38" s="211"/>
      <c r="BB38" s="2">
        <v>224.9</v>
      </c>
      <c r="BC38" s="4">
        <v>225.1</v>
      </c>
      <c r="BD38" s="2">
        <v>219.1</v>
      </c>
      <c r="BE38" s="28">
        <v>225.8</v>
      </c>
      <c r="BF38" s="210"/>
      <c r="BG38" s="210"/>
      <c r="BH38" s="56">
        <v>221.2</v>
      </c>
      <c r="BI38" s="58">
        <v>226</v>
      </c>
      <c r="BJ38" s="210"/>
      <c r="BK38" s="211"/>
      <c r="BL38" s="2">
        <v>224.6</v>
      </c>
      <c r="BM38" s="4">
        <v>223</v>
      </c>
      <c r="BN38" s="2">
        <v>223.8</v>
      </c>
      <c r="BO38" s="28">
        <v>227.6</v>
      </c>
      <c r="BP38" s="210"/>
      <c r="BQ38" s="211"/>
      <c r="BR38" s="3">
        <v>214.7</v>
      </c>
      <c r="BS38" s="2">
        <v>220.1</v>
      </c>
      <c r="BT38" s="214"/>
      <c r="BU38" s="210"/>
      <c r="BV38" s="56">
        <v>211.1</v>
      </c>
      <c r="BW38" s="59">
        <v>212.7</v>
      </c>
      <c r="BX38" s="56">
        <v>223.1</v>
      </c>
      <c r="BY38" s="58">
        <v>223.4</v>
      </c>
      <c r="BZ38" s="210"/>
      <c r="CA38" s="210"/>
      <c r="CB38" s="56">
        <v>220.2</v>
      </c>
      <c r="CC38" s="58">
        <v>227.7</v>
      </c>
      <c r="CD38" s="210"/>
      <c r="CE38" s="211"/>
      <c r="CF38" s="2">
        <v>215.3</v>
      </c>
      <c r="CG38" s="4">
        <v>217.7</v>
      </c>
      <c r="CH38" s="2">
        <v>223.7</v>
      </c>
      <c r="CI38" s="28">
        <v>222</v>
      </c>
      <c r="CJ38" s="210"/>
      <c r="CK38" s="211"/>
      <c r="CL38" s="3">
        <v>222.6</v>
      </c>
      <c r="CM38" s="28">
        <v>222.2</v>
      </c>
      <c r="CN38" s="214"/>
      <c r="CO38" s="211"/>
      <c r="CP38" s="2">
        <v>223.2</v>
      </c>
      <c r="CQ38" s="4">
        <v>214.4</v>
      </c>
      <c r="CR38" s="2">
        <v>224.6</v>
      </c>
      <c r="CS38" s="28">
        <v>222.9</v>
      </c>
      <c r="CT38" s="214"/>
      <c r="CU38" s="211"/>
      <c r="CV38" s="3">
        <v>224.9</v>
      </c>
      <c r="CW38" s="2">
        <v>225.2</v>
      </c>
      <c r="CX38" s="214"/>
      <c r="CY38" s="211"/>
      <c r="CZ38" s="2">
        <v>222.4</v>
      </c>
      <c r="DA38" s="4">
        <v>223</v>
      </c>
      <c r="DB38" s="53">
        <v>220.3</v>
      </c>
      <c r="DC38" s="64">
        <v>220.6</v>
      </c>
      <c r="DD38" s="208"/>
      <c r="DE38" s="270"/>
      <c r="DF38" s="85">
        <v>221.8</v>
      </c>
      <c r="DG38" s="64">
        <v>221.6</v>
      </c>
      <c r="DH38" s="270"/>
      <c r="DI38" s="209"/>
      <c r="DJ38" s="59">
        <v>228.2</v>
      </c>
      <c r="DK38" s="65">
        <v>220.2</v>
      </c>
      <c r="DL38" s="53">
        <v>223.8</v>
      </c>
      <c r="DM38" s="64">
        <v>221.6</v>
      </c>
      <c r="DN38" s="208"/>
      <c r="DO38" s="270"/>
      <c r="DP38" s="86">
        <v>226.1</v>
      </c>
      <c r="DQ38" s="87">
        <v>228.1</v>
      </c>
      <c r="DR38" s="270"/>
      <c r="DS38" s="209"/>
      <c r="DT38" s="59">
        <v>228.7</v>
      </c>
      <c r="DU38" s="65">
        <v>219.8</v>
      </c>
      <c r="DV38" s="53">
        <v>221.2</v>
      </c>
      <c r="DW38" s="64">
        <v>228.8</v>
      </c>
      <c r="DX38" s="208"/>
      <c r="DY38" s="270"/>
      <c r="DZ38" s="85">
        <v>226.1</v>
      </c>
      <c r="EA38" s="64">
        <v>222.6</v>
      </c>
      <c r="EB38" s="270"/>
      <c r="EC38" s="209"/>
      <c r="ED38" s="59">
        <v>223.2</v>
      </c>
      <c r="EE38" s="65">
        <v>225.3</v>
      </c>
      <c r="EF38" s="53">
        <v>228.9</v>
      </c>
      <c r="EG38" s="64">
        <v>220.1</v>
      </c>
      <c r="EH38" s="208"/>
      <c r="EI38" s="270"/>
      <c r="EJ38" s="85">
        <v>224</v>
      </c>
      <c r="EK38" s="64">
        <v>225.4</v>
      </c>
      <c r="EL38" s="270"/>
      <c r="EM38" s="209"/>
      <c r="EN38" s="59">
        <v>222</v>
      </c>
      <c r="EO38" s="65">
        <v>226.9</v>
      </c>
      <c r="EP38" s="53">
        <v>220.5</v>
      </c>
      <c r="EQ38" s="64">
        <v>221.3</v>
      </c>
      <c r="ER38" s="208"/>
      <c r="ES38" s="270"/>
      <c r="ET38" s="85">
        <v>224.7</v>
      </c>
      <c r="EU38" s="64">
        <v>222.1</v>
      </c>
      <c r="EV38" s="270"/>
      <c r="EW38" s="209"/>
      <c r="EX38" s="59">
        <v>217.3</v>
      </c>
      <c r="EY38" s="65">
        <v>213.6</v>
      </c>
      <c r="EZ38" s="53">
        <v>228.1</v>
      </c>
      <c r="FA38" s="64">
        <v>214.2</v>
      </c>
      <c r="FB38" s="208"/>
      <c r="FC38" s="270"/>
      <c r="FD38" s="85">
        <v>222.9</v>
      </c>
      <c r="FE38" s="64">
        <v>225.3</v>
      </c>
      <c r="FF38" s="270"/>
      <c r="FG38" s="209"/>
      <c r="FH38" s="59">
        <v>221.9</v>
      </c>
      <c r="FI38" s="65">
        <v>224.5</v>
      </c>
      <c r="FJ38" s="53">
        <v>224.9</v>
      </c>
      <c r="FK38" s="64">
        <v>224.5</v>
      </c>
      <c r="FL38" s="208"/>
      <c r="FM38" s="270"/>
      <c r="FN38" s="85">
        <v>226.8</v>
      </c>
      <c r="FO38" s="64">
        <v>225</v>
      </c>
      <c r="FP38" s="270"/>
      <c r="FQ38" s="209"/>
      <c r="FR38" s="59">
        <v>228.1</v>
      </c>
      <c r="FS38" s="65">
        <v>223.5</v>
      </c>
      <c r="FT38" s="88">
        <v>219.5</v>
      </c>
      <c r="FU38" s="87">
        <v>224.5</v>
      </c>
      <c r="FV38" s="208"/>
      <c r="FW38" s="270"/>
      <c r="FX38" s="86">
        <v>224.1</v>
      </c>
      <c r="FY38" s="87">
        <v>221.6</v>
      </c>
      <c r="FZ38" s="270"/>
      <c r="GA38" s="209"/>
      <c r="GB38" s="88">
        <v>221</v>
      </c>
      <c r="GC38" s="89">
        <v>230.7</v>
      </c>
      <c r="GD38" s="88">
        <v>223.8</v>
      </c>
      <c r="GE38" s="87">
        <v>227.9</v>
      </c>
      <c r="GF38" s="292"/>
      <c r="GG38" s="293"/>
      <c r="GH38" s="86">
        <v>228.2</v>
      </c>
      <c r="GI38" s="87">
        <v>224.6</v>
      </c>
      <c r="GJ38" s="293"/>
      <c r="GK38" s="294"/>
      <c r="GL38" s="88">
        <v>220.9</v>
      </c>
      <c r="GM38" s="89">
        <v>229.6</v>
      </c>
      <c r="GN38" s="88">
        <v>226.6</v>
      </c>
      <c r="GO38" s="87">
        <v>219.7</v>
      </c>
      <c r="GP38" s="208"/>
      <c r="GQ38" s="270"/>
      <c r="GR38" s="85">
        <v>224.7</v>
      </c>
      <c r="GS38" s="64">
        <v>228.3</v>
      </c>
      <c r="GT38" s="270"/>
      <c r="GU38" s="209"/>
      <c r="GV38" s="59">
        <v>224.7</v>
      </c>
      <c r="GW38" s="65">
        <v>226.5</v>
      </c>
    </row>
    <row r="39" spans="1:1046" x14ac:dyDescent="0.2">
      <c r="A39" s="2"/>
      <c r="B39" s="78"/>
      <c r="C39" s="23" t="s">
        <v>95</v>
      </c>
      <c r="D39" s="210"/>
      <c r="E39" s="295"/>
      <c r="F39" s="62">
        <v>50</v>
      </c>
      <c r="G39" s="62">
        <v>50</v>
      </c>
      <c r="H39" s="214"/>
      <c r="I39" s="211"/>
      <c r="J39" s="82">
        <v>50</v>
      </c>
      <c r="K39" s="74">
        <v>50</v>
      </c>
      <c r="L39" s="210"/>
      <c r="M39" s="210"/>
      <c r="N39" s="82">
        <v>50</v>
      </c>
      <c r="O39" s="83">
        <v>50</v>
      </c>
      <c r="P39" s="62">
        <v>50</v>
      </c>
      <c r="Q39" s="74">
        <v>20</v>
      </c>
      <c r="R39" s="214"/>
      <c r="S39" s="210"/>
      <c r="T39" s="82">
        <v>20</v>
      </c>
      <c r="U39" s="74">
        <v>20</v>
      </c>
      <c r="V39" s="210"/>
      <c r="W39" s="211"/>
      <c r="X39" s="2">
        <v>20</v>
      </c>
      <c r="Y39" s="4">
        <v>20</v>
      </c>
      <c r="Z39" s="2">
        <v>11</v>
      </c>
      <c r="AA39" s="28">
        <v>11</v>
      </c>
      <c r="AB39" s="214"/>
      <c r="AC39" s="211"/>
      <c r="AD39" s="3">
        <v>10</v>
      </c>
      <c r="AE39" s="28">
        <v>10</v>
      </c>
      <c r="AF39" s="214"/>
      <c r="AG39" s="211"/>
      <c r="AH39" s="2">
        <v>12</v>
      </c>
      <c r="AI39" s="4">
        <v>11</v>
      </c>
      <c r="AJ39" s="2">
        <v>11</v>
      </c>
      <c r="AK39" s="28">
        <v>11</v>
      </c>
      <c r="AL39" s="214"/>
      <c r="AM39" s="211"/>
      <c r="AN39" s="3">
        <v>12</v>
      </c>
      <c r="AO39" s="28">
        <v>12</v>
      </c>
      <c r="AP39" s="214"/>
      <c r="AQ39" s="211"/>
      <c r="AR39" s="2">
        <v>11</v>
      </c>
      <c r="AS39" s="4">
        <v>11</v>
      </c>
      <c r="AT39" s="2">
        <v>12</v>
      </c>
      <c r="AU39" s="28">
        <v>11</v>
      </c>
      <c r="AV39" s="210"/>
      <c r="AW39" s="211"/>
      <c r="AX39" s="3">
        <v>11</v>
      </c>
      <c r="AY39" s="2">
        <v>11</v>
      </c>
      <c r="AZ39" s="214"/>
      <c r="BA39" s="211"/>
      <c r="BB39" s="2">
        <v>10</v>
      </c>
      <c r="BC39" s="4">
        <v>10</v>
      </c>
      <c r="BD39" s="2">
        <v>9</v>
      </c>
      <c r="BE39" s="28">
        <v>8.5</v>
      </c>
      <c r="BF39" s="210"/>
      <c r="BG39" s="210"/>
      <c r="BH39" s="3">
        <v>11</v>
      </c>
      <c r="BI39" s="28">
        <v>10</v>
      </c>
      <c r="BJ39" s="210"/>
      <c r="BK39" s="211"/>
      <c r="BL39" s="2">
        <v>8.5</v>
      </c>
      <c r="BM39" s="4">
        <v>8.5</v>
      </c>
      <c r="BN39" s="2">
        <v>12</v>
      </c>
      <c r="BO39" s="28">
        <v>11</v>
      </c>
      <c r="BP39" s="210"/>
      <c r="BQ39" s="211"/>
      <c r="BR39" s="3">
        <v>12</v>
      </c>
      <c r="BS39" s="2">
        <v>11</v>
      </c>
      <c r="BT39" s="214"/>
      <c r="BU39" s="210"/>
      <c r="BV39" s="3">
        <v>12</v>
      </c>
      <c r="BW39" s="2">
        <v>11</v>
      </c>
      <c r="BX39" s="3">
        <v>10</v>
      </c>
      <c r="BY39" s="28">
        <v>11</v>
      </c>
      <c r="BZ39" s="210"/>
      <c r="CA39" s="210"/>
      <c r="CB39" s="3">
        <v>10</v>
      </c>
      <c r="CC39" s="28">
        <v>10</v>
      </c>
      <c r="CD39" s="210"/>
      <c r="CE39" s="211"/>
      <c r="CF39" s="2">
        <v>11</v>
      </c>
      <c r="CG39" s="4">
        <v>11</v>
      </c>
      <c r="CH39" s="2">
        <v>10</v>
      </c>
      <c r="CI39" s="28">
        <v>10</v>
      </c>
      <c r="CJ39" s="210"/>
      <c r="CK39" s="211"/>
      <c r="CL39" s="3">
        <v>10</v>
      </c>
      <c r="CM39" s="28">
        <v>10</v>
      </c>
      <c r="CN39" s="214"/>
      <c r="CO39" s="211"/>
      <c r="CP39" s="2">
        <v>10</v>
      </c>
      <c r="CQ39" s="4">
        <v>10</v>
      </c>
      <c r="CR39" s="2">
        <v>11</v>
      </c>
      <c r="CS39" s="28">
        <v>10</v>
      </c>
      <c r="CT39" s="214"/>
      <c r="CU39" s="211"/>
      <c r="CV39" s="3">
        <v>10</v>
      </c>
      <c r="CW39" s="2">
        <v>10</v>
      </c>
      <c r="CX39" s="214"/>
      <c r="CY39" s="211"/>
      <c r="CZ39" s="2">
        <v>10</v>
      </c>
      <c r="DA39" s="4">
        <v>10</v>
      </c>
      <c r="DB39" s="62">
        <v>10</v>
      </c>
      <c r="DC39" s="74">
        <v>11</v>
      </c>
      <c r="DD39" s="214"/>
      <c r="DE39" s="210"/>
      <c r="DF39" s="82">
        <v>10</v>
      </c>
      <c r="DG39" s="74">
        <v>10</v>
      </c>
      <c r="DH39" s="210"/>
      <c r="DI39" s="211"/>
      <c r="DJ39" s="2">
        <v>11</v>
      </c>
      <c r="DK39" s="4">
        <v>10</v>
      </c>
      <c r="DL39" s="62">
        <v>11</v>
      </c>
      <c r="DM39" s="74">
        <v>10</v>
      </c>
      <c r="DN39" s="214"/>
      <c r="DO39" s="210"/>
      <c r="DP39" s="25">
        <v>10</v>
      </c>
      <c r="DQ39" s="26">
        <v>10</v>
      </c>
      <c r="DR39" s="210"/>
      <c r="DS39" s="211"/>
      <c r="DT39" s="2">
        <v>12</v>
      </c>
      <c r="DU39" s="4">
        <v>10</v>
      </c>
      <c r="DV39" s="62">
        <v>12</v>
      </c>
      <c r="DW39" s="74">
        <v>11</v>
      </c>
      <c r="DX39" s="214"/>
      <c r="DY39" s="210"/>
      <c r="DZ39" s="82">
        <v>10</v>
      </c>
      <c r="EA39" s="74">
        <v>10</v>
      </c>
      <c r="EB39" s="210"/>
      <c r="EC39" s="211"/>
      <c r="ED39" s="2">
        <v>10</v>
      </c>
      <c r="EE39" s="4">
        <v>10</v>
      </c>
      <c r="EF39" s="62">
        <v>12</v>
      </c>
      <c r="EG39" s="74">
        <v>12</v>
      </c>
      <c r="EH39" s="214"/>
      <c r="EI39" s="210"/>
      <c r="EJ39" s="82">
        <v>10</v>
      </c>
      <c r="EK39" s="74">
        <v>10</v>
      </c>
      <c r="EL39" s="210"/>
      <c r="EM39" s="211"/>
      <c r="EN39" s="2">
        <v>10</v>
      </c>
      <c r="EO39" s="4">
        <v>10</v>
      </c>
      <c r="EP39" s="62">
        <v>10</v>
      </c>
      <c r="EQ39" s="74">
        <v>10</v>
      </c>
      <c r="ER39" s="214"/>
      <c r="ES39" s="210"/>
      <c r="ET39" s="82">
        <v>10</v>
      </c>
      <c r="EU39" s="74">
        <v>10</v>
      </c>
      <c r="EV39" s="210"/>
      <c r="EW39" s="211"/>
      <c r="EX39" s="2">
        <v>10</v>
      </c>
      <c r="EY39" s="4">
        <v>10</v>
      </c>
      <c r="EZ39" s="62">
        <v>10</v>
      </c>
      <c r="FA39" s="74">
        <v>10</v>
      </c>
      <c r="FB39" s="214"/>
      <c r="FC39" s="210"/>
      <c r="FD39" s="82">
        <v>10</v>
      </c>
      <c r="FE39" s="74">
        <v>10</v>
      </c>
      <c r="FF39" s="210"/>
      <c r="FG39" s="211"/>
      <c r="FH39" s="2">
        <v>10</v>
      </c>
      <c r="FI39" s="4">
        <v>10</v>
      </c>
      <c r="FJ39" s="62">
        <v>10</v>
      </c>
      <c r="FK39" s="74">
        <v>10</v>
      </c>
      <c r="FL39" s="214"/>
      <c r="FM39" s="210"/>
      <c r="FN39" s="82">
        <v>10</v>
      </c>
      <c r="FO39" s="74">
        <v>10</v>
      </c>
      <c r="FP39" s="210"/>
      <c r="FQ39" s="211"/>
      <c r="FR39" s="2">
        <v>10</v>
      </c>
      <c r="FS39" s="4">
        <v>10</v>
      </c>
      <c r="FT39" s="62">
        <v>10</v>
      </c>
      <c r="FU39" s="74">
        <v>10</v>
      </c>
      <c r="FV39" s="214"/>
      <c r="FW39" s="210"/>
      <c r="FX39" s="82">
        <v>10</v>
      </c>
      <c r="FY39" s="74">
        <v>10</v>
      </c>
      <c r="FZ39" s="210"/>
      <c r="GA39" s="211"/>
      <c r="GB39" s="2">
        <v>10</v>
      </c>
      <c r="GC39" s="4">
        <v>10</v>
      </c>
      <c r="GD39" s="62">
        <v>10</v>
      </c>
      <c r="GE39" s="74">
        <v>10</v>
      </c>
      <c r="GF39" s="214"/>
      <c r="GG39" s="210"/>
      <c r="GH39" s="82">
        <v>10</v>
      </c>
      <c r="GI39" s="74">
        <v>11</v>
      </c>
      <c r="GJ39" s="210"/>
      <c r="GK39" s="211"/>
      <c r="GL39" s="2">
        <v>10</v>
      </c>
      <c r="GM39" s="4">
        <v>11</v>
      </c>
      <c r="GN39" s="62">
        <v>11</v>
      </c>
      <c r="GO39" s="74">
        <v>10</v>
      </c>
      <c r="GP39" s="214"/>
      <c r="GQ39" s="210"/>
      <c r="GR39" s="82">
        <v>8.5</v>
      </c>
      <c r="GS39" s="74">
        <v>9</v>
      </c>
      <c r="GT39" s="210"/>
      <c r="GU39" s="211"/>
      <c r="GV39" s="2">
        <v>8.5</v>
      </c>
      <c r="GW39" s="4">
        <v>7</v>
      </c>
    </row>
    <row r="40" spans="1:1046" x14ac:dyDescent="0.2">
      <c r="A40" s="2"/>
      <c r="B40" s="3"/>
      <c r="C40" s="23" t="s">
        <v>96</v>
      </c>
      <c r="D40" s="210"/>
      <c r="E40" s="295"/>
      <c r="F40" s="62">
        <v>123.7</v>
      </c>
      <c r="G40" s="62">
        <v>123.1</v>
      </c>
      <c r="H40" s="214"/>
      <c r="I40" s="211"/>
      <c r="J40" s="82">
        <v>140.19999999999999</v>
      </c>
      <c r="K40" s="74">
        <v>121.1</v>
      </c>
      <c r="L40" s="210"/>
      <c r="M40" s="210"/>
      <c r="N40" s="82">
        <v>143.30000000000001</v>
      </c>
      <c r="O40" s="83">
        <v>120.3</v>
      </c>
      <c r="P40" s="62">
        <v>128.80000000000001</v>
      </c>
      <c r="Q40" s="74">
        <v>122.8</v>
      </c>
      <c r="R40" s="214"/>
      <c r="S40" s="210"/>
      <c r="T40" s="82">
        <v>127</v>
      </c>
      <c r="U40" s="74">
        <v>121.3</v>
      </c>
      <c r="V40" s="210"/>
      <c r="W40" s="211"/>
      <c r="X40" s="2">
        <v>125.8</v>
      </c>
      <c r="Y40" s="4">
        <v>121.9</v>
      </c>
      <c r="Z40" s="2">
        <v>219.4</v>
      </c>
      <c r="AA40" s="28">
        <v>218.3</v>
      </c>
      <c r="AB40" s="214"/>
      <c r="AC40" s="211"/>
      <c r="AD40" s="3">
        <v>228.8</v>
      </c>
      <c r="AE40" s="28">
        <v>227.6</v>
      </c>
      <c r="AF40" s="214"/>
      <c r="AG40" s="211"/>
      <c r="AH40" s="2">
        <v>221</v>
      </c>
      <c r="AI40" s="4">
        <v>213.4</v>
      </c>
      <c r="AJ40" s="2">
        <v>225.7</v>
      </c>
      <c r="AK40" s="28">
        <v>219.4</v>
      </c>
      <c r="AL40" s="214"/>
      <c r="AM40" s="211"/>
      <c r="AN40" s="3">
        <v>219.2</v>
      </c>
      <c r="AO40" s="28">
        <v>211.2</v>
      </c>
      <c r="AP40" s="214"/>
      <c r="AQ40" s="211"/>
      <c r="AR40" s="2">
        <v>223</v>
      </c>
      <c r="AS40" s="4">
        <v>216.2</v>
      </c>
      <c r="AT40" s="2">
        <v>229.3</v>
      </c>
      <c r="AU40" s="28">
        <v>214.2</v>
      </c>
      <c r="AV40" s="210"/>
      <c r="AW40" s="211"/>
      <c r="AX40" s="3">
        <v>231.1</v>
      </c>
      <c r="AY40" s="2">
        <v>226.8</v>
      </c>
      <c r="AZ40" s="214"/>
      <c r="BA40" s="211"/>
      <c r="BB40" s="2">
        <v>227.9</v>
      </c>
      <c r="BC40" s="4">
        <v>225.6</v>
      </c>
      <c r="BD40" s="2">
        <v>220.1</v>
      </c>
      <c r="BE40" s="28">
        <v>226</v>
      </c>
      <c r="BF40" s="210"/>
      <c r="BG40" s="210"/>
      <c r="BH40" s="3">
        <v>227.7</v>
      </c>
      <c r="BI40" s="28">
        <v>226.9</v>
      </c>
      <c r="BJ40" s="210"/>
      <c r="BK40" s="211"/>
      <c r="BL40" s="2">
        <v>227.7</v>
      </c>
      <c r="BM40" s="4">
        <v>223.2</v>
      </c>
      <c r="BN40" s="2">
        <v>230.5</v>
      </c>
      <c r="BO40" s="28">
        <v>227.4</v>
      </c>
      <c r="BP40" s="210"/>
      <c r="BQ40" s="211"/>
      <c r="BR40" s="3">
        <v>220.5</v>
      </c>
      <c r="BS40" s="2">
        <v>221</v>
      </c>
      <c r="BT40" s="214"/>
      <c r="BU40" s="210"/>
      <c r="BV40" s="3">
        <v>219</v>
      </c>
      <c r="BW40" s="2">
        <v>213.3</v>
      </c>
      <c r="BX40" s="3">
        <v>226.5</v>
      </c>
      <c r="BY40" s="28">
        <v>224.3</v>
      </c>
      <c r="BZ40" s="210"/>
      <c r="CA40" s="210"/>
      <c r="CB40" s="3">
        <v>224.1</v>
      </c>
      <c r="CC40" s="28">
        <v>228.3</v>
      </c>
      <c r="CD40" s="210"/>
      <c r="CE40" s="211"/>
      <c r="CF40" s="2">
        <v>220.7</v>
      </c>
      <c r="CG40" s="4">
        <v>218.1</v>
      </c>
      <c r="CH40" s="2">
        <v>233</v>
      </c>
      <c r="CI40" s="28">
        <v>222.8</v>
      </c>
      <c r="CJ40" s="210"/>
      <c r="CK40" s="211"/>
      <c r="CL40" s="3">
        <v>228.7</v>
      </c>
      <c r="CM40" s="28">
        <v>223.4</v>
      </c>
      <c r="CN40" s="214"/>
      <c r="CO40" s="211"/>
      <c r="CP40" s="2">
        <v>234.1</v>
      </c>
      <c r="CQ40" s="4">
        <v>214.6</v>
      </c>
      <c r="CR40" s="2">
        <v>235.5</v>
      </c>
      <c r="CS40" s="28">
        <v>224</v>
      </c>
      <c r="CT40" s="214"/>
      <c r="CU40" s="211"/>
      <c r="CV40" s="3">
        <v>235.3</v>
      </c>
      <c r="CW40" s="2">
        <v>226.1</v>
      </c>
      <c r="CX40" s="214"/>
      <c r="CY40" s="211"/>
      <c r="CZ40" s="2">
        <v>236.5</v>
      </c>
      <c r="DA40" s="4">
        <v>223.7</v>
      </c>
      <c r="DB40" s="62">
        <v>255.6</v>
      </c>
      <c r="DC40" s="74">
        <v>221.1</v>
      </c>
      <c r="DD40" s="214"/>
      <c r="DE40" s="210"/>
      <c r="DF40" s="82">
        <v>226.5</v>
      </c>
      <c r="DG40" s="74">
        <v>223.7</v>
      </c>
      <c r="DH40" s="210"/>
      <c r="DI40" s="211"/>
      <c r="DJ40" s="2">
        <v>238</v>
      </c>
      <c r="DK40" s="4">
        <v>220.3</v>
      </c>
      <c r="DL40" s="62">
        <v>230.3</v>
      </c>
      <c r="DM40" s="74">
        <v>222</v>
      </c>
      <c r="DN40" s="214"/>
      <c r="DO40" s="210"/>
      <c r="DP40" s="25">
        <v>243.8</v>
      </c>
      <c r="DQ40" s="26">
        <v>228.6</v>
      </c>
      <c r="DR40" s="210"/>
      <c r="DS40" s="211"/>
      <c r="DT40" s="2">
        <v>234.3</v>
      </c>
      <c r="DU40" s="4">
        <v>220.9</v>
      </c>
      <c r="DV40" s="62">
        <v>237</v>
      </c>
      <c r="DW40" s="74">
        <v>229.3</v>
      </c>
      <c r="DX40" s="214"/>
      <c r="DY40" s="210"/>
      <c r="DZ40" s="82">
        <v>240.5</v>
      </c>
      <c r="EA40" s="74">
        <v>223.2</v>
      </c>
      <c r="EB40" s="210"/>
      <c r="EC40" s="211"/>
      <c r="ED40" s="2">
        <v>230.2</v>
      </c>
      <c r="EE40" s="4">
        <v>225.6</v>
      </c>
      <c r="EF40" s="62">
        <v>239.8</v>
      </c>
      <c r="EG40" s="74">
        <v>220.8</v>
      </c>
      <c r="EH40" s="214"/>
      <c r="EI40" s="210"/>
      <c r="EJ40" s="82">
        <v>244.4</v>
      </c>
      <c r="EK40" s="74">
        <v>226.1</v>
      </c>
      <c r="EL40" s="210"/>
      <c r="EM40" s="211"/>
      <c r="EN40" s="2">
        <v>241.3</v>
      </c>
      <c r="EO40" s="4">
        <v>227.1</v>
      </c>
      <c r="EP40" s="62">
        <v>246.8</v>
      </c>
      <c r="EQ40" s="74">
        <v>221.4</v>
      </c>
      <c r="ER40" s="214"/>
      <c r="ES40" s="210"/>
      <c r="ET40" s="82">
        <v>234.3</v>
      </c>
      <c r="EU40" s="74">
        <v>223.9</v>
      </c>
      <c r="EV40" s="210"/>
      <c r="EW40" s="211"/>
      <c r="EX40" s="2">
        <v>259.8</v>
      </c>
      <c r="EY40" s="4">
        <v>214.2</v>
      </c>
      <c r="EZ40" s="62">
        <v>278.2</v>
      </c>
      <c r="FA40" s="74">
        <v>214.3</v>
      </c>
      <c r="FB40" s="214"/>
      <c r="FC40" s="210"/>
      <c r="FD40" s="82">
        <v>229.6</v>
      </c>
      <c r="FE40" s="74">
        <v>225.9</v>
      </c>
      <c r="FF40" s="210"/>
      <c r="FG40" s="211"/>
      <c r="FH40" s="2">
        <v>236.3</v>
      </c>
      <c r="FI40" s="4">
        <v>225.3</v>
      </c>
      <c r="FJ40" s="62">
        <v>232.7</v>
      </c>
      <c r="FK40" s="74">
        <v>224.7</v>
      </c>
      <c r="FL40" s="214"/>
      <c r="FM40" s="210"/>
      <c r="FN40" s="82">
        <v>239.9</v>
      </c>
      <c r="FO40" s="74">
        <v>225.6</v>
      </c>
      <c r="FP40" s="210"/>
      <c r="FQ40" s="211"/>
      <c r="FR40" s="2">
        <v>239.8</v>
      </c>
      <c r="FS40" s="4">
        <v>223.6</v>
      </c>
      <c r="FT40" s="62">
        <v>302.3</v>
      </c>
      <c r="FU40" s="74">
        <v>225</v>
      </c>
      <c r="FV40" s="214"/>
      <c r="FW40" s="210"/>
      <c r="FX40" s="82">
        <v>247.3</v>
      </c>
      <c r="FY40" s="74">
        <v>222.2</v>
      </c>
      <c r="FZ40" s="210"/>
      <c r="GA40" s="211"/>
      <c r="GB40" s="2">
        <v>230.2</v>
      </c>
      <c r="GC40" s="4">
        <v>230.9</v>
      </c>
      <c r="GD40" s="9">
        <v>271</v>
      </c>
      <c r="GE40" s="26">
        <v>228.1</v>
      </c>
      <c r="GF40" s="296"/>
      <c r="GG40" s="297"/>
      <c r="GH40" s="25">
        <v>232.6</v>
      </c>
      <c r="GI40" s="26">
        <v>225</v>
      </c>
      <c r="GJ40" s="297"/>
      <c r="GK40" s="298"/>
      <c r="GL40" s="9">
        <v>226.9</v>
      </c>
      <c r="GM40" s="30">
        <v>231.3</v>
      </c>
      <c r="GN40" s="9">
        <v>229.2</v>
      </c>
      <c r="GO40" s="26">
        <v>220.4</v>
      </c>
      <c r="GP40" s="214"/>
      <c r="GQ40" s="210"/>
      <c r="GR40" s="82">
        <v>228</v>
      </c>
      <c r="GS40" s="74">
        <v>229.5</v>
      </c>
      <c r="GT40" s="210"/>
      <c r="GU40" s="211"/>
      <c r="GV40" s="2">
        <v>230.2</v>
      </c>
      <c r="GW40" s="4">
        <v>227</v>
      </c>
    </row>
    <row r="41" spans="1:1046" x14ac:dyDescent="0.2">
      <c r="A41" s="2"/>
      <c r="B41" s="3"/>
      <c r="C41" s="299">
        <v>1</v>
      </c>
      <c r="D41" s="228"/>
      <c r="E41" s="233"/>
      <c r="F41" s="300">
        <f>((F40-F38)*1000)/(F39)</f>
        <v>94.000000000000057</v>
      </c>
      <c r="G41" s="300">
        <f>((G40-G38)*1000)/(G39)</f>
        <v>73.999999999999773</v>
      </c>
      <c r="H41" s="224"/>
      <c r="I41" s="231"/>
      <c r="J41" s="301">
        <f>((J40-J38)*1000)/(J39)</f>
        <v>415.99999999999966</v>
      </c>
      <c r="K41" s="302">
        <f>((K40-K38)*1000)/(K39)</f>
        <v>50</v>
      </c>
      <c r="L41" s="228"/>
      <c r="M41" s="228"/>
      <c r="N41" s="301">
        <f>((N40-N38)*1000)/(N39)</f>
        <v>494.00000000000034</v>
      </c>
      <c r="O41" s="303">
        <f>((O40-O38)*1000)/(O39)</f>
        <v>14.000000000000057</v>
      </c>
      <c r="P41" s="304">
        <f>((P40-P38)*1000)/(P39)</f>
        <v>134.00000000000034</v>
      </c>
      <c r="Q41" s="305">
        <f>((Q40-Q38)*1000)/(Q39)</f>
        <v>14.999999999999858</v>
      </c>
      <c r="R41" s="224"/>
      <c r="S41" s="228"/>
      <c r="T41" s="306">
        <f>((T40-T38)*1000)/(T39)</f>
        <v>229.99999999999972</v>
      </c>
      <c r="U41" s="305">
        <f>((U40-U38)*1000)/(U39)</f>
        <v>79.999999999999716</v>
      </c>
      <c r="V41" s="228"/>
      <c r="W41" s="231"/>
      <c r="X41" s="307">
        <f>((X40-X38)*1000)/(X39)</f>
        <v>200</v>
      </c>
      <c r="Y41" s="308">
        <f>((Y40-Y38)*1000)/(Y39)</f>
        <v>20.000000000000284</v>
      </c>
      <c r="Z41" s="300">
        <f>((Z40-Z38)*1000)/(Z39)</f>
        <v>409.09090909090907</v>
      </c>
      <c r="AA41" s="302">
        <f>((AA40-AA38)*1000)/(AA39)</f>
        <v>90.909090909090907</v>
      </c>
      <c r="AB41" s="214"/>
      <c r="AC41" s="211"/>
      <c r="AD41" s="309">
        <f>((AD40-AD38)*1000)/(AD39)</f>
        <v>340.00000000000057</v>
      </c>
      <c r="AE41" s="310">
        <f>((AE40-AE38)*1000)/(AE39)</f>
        <v>29.999999999998295</v>
      </c>
      <c r="AF41" s="214"/>
      <c r="AG41" s="211"/>
      <c r="AH41" s="300">
        <f>((AH40-AH38)*1000)/(AH39)</f>
        <v>358.33333333333422</v>
      </c>
      <c r="AI41" s="311">
        <f>((AI40-AI38)*1000)/(AI39)</f>
        <v>99.999999999999488</v>
      </c>
      <c r="AJ41" s="300">
        <f>((AJ40-AJ38)*1000)/(AJ39)</f>
        <v>645.45454545454493</v>
      </c>
      <c r="AK41" s="302">
        <f>((AK40-AK38)*1000)/(AK39)</f>
        <v>81.818181818182339</v>
      </c>
      <c r="AL41" s="214"/>
      <c r="AM41" s="211"/>
      <c r="AN41" s="309">
        <f>((AN40-AN38)*1000)/(AN39)</f>
        <v>399.99999999999858</v>
      </c>
      <c r="AO41" s="302">
        <f>((AO40-AO38)*1000)/(AO39)</f>
        <v>16.666666666665719</v>
      </c>
      <c r="AP41" s="214"/>
      <c r="AQ41" s="211"/>
      <c r="AR41" s="300">
        <f>((AR40-AR38)*1000)/(AR39)</f>
        <v>518.18181818181722</v>
      </c>
      <c r="AS41" s="312">
        <f>((AS40-AS38)*1000)/(AS39)</f>
        <v>36.363636363634299</v>
      </c>
      <c r="AT41" s="313">
        <f>((AT40-AT38)*1000)/(AT39)</f>
        <v>650.00000000000091</v>
      </c>
      <c r="AU41" s="302">
        <f>((AU40-AU38)*1000)/(AU39)</f>
        <v>72.727272727271171</v>
      </c>
      <c r="AV41" s="228"/>
      <c r="AW41" s="231"/>
      <c r="AX41" s="306">
        <f>((AX40-AX38)*1000)/(AX39)</f>
        <v>481.81818181818022</v>
      </c>
      <c r="AY41" s="300">
        <f>((AY40-AY38)*1000)/(AY39)</f>
        <v>18.181818181819732</v>
      </c>
      <c r="AZ41" s="224"/>
      <c r="BA41" s="231"/>
      <c r="BB41" s="313">
        <f>((BB40-BB38)*1000)/(BB39)</f>
        <v>300</v>
      </c>
      <c r="BC41" s="311">
        <f>((BC40-BC38)*1000)/(BC39)</f>
        <v>50</v>
      </c>
      <c r="BD41" s="300">
        <f>((BD40-BD38)*1000)/(BD39)</f>
        <v>111.11111111111111</v>
      </c>
      <c r="BE41" s="302">
        <f>((BE40-BE38)*1000)/(BE39)</f>
        <v>23.529411764704545</v>
      </c>
      <c r="BF41" s="228"/>
      <c r="BG41" s="228"/>
      <c r="BH41" s="306">
        <f>((BH40-BH38)*1000)/(BH39)</f>
        <v>590.90909090909088</v>
      </c>
      <c r="BI41" s="310">
        <f>((BI40-BI38)*1000)/(BI39)</f>
        <v>90.000000000000568</v>
      </c>
      <c r="BJ41" s="314"/>
      <c r="BK41" s="231"/>
      <c r="BL41" s="300">
        <f>((BL40-BL38)*1000)/(BL39)</f>
        <v>364.70588235294053</v>
      </c>
      <c r="BM41" s="312">
        <f>((BM40-BM38)*1000)/(BM39)</f>
        <v>23.529411764704545</v>
      </c>
      <c r="BN41" s="300">
        <f>((BN40-BN38)*1000)/(BN39)</f>
        <v>558.33333333333246</v>
      </c>
      <c r="BO41" s="302">
        <f>((BO38-BO40)*1000)/(BO39)</f>
        <v>18.18181818181715</v>
      </c>
      <c r="BP41" s="228"/>
      <c r="BQ41" s="231"/>
      <c r="BR41" s="306">
        <f>((BR40-BR38)*1000)/(BR39)</f>
        <v>483.33333333333422</v>
      </c>
      <c r="BS41" s="300">
        <f>((BS40-BS38)*1000)/(BS39)</f>
        <v>81.818181818182339</v>
      </c>
      <c r="BT41" s="224"/>
      <c r="BU41" s="228"/>
      <c r="BV41" s="306">
        <f>((BV40-BV38)*1000)/(BV39)</f>
        <v>658.33333333333383</v>
      </c>
      <c r="BW41" s="300">
        <f>((BW40-BW38)*1000)/(BW39)</f>
        <v>54.545454545456614</v>
      </c>
      <c r="BX41" s="309">
        <f>((BX40-BX38)*1000)/(BX39)</f>
        <v>340.00000000000057</v>
      </c>
      <c r="BY41" s="305">
        <f>((BY40-BY38)*1000)/(BY39)</f>
        <v>81.818181818182339</v>
      </c>
      <c r="BZ41" s="228"/>
      <c r="CA41" s="228"/>
      <c r="CB41" s="309">
        <f>((CB40-CB38)*1000)/(CB39)</f>
        <v>390.00000000000057</v>
      </c>
      <c r="CC41" s="305">
        <f>((CC40-CC38)*1000)/(CC39)</f>
        <v>60.000000000002274</v>
      </c>
      <c r="CD41" s="228"/>
      <c r="CE41" s="231"/>
      <c r="CF41" s="300">
        <f>((CF40-CF38)*1000)/(CF39)</f>
        <v>490.90909090908883</v>
      </c>
      <c r="CG41" s="303">
        <f>((CG40-CG38)*1000)/(CG39)</f>
        <v>36.363636363636878</v>
      </c>
      <c r="CH41" s="300">
        <f>((CH40-CH38)*1000)/(CH39)</f>
        <v>930.00000000000114</v>
      </c>
      <c r="CI41" s="310">
        <f>((CI40-CI38)*1000)/(CI39)</f>
        <v>80.000000000001137</v>
      </c>
      <c r="CJ41" s="253"/>
      <c r="CK41" s="255"/>
      <c r="CL41" s="309">
        <f>((CL40-CL38)*1000)/(CL39)</f>
        <v>609.99999999999943</v>
      </c>
      <c r="CM41" s="310">
        <f>((CM40-CM38)*1000)/(CM39)</f>
        <v>120.00000000000171</v>
      </c>
      <c r="CN41" s="224"/>
      <c r="CO41" s="231"/>
      <c r="CP41" s="313">
        <f>((CP40-CP38)*1000)/(CP39)</f>
        <v>1090.0000000000005</v>
      </c>
      <c r="CQ41" s="311">
        <f>((CQ40-CQ38)*1000)/(CQ39)</f>
        <v>19.999999999998863</v>
      </c>
      <c r="CR41" s="300">
        <f>((CR40-CR38)*1000)/(CR39)</f>
        <v>990.90909090909145</v>
      </c>
      <c r="CS41" s="310">
        <f>((CS40-CS38)*1000)/(CS39)</f>
        <v>109.99999999999943</v>
      </c>
      <c r="CT41" s="224"/>
      <c r="CU41" s="231"/>
      <c r="CV41" s="309">
        <f>((CV40-CV38)*1000)/(CV39)</f>
        <v>1040.0000000000005</v>
      </c>
      <c r="CW41" s="313">
        <f>((CW40-CW38)*1000)/(CW39)</f>
        <v>90.000000000000568</v>
      </c>
      <c r="CX41" s="224"/>
      <c r="CY41" s="231"/>
      <c r="CZ41" s="313">
        <f>((CZ40-CZ38)*1000)/(CZ39)</f>
        <v>1409.9999999999995</v>
      </c>
      <c r="DA41" s="311">
        <f>((DA40-DA38)*1000)/(DA39)</f>
        <v>69.999999999998863</v>
      </c>
      <c r="DB41" s="300">
        <f>((DB40-DB38)*1000)/(DB39)</f>
        <v>3529.9999999999986</v>
      </c>
      <c r="DC41" s="302">
        <f>((DC40-DC38)*1000)/(DC39)</f>
        <v>45.454545454545453</v>
      </c>
      <c r="DD41" s="224"/>
      <c r="DE41" s="228"/>
      <c r="DF41" s="306">
        <f>((DF40-DF38)*1000)/(DF39)</f>
        <v>469.99999999999892</v>
      </c>
      <c r="DG41" s="302">
        <f>((DG40-DG38)*1000)/(DG39)</f>
        <v>209.99999999999946</v>
      </c>
      <c r="DH41" s="228"/>
      <c r="DI41" s="231"/>
      <c r="DJ41" s="300">
        <f>((DJ40-DJ38)*1000)/(DJ39)</f>
        <v>890.9090909090919</v>
      </c>
      <c r="DK41" s="311">
        <f>((DK40-DK38)*1000)/(DK39)</f>
        <v>10.000000000002274</v>
      </c>
      <c r="DL41" s="300">
        <f>((DL40-DL38)*1000)/(DL39)</f>
        <v>590.90909090909088</v>
      </c>
      <c r="DM41" s="302">
        <f>((DM40-DM38)*1000)/(DM39)</f>
        <v>40.000000000000568</v>
      </c>
      <c r="DN41" s="224"/>
      <c r="DO41" s="228"/>
      <c r="DP41" s="306">
        <f>((DP40-DP38)*1000)/(DP39)</f>
        <v>1770.0000000000018</v>
      </c>
      <c r="DQ41" s="302">
        <f>((DQ40-DQ38)*1000)/(DQ39)</f>
        <v>50</v>
      </c>
      <c r="DR41" s="228"/>
      <c r="DS41" s="231"/>
      <c r="DT41" s="300">
        <f>((DT40-DT38)*1000)/(DT39)</f>
        <v>466.66666666666856</v>
      </c>
      <c r="DU41" s="312">
        <f>((DU40-DU38)*1000)/(DU39)</f>
        <v>109.99999999999943</v>
      </c>
      <c r="DV41" s="300">
        <f>((DV40-DV38)*1000)/(DV39)</f>
        <v>1316.6666666666677</v>
      </c>
      <c r="DW41" s="302">
        <f>((DW40-DW38)*1000)/(DW39)</f>
        <v>45.454545454545453</v>
      </c>
      <c r="DX41" s="224"/>
      <c r="DY41" s="228"/>
      <c r="DZ41" s="306">
        <f>((DZ40-DZ38)*1000)/(DZ39)</f>
        <v>1440.0000000000005</v>
      </c>
      <c r="EA41" s="302">
        <f>((EA40-EA38)*1000)/(EA39)</f>
        <v>59.999999999999432</v>
      </c>
      <c r="EB41" s="228"/>
      <c r="EC41" s="231"/>
      <c r="ED41" s="313">
        <f>((ED40-ED38)*1000)/(ED39)</f>
        <v>700</v>
      </c>
      <c r="EE41" s="311">
        <f>((EE40-EE38)*1000)/(EE39)</f>
        <v>29.999999999998295</v>
      </c>
      <c r="EF41" s="300">
        <f>((EF40-EF38)*1000)/(EF39)</f>
        <v>908.33333333333383</v>
      </c>
      <c r="EG41" s="302">
        <f>((EG40-EG38)*1000)/(EG39)</f>
        <v>58.333333333334757</v>
      </c>
      <c r="EH41" s="224"/>
      <c r="EI41" s="228"/>
      <c r="EJ41" s="306">
        <f>((EJ40-EJ38)*1000)/(EJ39)</f>
        <v>2040.0000000000007</v>
      </c>
      <c r="EK41" s="302">
        <f>((EK40-EK38)*1000)/(EK39)</f>
        <v>69.999999999998863</v>
      </c>
      <c r="EL41" s="228"/>
      <c r="EM41" s="231"/>
      <c r="EN41" s="313">
        <f>((EN40-EN38)*1000)/(EN39)</f>
        <v>1930.0000000000011</v>
      </c>
      <c r="EO41" s="311">
        <f>((EO40-EO38)*1000)/(EO39)</f>
        <v>19.999999999998863</v>
      </c>
      <c r="EP41" s="300">
        <f>((EP40-EP38)*1000)/(EP39)</f>
        <v>2630.0000000000009</v>
      </c>
      <c r="EQ41" s="302">
        <f>((EQ40-EQ38)*1000)/(EQ39)</f>
        <v>9.9999999999994316</v>
      </c>
      <c r="ER41" s="224"/>
      <c r="ES41" s="228"/>
      <c r="ET41" s="306">
        <f>((ET40-ET38)*1000)/(ET39)</f>
        <v>960.00000000000216</v>
      </c>
      <c r="EU41" s="302">
        <f>((EU40-EU38)*1000)/(EU39)</f>
        <v>180.00000000000114</v>
      </c>
      <c r="EV41" s="228"/>
      <c r="EW41" s="231"/>
      <c r="EX41" s="313">
        <f>((EX40-EX38)*1000)/(EX39)</f>
        <v>4250</v>
      </c>
      <c r="EY41" s="311">
        <f>((EY40-EY38)*1000)/(EY39)</f>
        <v>59.999999999999432</v>
      </c>
      <c r="EZ41" s="300">
        <f>((EZ40-EZ38)*1000)/(EZ39)</f>
        <v>5009.9999999999991</v>
      </c>
      <c r="FA41" s="302">
        <f>((FA40-FA38)*1000)/(FA39)</f>
        <v>10.000000000002274</v>
      </c>
      <c r="FB41" s="224"/>
      <c r="FC41" s="228"/>
      <c r="FD41" s="306">
        <f>((FD40-FD38)*1000)/(FD39)</f>
        <v>669.99999999999886</v>
      </c>
      <c r="FE41" s="302">
        <f>((FE40-FE38)*1000)/(FE39)</f>
        <v>59.999999999999432</v>
      </c>
      <c r="FF41" s="228"/>
      <c r="FG41" s="231"/>
      <c r="FH41" s="313">
        <f>((FH40-FH38)*1000)/(FH39)</f>
        <v>1440.0000000000005</v>
      </c>
      <c r="FI41" s="311">
        <f>((FI40-FI38)*1000)/(FI39)</f>
        <v>80.000000000001137</v>
      </c>
      <c r="FJ41" s="300">
        <f>((FJ40-FJ38)*1000)/(FJ39)</f>
        <v>779.99999999999829</v>
      </c>
      <c r="FK41" s="302">
        <f>((FK40-FK38)*1000)/(FK39)</f>
        <v>19.999999999998863</v>
      </c>
      <c r="FL41" s="224"/>
      <c r="FM41" s="228"/>
      <c r="FN41" s="306">
        <f>((FN40-FN38)*1000)/(FN39)</f>
        <v>1309.9999999999995</v>
      </c>
      <c r="FO41" s="302">
        <f>((FO40-FO38)*1000)/(FO39)</f>
        <v>59.999999999999432</v>
      </c>
      <c r="FP41" s="228"/>
      <c r="FQ41" s="231"/>
      <c r="FR41" s="313">
        <f>((FR40-FR38)*1000)/(FR39)</f>
        <v>1170.0000000000016</v>
      </c>
      <c r="FS41" s="311">
        <f>((FS40-FS38)*1000)/(FS39)</f>
        <v>9.9999999999994316</v>
      </c>
      <c r="FT41" s="300">
        <f>((FT40-FT38)*1000)/(FT39)</f>
        <v>8280.0000000000018</v>
      </c>
      <c r="FU41" s="302">
        <f>((FU40-FU38)*1000)/(FU39)</f>
        <v>50</v>
      </c>
      <c r="FV41" s="224"/>
      <c r="FW41" s="228"/>
      <c r="FX41" s="306">
        <f>((FX40-FX38)*1000)/(FX39)</f>
        <v>2320.0000000000018</v>
      </c>
      <c r="FY41" s="302">
        <f>((FY40-FY38)*1000)/(FY39)</f>
        <v>59.999999999999432</v>
      </c>
      <c r="FZ41" s="228"/>
      <c r="GA41" s="231"/>
      <c r="GB41" s="313">
        <f>((GB40-GB38)*1000)/(GB39)</f>
        <v>919.99999999999886</v>
      </c>
      <c r="GC41" s="311">
        <f>((GC40-GC38)*1000)/(GC39)</f>
        <v>20.000000000001705</v>
      </c>
      <c r="GD41" s="300">
        <f>((GD40-GD38)*1000)/(GD39)</f>
        <v>4719.9999999999982</v>
      </c>
      <c r="GE41" s="302">
        <f>((GE40-GE38)*1000)/(GE39)</f>
        <v>19.999999999998863</v>
      </c>
      <c r="GF41" s="224"/>
      <c r="GG41" s="228"/>
      <c r="GH41" s="306">
        <f>((GH40-GH38)*1000)/(GH39)</f>
        <v>440.00000000000057</v>
      </c>
      <c r="GI41" s="302">
        <f>((GI40-GI38)*1000)/(GI39)</f>
        <v>36.363636363636878</v>
      </c>
      <c r="GJ41" s="228"/>
      <c r="GK41" s="231"/>
      <c r="GL41" s="313">
        <f>((GL40-GL38)*1000)/(GL39)</f>
        <v>600</v>
      </c>
      <c r="GM41" s="312">
        <f>((GM40-GM38)*1000)/(GM39)</f>
        <v>154.5454545454561</v>
      </c>
      <c r="GN41" s="300">
        <f>((GN40-GN38)*1000)/(GN39)</f>
        <v>236.36363636363586</v>
      </c>
      <c r="GO41" s="302">
        <f>((GO40-GO38)*1000)/(GO39)</f>
        <v>70.000000000001705</v>
      </c>
      <c r="GP41" s="224"/>
      <c r="GQ41" s="228"/>
      <c r="GR41" s="306">
        <f>((GR40-GR38)*1000)/(GR39)</f>
        <v>388.23529411764838</v>
      </c>
      <c r="GS41" s="302">
        <f>((GS40-GS38)*1000)/(GS39)</f>
        <v>133.33333333333206</v>
      </c>
      <c r="GT41" s="228"/>
      <c r="GU41" s="231"/>
      <c r="GV41" s="300">
        <f>((GV40-GV38)*1000)/(GV39)</f>
        <v>647.05882352941171</v>
      </c>
      <c r="GW41" s="312">
        <f>((GW40-GW38)*1000)/(GW39)</f>
        <v>71.428571428571431</v>
      </c>
    </row>
    <row r="42" spans="1:1046" x14ac:dyDescent="0.2">
      <c r="A42" s="2"/>
      <c r="B42" s="3"/>
      <c r="C42" s="23" t="s">
        <v>94</v>
      </c>
      <c r="D42" s="210"/>
      <c r="E42" s="295"/>
      <c r="F42" s="62">
        <v>119.1</v>
      </c>
      <c r="G42" s="62">
        <v>119.8</v>
      </c>
      <c r="H42" s="214"/>
      <c r="I42" s="211"/>
      <c r="J42" s="82">
        <v>119.5</v>
      </c>
      <c r="K42" s="74">
        <v>119.8</v>
      </c>
      <c r="L42" s="210"/>
      <c r="M42" s="210"/>
      <c r="N42" s="82">
        <v>119.1</v>
      </c>
      <c r="O42" s="83">
        <v>119.3</v>
      </c>
      <c r="P42" s="62">
        <v>119.8</v>
      </c>
      <c r="Q42" s="74">
        <v>122.1</v>
      </c>
      <c r="R42" s="214"/>
      <c r="S42" s="210"/>
      <c r="T42" s="82">
        <v>122.5</v>
      </c>
      <c r="U42" s="74">
        <v>121.7</v>
      </c>
      <c r="V42" s="210"/>
      <c r="W42" s="211"/>
      <c r="X42" s="2">
        <v>123.2</v>
      </c>
      <c r="Y42" s="4">
        <v>121.8</v>
      </c>
      <c r="Z42" s="2">
        <v>214.5</v>
      </c>
      <c r="AA42" s="28">
        <v>220.6</v>
      </c>
      <c r="AB42" s="214"/>
      <c r="AC42" s="211"/>
      <c r="AD42" s="3">
        <v>228.1</v>
      </c>
      <c r="AE42" s="28">
        <v>222.3</v>
      </c>
      <c r="AF42" s="214"/>
      <c r="AG42" s="211"/>
      <c r="AH42" s="2">
        <v>215.5</v>
      </c>
      <c r="AI42" s="4">
        <v>217.1</v>
      </c>
      <c r="AJ42" s="2">
        <v>218.9</v>
      </c>
      <c r="AK42" s="28">
        <v>214.4</v>
      </c>
      <c r="AL42" s="214"/>
      <c r="AM42" s="211"/>
      <c r="AN42" s="3">
        <v>218.9</v>
      </c>
      <c r="AO42" s="28">
        <v>213</v>
      </c>
      <c r="AP42" s="214"/>
      <c r="AQ42" s="211"/>
      <c r="AR42" s="2">
        <v>218</v>
      </c>
      <c r="AS42" s="4">
        <v>213.9</v>
      </c>
      <c r="AT42" s="2">
        <v>218.1</v>
      </c>
      <c r="AU42" s="28">
        <v>214.4</v>
      </c>
      <c r="AV42" s="210"/>
      <c r="AW42" s="211"/>
      <c r="AX42" s="3">
        <v>225.5</v>
      </c>
      <c r="AY42" s="2">
        <v>225.7</v>
      </c>
      <c r="AZ42" s="214"/>
      <c r="BA42" s="211"/>
      <c r="BB42" s="2">
        <v>223</v>
      </c>
      <c r="BC42" s="4">
        <v>223.7</v>
      </c>
      <c r="BD42" s="2">
        <v>227.7</v>
      </c>
      <c r="BE42" s="28">
        <v>220.4</v>
      </c>
      <c r="BF42" s="210"/>
      <c r="BG42" s="210"/>
      <c r="BH42" s="3">
        <v>225.4</v>
      </c>
      <c r="BI42" s="28">
        <v>222.2</v>
      </c>
      <c r="BJ42" s="210"/>
      <c r="BK42" s="211"/>
      <c r="BL42" s="2">
        <v>222.8</v>
      </c>
      <c r="BM42" s="4">
        <v>229.6</v>
      </c>
      <c r="BN42" s="2">
        <v>222.3</v>
      </c>
      <c r="BO42" s="28">
        <v>224.6</v>
      </c>
      <c r="BP42" s="210"/>
      <c r="BQ42" s="211"/>
      <c r="BR42" s="3">
        <v>217.6</v>
      </c>
      <c r="BS42" s="2">
        <v>218.5</v>
      </c>
      <c r="BT42" s="214"/>
      <c r="BU42" s="210"/>
      <c r="BV42" s="3">
        <v>215.5</v>
      </c>
      <c r="BW42" s="2">
        <v>213.6</v>
      </c>
      <c r="BX42" s="3">
        <v>223.7</v>
      </c>
      <c r="BY42" s="28">
        <v>223.3</v>
      </c>
      <c r="BZ42" s="210"/>
      <c r="CA42" s="210"/>
      <c r="CB42" s="3">
        <v>224.3</v>
      </c>
      <c r="CC42" s="28">
        <v>221.8</v>
      </c>
      <c r="CD42" s="210"/>
      <c r="CE42" s="211"/>
      <c r="CF42" s="2">
        <v>217.5</v>
      </c>
      <c r="CG42" s="4">
        <v>223.8</v>
      </c>
      <c r="CH42" s="2">
        <v>222.2</v>
      </c>
      <c r="CI42" s="28">
        <v>223.7</v>
      </c>
      <c r="CJ42" s="210"/>
      <c r="CK42" s="211"/>
      <c r="CL42" s="3">
        <v>222.4</v>
      </c>
      <c r="CM42" s="28">
        <v>221.5</v>
      </c>
      <c r="CN42" s="214"/>
      <c r="CO42" s="211"/>
      <c r="CP42" s="2">
        <v>216.5</v>
      </c>
      <c r="CQ42" s="4">
        <v>213.1</v>
      </c>
      <c r="CR42" s="2">
        <v>220.9</v>
      </c>
      <c r="CS42" s="28">
        <v>222.9</v>
      </c>
      <c r="CT42" s="214"/>
      <c r="CU42" s="211"/>
      <c r="CV42" s="3">
        <v>220.1</v>
      </c>
      <c r="CW42" s="2">
        <v>225.1</v>
      </c>
      <c r="CX42" s="214"/>
      <c r="CY42" s="211"/>
      <c r="CZ42" s="2">
        <v>220.3</v>
      </c>
      <c r="DA42" s="4">
        <v>226.8</v>
      </c>
      <c r="DB42" s="62">
        <v>221.5</v>
      </c>
      <c r="DC42" s="74">
        <v>216.7</v>
      </c>
      <c r="DD42" s="214"/>
      <c r="DE42" s="210"/>
      <c r="DF42" s="82">
        <v>219.1</v>
      </c>
      <c r="DG42" s="74">
        <v>222.2</v>
      </c>
      <c r="DH42" s="210"/>
      <c r="DI42" s="211"/>
      <c r="DJ42" s="2">
        <v>229.3</v>
      </c>
      <c r="DK42" s="4">
        <v>224.9</v>
      </c>
      <c r="DL42" s="62">
        <v>226.7</v>
      </c>
      <c r="DM42" s="74">
        <v>227.1</v>
      </c>
      <c r="DN42" s="214"/>
      <c r="DO42" s="210"/>
      <c r="DP42" s="25">
        <v>221.6</v>
      </c>
      <c r="DQ42" s="26">
        <v>222.8</v>
      </c>
      <c r="DR42" s="210"/>
      <c r="DS42" s="211"/>
      <c r="DT42" s="2">
        <v>227.7</v>
      </c>
      <c r="DU42" s="4">
        <v>221.9</v>
      </c>
      <c r="DV42" s="62">
        <v>222.8</v>
      </c>
      <c r="DW42" s="74">
        <v>227.3</v>
      </c>
      <c r="DX42" s="214"/>
      <c r="DY42" s="210"/>
      <c r="DZ42" s="82">
        <v>222.8</v>
      </c>
      <c r="EA42" s="74">
        <v>222.3</v>
      </c>
      <c r="EB42" s="210"/>
      <c r="EC42" s="211"/>
      <c r="ED42" s="2">
        <v>226.1</v>
      </c>
      <c r="EE42" s="4">
        <v>224</v>
      </c>
      <c r="EF42" s="62">
        <v>227.7</v>
      </c>
      <c r="EG42" s="74">
        <v>226.8</v>
      </c>
      <c r="EH42" s="214"/>
      <c r="EI42" s="210"/>
      <c r="EJ42" s="82">
        <v>222.3</v>
      </c>
      <c r="EK42" s="74">
        <v>223.8</v>
      </c>
      <c r="EL42" s="210"/>
      <c r="EM42" s="211"/>
      <c r="EN42" s="2">
        <v>226.8</v>
      </c>
      <c r="EO42" s="4">
        <v>224</v>
      </c>
      <c r="EP42" s="62">
        <v>225.3</v>
      </c>
      <c r="EQ42" s="74">
        <v>219.1</v>
      </c>
      <c r="ER42" s="214"/>
      <c r="ES42" s="210"/>
      <c r="ET42" s="82">
        <v>226.9</v>
      </c>
      <c r="EU42" s="74">
        <v>220.2</v>
      </c>
      <c r="EV42" s="210"/>
      <c r="EW42" s="211"/>
      <c r="EX42" s="2">
        <v>212.6</v>
      </c>
      <c r="EY42" s="4">
        <v>213.4</v>
      </c>
      <c r="EZ42" s="62">
        <v>228.8</v>
      </c>
      <c r="FA42" s="74">
        <v>213.8</v>
      </c>
      <c r="FB42" s="214"/>
      <c r="FC42" s="210"/>
      <c r="FD42" s="82">
        <v>227.1</v>
      </c>
      <c r="FE42" s="74">
        <v>220.5</v>
      </c>
      <c r="FF42" s="210"/>
      <c r="FG42" s="211"/>
      <c r="FH42" s="2">
        <v>223</v>
      </c>
      <c r="FI42" s="4">
        <v>228.1</v>
      </c>
      <c r="FJ42" s="62">
        <v>224.6</v>
      </c>
      <c r="FK42" s="74">
        <v>227.4</v>
      </c>
      <c r="FL42" s="214"/>
      <c r="FM42" s="210"/>
      <c r="FN42" s="82">
        <v>224</v>
      </c>
      <c r="FO42" s="74">
        <v>224.8</v>
      </c>
      <c r="FP42" s="210"/>
      <c r="FQ42" s="211"/>
      <c r="FR42" s="2">
        <v>228.9</v>
      </c>
      <c r="FS42" s="4">
        <v>220.8</v>
      </c>
      <c r="FT42" s="9">
        <v>225.1</v>
      </c>
      <c r="FU42" s="26">
        <v>225.8</v>
      </c>
      <c r="FV42" s="214"/>
      <c r="FW42" s="210"/>
      <c r="FX42" s="25">
        <v>226.2</v>
      </c>
      <c r="FY42" s="26">
        <v>226.3</v>
      </c>
      <c r="FZ42" s="210"/>
      <c r="GA42" s="211"/>
      <c r="GB42" s="2">
        <v>222.3</v>
      </c>
      <c r="GC42" s="4">
        <v>230.6</v>
      </c>
      <c r="GD42" s="9">
        <v>223.3</v>
      </c>
      <c r="GE42" s="26">
        <v>220.2</v>
      </c>
      <c r="GF42" s="296"/>
      <c r="GG42" s="297"/>
      <c r="GH42" s="25">
        <v>228.5</v>
      </c>
      <c r="GI42" s="26">
        <v>223.6</v>
      </c>
      <c r="GJ42" s="297"/>
      <c r="GK42" s="298"/>
      <c r="GL42" s="9">
        <v>222.3</v>
      </c>
      <c r="GM42" s="30">
        <v>222.2</v>
      </c>
      <c r="GN42" s="9">
        <v>223.8</v>
      </c>
      <c r="GO42" s="26">
        <v>228.7</v>
      </c>
      <c r="GP42" s="214"/>
      <c r="GQ42" s="210"/>
      <c r="GR42" s="82">
        <v>223.9</v>
      </c>
      <c r="GS42" s="74">
        <v>221.2</v>
      </c>
      <c r="GT42" s="210"/>
      <c r="GU42" s="211"/>
      <c r="GV42" s="2">
        <v>222.3</v>
      </c>
      <c r="GW42" s="4">
        <v>222.6</v>
      </c>
    </row>
    <row r="43" spans="1:1046" x14ac:dyDescent="0.2">
      <c r="A43" s="2"/>
      <c r="B43" s="3"/>
      <c r="C43" s="23" t="s">
        <v>95</v>
      </c>
      <c r="D43" s="210"/>
      <c r="E43" s="295"/>
      <c r="F43" s="62">
        <v>51</v>
      </c>
      <c r="G43" s="62">
        <v>51</v>
      </c>
      <c r="H43" s="214"/>
      <c r="I43" s="211"/>
      <c r="J43" s="82">
        <v>50</v>
      </c>
      <c r="K43" s="74">
        <v>50</v>
      </c>
      <c r="L43" s="210"/>
      <c r="M43" s="210"/>
      <c r="N43" s="82">
        <v>50</v>
      </c>
      <c r="O43" s="83">
        <v>50</v>
      </c>
      <c r="P43" s="62">
        <v>50</v>
      </c>
      <c r="Q43" s="74">
        <v>20</v>
      </c>
      <c r="R43" s="214"/>
      <c r="S43" s="210"/>
      <c r="T43" s="82">
        <v>20</v>
      </c>
      <c r="U43" s="74">
        <v>20</v>
      </c>
      <c r="V43" s="210"/>
      <c r="W43" s="211"/>
      <c r="X43" s="2">
        <v>20</v>
      </c>
      <c r="Y43" s="4">
        <v>20</v>
      </c>
      <c r="Z43" s="2">
        <v>10</v>
      </c>
      <c r="AA43" s="28">
        <v>10</v>
      </c>
      <c r="AB43" s="214"/>
      <c r="AC43" s="211"/>
      <c r="AD43" s="3">
        <v>10</v>
      </c>
      <c r="AE43" s="28">
        <v>10</v>
      </c>
      <c r="AF43" s="214"/>
      <c r="AG43" s="211"/>
      <c r="AH43" s="2">
        <v>12</v>
      </c>
      <c r="AI43" s="4">
        <v>10</v>
      </c>
      <c r="AJ43" s="2">
        <v>12</v>
      </c>
      <c r="AK43" s="28">
        <v>11</v>
      </c>
      <c r="AL43" s="214"/>
      <c r="AM43" s="211"/>
      <c r="AN43" s="3">
        <v>10</v>
      </c>
      <c r="AO43" s="28">
        <v>10</v>
      </c>
      <c r="AP43" s="214"/>
      <c r="AQ43" s="211"/>
      <c r="AR43" s="2">
        <v>12</v>
      </c>
      <c r="AS43" s="4">
        <v>10</v>
      </c>
      <c r="AT43" s="2">
        <v>11</v>
      </c>
      <c r="AU43" s="28">
        <v>10</v>
      </c>
      <c r="AV43" s="210"/>
      <c r="AW43" s="211"/>
      <c r="AX43" s="3">
        <v>10</v>
      </c>
      <c r="AY43" s="2">
        <v>11</v>
      </c>
      <c r="AZ43" s="214"/>
      <c r="BA43" s="211"/>
      <c r="BB43" s="2">
        <v>10</v>
      </c>
      <c r="BC43" s="4">
        <v>10</v>
      </c>
      <c r="BD43" s="2">
        <v>8.5</v>
      </c>
      <c r="BE43" s="28">
        <v>8.5</v>
      </c>
      <c r="BF43" s="210"/>
      <c r="BG43" s="210"/>
      <c r="BH43" s="3">
        <v>12</v>
      </c>
      <c r="BI43" s="28">
        <v>10</v>
      </c>
      <c r="BJ43" s="210"/>
      <c r="BK43" s="211"/>
      <c r="BL43" s="2">
        <v>8.5</v>
      </c>
      <c r="BM43" s="4">
        <v>8.5</v>
      </c>
      <c r="BN43" s="2">
        <v>12</v>
      </c>
      <c r="BO43" s="28">
        <v>10</v>
      </c>
      <c r="BP43" s="210"/>
      <c r="BQ43" s="211"/>
      <c r="BR43" s="3">
        <v>10</v>
      </c>
      <c r="BS43" s="2">
        <v>11</v>
      </c>
      <c r="BT43" s="214"/>
      <c r="BU43" s="210"/>
      <c r="BV43" s="3">
        <v>10</v>
      </c>
      <c r="BW43" s="2">
        <v>11</v>
      </c>
      <c r="BX43" s="3">
        <v>11</v>
      </c>
      <c r="BY43" s="28">
        <v>10</v>
      </c>
      <c r="BZ43" s="210"/>
      <c r="CA43" s="210"/>
      <c r="CB43" s="3">
        <v>10</v>
      </c>
      <c r="CC43" s="28">
        <v>10</v>
      </c>
      <c r="CD43" s="210"/>
      <c r="CE43" s="211"/>
      <c r="CF43" s="2">
        <v>12</v>
      </c>
      <c r="CG43" s="4">
        <v>10</v>
      </c>
      <c r="CH43" s="2">
        <v>10</v>
      </c>
      <c r="CI43" s="28">
        <v>10</v>
      </c>
      <c r="CJ43" s="210"/>
      <c r="CK43" s="211"/>
      <c r="CL43" s="3">
        <v>10</v>
      </c>
      <c r="CM43" s="28">
        <v>10</v>
      </c>
      <c r="CN43" s="214"/>
      <c r="CO43" s="211"/>
      <c r="CP43" s="2">
        <v>10</v>
      </c>
      <c r="CQ43" s="4">
        <v>12</v>
      </c>
      <c r="CR43" s="2">
        <v>11</v>
      </c>
      <c r="CS43" s="28">
        <v>10</v>
      </c>
      <c r="CT43" s="214"/>
      <c r="CU43" s="211"/>
      <c r="CV43" s="3">
        <v>12</v>
      </c>
      <c r="CW43" s="2">
        <v>10</v>
      </c>
      <c r="CX43" s="214"/>
      <c r="CY43" s="211"/>
      <c r="CZ43" s="2">
        <v>10</v>
      </c>
      <c r="DA43" s="4">
        <v>10</v>
      </c>
      <c r="DB43" s="62">
        <v>11</v>
      </c>
      <c r="DC43" s="74">
        <v>11</v>
      </c>
      <c r="DD43" s="214"/>
      <c r="DE43" s="210"/>
      <c r="DF43" s="82">
        <v>10</v>
      </c>
      <c r="DG43" s="74">
        <v>10</v>
      </c>
      <c r="DH43" s="210"/>
      <c r="DI43" s="211"/>
      <c r="DJ43" s="2">
        <v>10</v>
      </c>
      <c r="DK43" s="4">
        <v>11</v>
      </c>
      <c r="DL43" s="62">
        <v>10</v>
      </c>
      <c r="DM43" s="74">
        <v>10</v>
      </c>
      <c r="DN43" s="214"/>
      <c r="DO43" s="210"/>
      <c r="DP43" s="25">
        <v>10</v>
      </c>
      <c r="DQ43" s="26">
        <v>11</v>
      </c>
      <c r="DR43" s="210"/>
      <c r="DS43" s="211"/>
      <c r="DT43" s="2">
        <v>10</v>
      </c>
      <c r="DU43" s="4">
        <v>11</v>
      </c>
      <c r="DV43" s="62">
        <v>10</v>
      </c>
      <c r="DW43" s="74">
        <v>12</v>
      </c>
      <c r="DX43" s="214"/>
      <c r="DY43" s="210"/>
      <c r="DZ43" s="82">
        <v>10</v>
      </c>
      <c r="EA43" s="74">
        <v>10</v>
      </c>
      <c r="EB43" s="210"/>
      <c r="EC43" s="211"/>
      <c r="ED43" s="2">
        <v>10</v>
      </c>
      <c r="EE43" s="4">
        <v>10</v>
      </c>
      <c r="EF43" s="62">
        <v>10</v>
      </c>
      <c r="EG43" s="74">
        <v>11</v>
      </c>
      <c r="EH43" s="214"/>
      <c r="EI43" s="210"/>
      <c r="EJ43" s="82">
        <v>10</v>
      </c>
      <c r="EK43" s="74">
        <v>10</v>
      </c>
      <c r="EL43" s="210"/>
      <c r="EM43" s="211"/>
      <c r="EN43" s="2">
        <v>10</v>
      </c>
      <c r="EO43" s="4">
        <v>10</v>
      </c>
      <c r="EP43" s="62">
        <v>10</v>
      </c>
      <c r="EQ43" s="74">
        <v>10</v>
      </c>
      <c r="ER43" s="214"/>
      <c r="ES43" s="210"/>
      <c r="ET43" s="82">
        <v>10</v>
      </c>
      <c r="EU43" s="74">
        <v>10</v>
      </c>
      <c r="EV43" s="210"/>
      <c r="EW43" s="211"/>
      <c r="EX43" s="2">
        <v>10</v>
      </c>
      <c r="EY43" s="4">
        <v>10</v>
      </c>
      <c r="EZ43" s="62">
        <v>10</v>
      </c>
      <c r="FA43" s="74">
        <v>10</v>
      </c>
      <c r="FB43" s="214"/>
      <c r="FC43" s="210"/>
      <c r="FD43" s="82">
        <v>10</v>
      </c>
      <c r="FE43" s="74">
        <v>10</v>
      </c>
      <c r="FF43" s="210"/>
      <c r="FG43" s="211"/>
      <c r="FH43" s="2">
        <v>10</v>
      </c>
      <c r="FI43" s="4">
        <v>10</v>
      </c>
      <c r="FJ43" s="62">
        <v>10</v>
      </c>
      <c r="FK43" s="74">
        <v>10</v>
      </c>
      <c r="FL43" s="214"/>
      <c r="FM43" s="210"/>
      <c r="FN43" s="82">
        <v>10</v>
      </c>
      <c r="FO43" s="74">
        <v>10</v>
      </c>
      <c r="FP43" s="210"/>
      <c r="FQ43" s="211"/>
      <c r="FR43" s="2">
        <v>10</v>
      </c>
      <c r="FS43" s="4">
        <v>10</v>
      </c>
      <c r="FT43" s="62">
        <v>10</v>
      </c>
      <c r="FU43" s="74">
        <v>10</v>
      </c>
      <c r="FV43" s="214"/>
      <c r="FW43" s="210"/>
      <c r="FX43" s="82">
        <v>10</v>
      </c>
      <c r="FY43" s="74">
        <v>10</v>
      </c>
      <c r="FZ43" s="210"/>
      <c r="GA43" s="211"/>
      <c r="GB43" s="2">
        <v>10</v>
      </c>
      <c r="GC43" s="4">
        <v>10</v>
      </c>
      <c r="GD43" s="62">
        <v>10</v>
      </c>
      <c r="GE43" s="74">
        <v>10</v>
      </c>
      <c r="GF43" s="214"/>
      <c r="GG43" s="210"/>
      <c r="GH43" s="82">
        <v>11</v>
      </c>
      <c r="GI43" s="74">
        <v>11</v>
      </c>
      <c r="GJ43" s="210"/>
      <c r="GK43" s="211"/>
      <c r="GL43" s="2">
        <v>10</v>
      </c>
      <c r="GM43" s="4">
        <v>10</v>
      </c>
      <c r="GN43" s="62">
        <v>10</v>
      </c>
      <c r="GO43" s="74">
        <v>10</v>
      </c>
      <c r="GP43" s="214"/>
      <c r="GQ43" s="210"/>
      <c r="GR43" s="82">
        <v>8</v>
      </c>
      <c r="GS43" s="74">
        <v>8</v>
      </c>
      <c r="GT43" s="210"/>
      <c r="GU43" s="211"/>
      <c r="GV43" s="2">
        <v>7</v>
      </c>
      <c r="GW43" s="4">
        <v>6</v>
      </c>
    </row>
    <row r="44" spans="1:1046" x14ac:dyDescent="0.2">
      <c r="A44" s="2"/>
      <c r="B44" s="3"/>
      <c r="C44" s="23" t="s">
        <v>96</v>
      </c>
      <c r="D44" s="210"/>
      <c r="E44" s="295"/>
      <c r="F44" s="62">
        <v>124.5</v>
      </c>
      <c r="G44" s="62">
        <v>123.6</v>
      </c>
      <c r="H44" s="214"/>
      <c r="I44" s="211"/>
      <c r="J44" s="82">
        <v>142.30000000000001</v>
      </c>
      <c r="K44" s="74">
        <v>121</v>
      </c>
      <c r="L44" s="210"/>
      <c r="M44" s="210"/>
      <c r="N44" s="82">
        <v>146.6</v>
      </c>
      <c r="O44" s="83">
        <v>122.1</v>
      </c>
      <c r="P44" s="62">
        <v>126.1</v>
      </c>
      <c r="Q44" s="74">
        <v>122.3</v>
      </c>
      <c r="R44" s="214"/>
      <c r="S44" s="210"/>
      <c r="T44" s="82">
        <v>127.3</v>
      </c>
      <c r="U44" s="74">
        <v>121.9</v>
      </c>
      <c r="V44" s="210"/>
      <c r="W44" s="211"/>
      <c r="X44" s="2">
        <v>127.6</v>
      </c>
      <c r="Y44" s="4">
        <v>121.9</v>
      </c>
      <c r="Z44" s="2">
        <v>219.5</v>
      </c>
      <c r="AA44" s="28">
        <v>221</v>
      </c>
      <c r="AB44" s="214"/>
      <c r="AC44" s="211"/>
      <c r="AD44" s="25">
        <v>232.1</v>
      </c>
      <c r="AE44" s="28">
        <v>223.5</v>
      </c>
      <c r="AF44" s="214"/>
      <c r="AG44" s="211"/>
      <c r="AH44" s="2">
        <v>219.2</v>
      </c>
      <c r="AI44" s="4">
        <v>218</v>
      </c>
      <c r="AJ44" s="2">
        <v>226.4</v>
      </c>
      <c r="AK44" s="28">
        <v>214.9</v>
      </c>
      <c r="AL44" s="214"/>
      <c r="AM44" s="211"/>
      <c r="AN44" s="3">
        <v>223.2</v>
      </c>
      <c r="AO44" s="28">
        <v>213.5</v>
      </c>
      <c r="AP44" s="214"/>
      <c r="AQ44" s="211"/>
      <c r="AR44" s="2">
        <v>224.2</v>
      </c>
      <c r="AS44" s="4">
        <v>214.8</v>
      </c>
      <c r="AT44" s="2">
        <v>224</v>
      </c>
      <c r="AU44" s="28">
        <v>215.4</v>
      </c>
      <c r="AV44" s="210"/>
      <c r="AW44" s="211"/>
      <c r="AX44" s="3">
        <v>229.9</v>
      </c>
      <c r="AY44" s="2">
        <v>226.3</v>
      </c>
      <c r="AZ44" s="214"/>
      <c r="BA44" s="211"/>
      <c r="BB44" s="2">
        <v>227.7</v>
      </c>
      <c r="BC44" s="4">
        <v>224.6</v>
      </c>
      <c r="BD44" s="2">
        <v>228.9</v>
      </c>
      <c r="BE44" s="28">
        <v>221</v>
      </c>
      <c r="BF44" s="210"/>
      <c r="BG44" s="210"/>
      <c r="BH44" s="3">
        <v>232.4</v>
      </c>
      <c r="BI44" s="28">
        <v>223.8</v>
      </c>
      <c r="BJ44" s="210"/>
      <c r="BK44" s="211"/>
      <c r="BL44" s="2">
        <v>225.9</v>
      </c>
      <c r="BM44" s="4">
        <v>229.7</v>
      </c>
      <c r="BN44" s="2">
        <v>228.6</v>
      </c>
      <c r="BO44" s="28">
        <v>225.2</v>
      </c>
      <c r="BP44" s="210"/>
      <c r="BQ44" s="211"/>
      <c r="BR44" s="3">
        <v>222.8</v>
      </c>
      <c r="BS44" s="2">
        <v>218.8</v>
      </c>
      <c r="BT44" s="214"/>
      <c r="BU44" s="210"/>
      <c r="BV44" s="3">
        <v>222.5</v>
      </c>
      <c r="BW44" s="2">
        <v>214.1</v>
      </c>
      <c r="BX44" s="3">
        <v>226.1</v>
      </c>
      <c r="BY44" s="28">
        <v>224.9</v>
      </c>
      <c r="BZ44" s="210"/>
      <c r="CA44" s="210"/>
      <c r="CB44" s="3">
        <v>227.8</v>
      </c>
      <c r="CC44" s="28">
        <v>224.1</v>
      </c>
      <c r="CD44" s="210"/>
      <c r="CE44" s="211"/>
      <c r="CF44" s="2">
        <v>221.9</v>
      </c>
      <c r="CG44" s="4">
        <v>223.8</v>
      </c>
      <c r="CH44" s="2">
        <v>229.7</v>
      </c>
      <c r="CI44" s="28">
        <v>225</v>
      </c>
      <c r="CJ44" s="210"/>
      <c r="CK44" s="211"/>
      <c r="CL44" s="3">
        <v>229.8</v>
      </c>
      <c r="CM44" s="28">
        <v>223.4</v>
      </c>
      <c r="CN44" s="214"/>
      <c r="CO44" s="211"/>
      <c r="CP44" s="2">
        <v>230.3</v>
      </c>
      <c r="CQ44" s="4">
        <v>213.6</v>
      </c>
      <c r="CR44" s="2">
        <v>230</v>
      </c>
      <c r="CS44" s="28">
        <v>224</v>
      </c>
      <c r="CT44" s="214"/>
      <c r="CU44" s="211"/>
      <c r="CV44" s="3">
        <v>234.4</v>
      </c>
      <c r="CW44" s="2">
        <v>223.4</v>
      </c>
      <c r="CX44" s="214"/>
      <c r="CY44" s="211"/>
      <c r="CZ44" s="2">
        <v>235.2</v>
      </c>
      <c r="DA44" s="4">
        <v>227.5</v>
      </c>
      <c r="DB44" s="62">
        <v>265.3</v>
      </c>
      <c r="DC44" s="74">
        <v>217</v>
      </c>
      <c r="DD44" s="214"/>
      <c r="DE44" s="210"/>
      <c r="DF44" s="82">
        <v>228.5</v>
      </c>
      <c r="DG44" s="74">
        <v>223.3</v>
      </c>
      <c r="DH44" s="210"/>
      <c r="DI44" s="211"/>
      <c r="DJ44" s="2">
        <v>239</v>
      </c>
      <c r="DK44" s="4">
        <v>225.4</v>
      </c>
      <c r="DL44" s="62">
        <v>231.6</v>
      </c>
      <c r="DM44" s="74">
        <v>227.8</v>
      </c>
      <c r="DN44" s="214"/>
      <c r="DO44" s="210"/>
      <c r="DP44" s="25">
        <v>238.6</v>
      </c>
      <c r="DQ44" s="26">
        <v>223.6</v>
      </c>
      <c r="DR44" s="210"/>
      <c r="DS44" s="211"/>
      <c r="DT44" s="2">
        <v>233</v>
      </c>
      <c r="DU44" s="4">
        <v>222.8</v>
      </c>
      <c r="DV44" s="62">
        <v>236.9</v>
      </c>
      <c r="DW44" s="74">
        <v>227.5</v>
      </c>
      <c r="DX44" s="214"/>
      <c r="DY44" s="210"/>
      <c r="DZ44" s="82">
        <v>237.1</v>
      </c>
      <c r="EA44" s="74">
        <v>222.5</v>
      </c>
      <c r="EB44" s="210"/>
      <c r="EC44" s="211"/>
      <c r="ED44" s="2">
        <v>235.9</v>
      </c>
      <c r="EE44" s="4">
        <v>225</v>
      </c>
      <c r="EF44" s="62">
        <v>239.6</v>
      </c>
      <c r="EG44" s="74">
        <v>227.9</v>
      </c>
      <c r="EH44" s="214"/>
      <c r="EI44" s="210"/>
      <c r="EJ44" s="82">
        <v>242.5</v>
      </c>
      <c r="EK44" s="74">
        <v>224.2</v>
      </c>
      <c r="EL44" s="210"/>
      <c r="EM44" s="211"/>
      <c r="EN44" s="2">
        <v>245.7</v>
      </c>
      <c r="EO44" s="4">
        <v>224.4</v>
      </c>
      <c r="EP44" s="62">
        <v>249.8</v>
      </c>
      <c r="EQ44" s="74">
        <v>219.3</v>
      </c>
      <c r="ER44" s="214"/>
      <c r="ES44" s="210"/>
      <c r="ET44" s="82">
        <v>236.2</v>
      </c>
      <c r="EU44" s="74">
        <v>221.4</v>
      </c>
      <c r="EV44" s="210"/>
      <c r="EW44" s="211"/>
      <c r="EX44" s="2">
        <v>256.7</v>
      </c>
      <c r="EY44" s="4">
        <v>213.7</v>
      </c>
      <c r="EZ44" s="62">
        <v>292.5</v>
      </c>
      <c r="FA44" s="74">
        <v>214.1</v>
      </c>
      <c r="FB44" s="214"/>
      <c r="FC44" s="210"/>
      <c r="FD44" s="82">
        <v>233.7</v>
      </c>
      <c r="FE44" s="74">
        <v>222</v>
      </c>
      <c r="FF44" s="210"/>
      <c r="FG44" s="211"/>
      <c r="FH44" s="2">
        <v>243.5</v>
      </c>
      <c r="FI44" s="4">
        <v>228.5</v>
      </c>
      <c r="FJ44" s="62">
        <v>232</v>
      </c>
      <c r="FK44" s="74">
        <v>227.9</v>
      </c>
      <c r="FL44" s="214"/>
      <c r="FM44" s="210"/>
      <c r="FN44" s="82">
        <v>235</v>
      </c>
      <c r="FO44" s="74">
        <v>225.3</v>
      </c>
      <c r="FP44" s="210"/>
      <c r="FQ44" s="211"/>
      <c r="FR44" s="2">
        <v>240.2</v>
      </c>
      <c r="FS44" s="4">
        <v>221</v>
      </c>
      <c r="FT44" s="62">
        <v>306.3</v>
      </c>
      <c r="FU44" s="74">
        <v>226.5</v>
      </c>
      <c r="FV44" s="214"/>
      <c r="FW44" s="210"/>
      <c r="FX44" s="82">
        <v>251.2</v>
      </c>
      <c r="FY44" s="74">
        <v>226.5</v>
      </c>
      <c r="FZ44" s="210"/>
      <c r="GA44" s="211"/>
      <c r="GB44" s="2">
        <v>231</v>
      </c>
      <c r="GC44" s="4">
        <v>230.8</v>
      </c>
      <c r="GD44" s="9">
        <v>276</v>
      </c>
      <c r="GE44" s="26">
        <v>220.7</v>
      </c>
      <c r="GF44" s="296"/>
      <c r="GG44" s="297"/>
      <c r="GH44" s="25">
        <v>232.5</v>
      </c>
      <c r="GI44" s="26">
        <v>224.5</v>
      </c>
      <c r="GJ44" s="297"/>
      <c r="GK44" s="298"/>
      <c r="GL44" s="9">
        <v>227.8</v>
      </c>
      <c r="GM44" s="30">
        <v>223.7</v>
      </c>
      <c r="GN44" s="9">
        <v>227.7</v>
      </c>
      <c r="GO44" s="26">
        <v>228.8</v>
      </c>
      <c r="GP44" s="214"/>
      <c r="GQ44" s="210"/>
      <c r="GR44" s="82">
        <v>226.7</v>
      </c>
      <c r="GS44" s="74">
        <v>222</v>
      </c>
      <c r="GT44" s="210"/>
      <c r="GU44" s="211"/>
      <c r="GV44" s="2">
        <v>226.1</v>
      </c>
      <c r="GW44" s="4">
        <v>223.4</v>
      </c>
    </row>
    <row r="45" spans="1:1046" x14ac:dyDescent="0.2">
      <c r="A45" s="2"/>
      <c r="B45" s="3"/>
      <c r="C45" s="299">
        <v>2</v>
      </c>
      <c r="D45" s="210"/>
      <c r="E45" s="295"/>
      <c r="F45" s="300">
        <f>((F44-F42)*1000)/(F43)</f>
        <v>105.88235294117658</v>
      </c>
      <c r="G45" s="300">
        <f>((G44-G42)*1000)/(G43)</f>
        <v>74.509803921568576</v>
      </c>
      <c r="H45" s="224"/>
      <c r="I45" s="231"/>
      <c r="J45" s="306">
        <f>((J44-J42)*1000)/(J43)</f>
        <v>456.00000000000023</v>
      </c>
      <c r="K45" s="305">
        <f>((K44-K42)*1000)/(K43)</f>
        <v>24.000000000000053</v>
      </c>
      <c r="L45" s="228"/>
      <c r="M45" s="228"/>
      <c r="N45" s="301">
        <f>((N44-N42)*1000)/(N43)</f>
        <v>550</v>
      </c>
      <c r="O45" s="312">
        <f>((O44-O42)*1000)/(O43)</f>
        <v>55.999999999999943</v>
      </c>
      <c r="P45" s="304">
        <f>((P44-P42)*1000)/(P43)</f>
        <v>125.99999999999994</v>
      </c>
      <c r="Q45" s="305">
        <f>((Q44-Q42)*1000)/(Q43)</f>
        <v>10.000000000000142</v>
      </c>
      <c r="R45" s="224"/>
      <c r="S45" s="228"/>
      <c r="T45" s="306">
        <f>((T44-T42)*1000)/(T43)</f>
        <v>239.99999999999986</v>
      </c>
      <c r="U45" s="302">
        <f>((U44-U42)*1000)/(U43)</f>
        <v>10.000000000000142</v>
      </c>
      <c r="V45" s="228"/>
      <c r="W45" s="231"/>
      <c r="X45" s="307">
        <f>((X44-X42)*1000)/(X43)</f>
        <v>219.9999999999996</v>
      </c>
      <c r="Y45" s="311">
        <f>((Y44-Y42)*1000)/(Y43)</f>
        <v>5.0000000000004263</v>
      </c>
      <c r="Z45" s="313">
        <f>((Z44-Z42)*1000)/(Z43)</f>
        <v>500</v>
      </c>
      <c r="AA45" s="310">
        <f>((AA44-AA42)*1000)/(AA43)</f>
        <v>40.000000000000568</v>
      </c>
      <c r="AB45" s="214"/>
      <c r="AC45" s="211"/>
      <c r="AD45" s="309">
        <f>((AD44-AD42)*1000)/(AD43)</f>
        <v>400</v>
      </c>
      <c r="AE45" s="310">
        <f>((AE44-AE42)*1000)/(AE43)</f>
        <v>119.99999999999886</v>
      </c>
      <c r="AF45" s="214"/>
      <c r="AG45" s="211"/>
      <c r="AH45" s="300">
        <f>((AH44-AH42)*1000)/(AH43)</f>
        <v>308.3333333333324</v>
      </c>
      <c r="AI45" s="311">
        <f>((AI44-AI42)*1000)/(AI43)</f>
        <v>90.000000000000568</v>
      </c>
      <c r="AJ45" s="313">
        <f>((AJ44-AJ42)*1000)/(AJ43)</f>
        <v>625</v>
      </c>
      <c r="AK45" s="302">
        <f>((AK44-AK42)*1000)/(AK43)</f>
        <v>45.454545454545453</v>
      </c>
      <c r="AL45" s="214"/>
      <c r="AM45" s="211"/>
      <c r="AN45" s="309">
        <f>((AN44-AN42)*1000)/(AN43)</f>
        <v>429.99999999999829</v>
      </c>
      <c r="AO45" s="310">
        <f>((AO44-AO42)*1000)/(AO43)</f>
        <v>50</v>
      </c>
      <c r="AP45" s="214"/>
      <c r="AQ45" s="211"/>
      <c r="AR45" s="300">
        <f>((AR44-AR42)*1000)/(AR43)</f>
        <v>516.66666666666572</v>
      </c>
      <c r="AS45" s="311">
        <f>((AS44-AS42)*1000)/(AS43)</f>
        <v>90.000000000000568</v>
      </c>
      <c r="AT45" s="300">
        <f>((AT44-AT42)*1000)/(AT43)</f>
        <v>536.36363636363683</v>
      </c>
      <c r="AU45" s="310">
        <f>((AU44-AU42)*1000)/(AU43)</f>
        <v>100</v>
      </c>
      <c r="AV45" s="228"/>
      <c r="AW45" s="231"/>
      <c r="AX45" s="309">
        <f>((AX44-AX42)*1000)/(AX43)</f>
        <v>440.00000000000057</v>
      </c>
      <c r="AY45" s="300">
        <f>((AY44-AY42)*1000)/(AY43)</f>
        <v>54.545454545456614</v>
      </c>
      <c r="AZ45" s="224"/>
      <c r="BA45" s="231"/>
      <c r="BB45" s="313">
        <f>((BB44-BB42)*1000)/(BB43)</f>
        <v>469.99999999999892</v>
      </c>
      <c r="BC45" s="311">
        <f>((BC44-BC42)*1000)/(BC43)</f>
        <v>90.000000000000568</v>
      </c>
      <c r="BD45" s="300">
        <f>((BD44-BD42)*1000)/(BD43)</f>
        <v>141.17647058823729</v>
      </c>
      <c r="BE45" s="302">
        <f>((BE44-BE42)*1000)/(BE43)</f>
        <v>70.588235294116984</v>
      </c>
      <c r="BF45" s="228"/>
      <c r="BG45" s="228"/>
      <c r="BH45" s="306">
        <f>((BH44-BH42)*1000)/(BH43)</f>
        <v>583.33333333333337</v>
      </c>
      <c r="BI45" s="310">
        <f>((BI44-BI42)*1000)/(BI43)</f>
        <v>160.00000000000227</v>
      </c>
      <c r="BJ45" s="314"/>
      <c r="BK45" s="231"/>
      <c r="BL45" s="300">
        <f>((BL44-BL42)*1000)/(BL43)</f>
        <v>364.70588235294053</v>
      </c>
      <c r="BM45" s="312">
        <f>((BM44-BM42)*1000)/(BM43)</f>
        <v>11.764705882352272</v>
      </c>
      <c r="BN45" s="313">
        <f>((BN44-BN42)*1000)/(BN43)</f>
        <v>524.99999999999852</v>
      </c>
      <c r="BO45" s="310">
        <f>((BO44-BO42)*1000)/(BO43)</f>
        <v>59.999999999999432</v>
      </c>
      <c r="BP45" s="228"/>
      <c r="BQ45" s="231"/>
      <c r="BR45" s="309">
        <f>((BR44-BR42)*1000)/(BR43)</f>
        <v>520.00000000000171</v>
      </c>
      <c r="BS45" s="300">
        <f>((BS44-BS42)*1000)/(BS43)</f>
        <v>27.272727272728307</v>
      </c>
      <c r="BT45" s="224"/>
      <c r="BU45" s="228"/>
      <c r="BV45" s="309">
        <f>((BV44-BV42)*1000)/(BV43)</f>
        <v>700</v>
      </c>
      <c r="BW45" s="300">
        <f>((BW44-BW42)*1000)/(BW43)</f>
        <v>45.454545454545453</v>
      </c>
      <c r="BX45" s="306">
        <f>((BX44-BX42)*1000)/(BX43)</f>
        <v>218.18181818181867</v>
      </c>
      <c r="BY45" s="302">
        <f>((BY44-BY42)*1000)/(BY43)</f>
        <v>159.99999999999943</v>
      </c>
      <c r="BZ45" s="228"/>
      <c r="CA45" s="228"/>
      <c r="CB45" s="306">
        <f>((CB44-CB42)*1000)/(CB43)</f>
        <v>350</v>
      </c>
      <c r="CC45" s="310">
        <f>((CC44-CC42)*1000)/(CC43)</f>
        <v>229.99999999999827</v>
      </c>
      <c r="CD45" s="228"/>
      <c r="CE45" s="231"/>
      <c r="CF45" s="300">
        <f>((CF44-CF42)*1000)/(CF43)</f>
        <v>366.66666666666714</v>
      </c>
      <c r="CG45" s="311">
        <f>((CG42-CG44)*1000)/(CG43)</f>
        <v>0</v>
      </c>
      <c r="CH45" s="300">
        <f>((CH44-CH42)*1000)/(CH43)</f>
        <v>750</v>
      </c>
      <c r="CI45" s="310">
        <f>((CI44-CI42)*1000)/(CI43)</f>
        <v>130.00000000000114</v>
      </c>
      <c r="CJ45" s="253"/>
      <c r="CK45" s="255"/>
      <c r="CL45" s="309">
        <f>((CL44-CL42)*1000)/(CL43)</f>
        <v>740.00000000000057</v>
      </c>
      <c r="CM45" s="310">
        <f>((CM44-CM42)*1000)/(CM43)</f>
        <v>190.00000000000057</v>
      </c>
      <c r="CN45" s="224"/>
      <c r="CO45" s="231"/>
      <c r="CP45" s="313">
        <f>((CP44-CP42)*1000)/(CP43)</f>
        <v>1380.0000000000011</v>
      </c>
      <c r="CQ45" s="312">
        <f>((CQ44-CQ42)*1000)/(CQ43)</f>
        <v>41.666666666666664</v>
      </c>
      <c r="CR45" s="300">
        <f>((CR44-CR42)*1000)/(CR43)</f>
        <v>827.2727272727268</v>
      </c>
      <c r="CS45" s="310">
        <f>((CS44-CS42)*1000)/(CS43)</f>
        <v>109.99999999999943</v>
      </c>
      <c r="CT45" s="224"/>
      <c r="CU45" s="231"/>
      <c r="CV45" s="306">
        <f>((CV44-CV42)*1000)/(CV43)</f>
        <v>1191.6666666666677</v>
      </c>
      <c r="CW45" s="313">
        <f>((CW42-CW44)*1000)/(CW43)</f>
        <v>169.99999999999886</v>
      </c>
      <c r="CX45" s="224"/>
      <c r="CY45" s="231"/>
      <c r="CZ45" s="313">
        <f>((CZ44-CZ42)*1000)/(CZ43)</f>
        <v>1489.9999999999977</v>
      </c>
      <c r="DA45" s="311">
        <f>((DA44-DA42)*1000)/(DA43)</f>
        <v>69.999999999998863</v>
      </c>
      <c r="DB45" s="300">
        <f>((DB44-DB42)*1000)/(DB43)</f>
        <v>3981.8181818181833</v>
      </c>
      <c r="DC45" s="302">
        <f>((DC44-DC42)*1000)/(DC43)</f>
        <v>27.272727272728307</v>
      </c>
      <c r="DD45" s="224"/>
      <c r="DE45" s="228"/>
      <c r="DF45" s="306">
        <f>((DF44-DF42)*1000)/(DF43)</f>
        <v>940.00000000000057</v>
      </c>
      <c r="DG45" s="302">
        <f>((DG44-DG42)*1000)/(DG43)</f>
        <v>110.00000000000227</v>
      </c>
      <c r="DH45" s="228"/>
      <c r="DI45" s="231"/>
      <c r="DJ45" s="313">
        <f>((DJ44-DJ42)*1000)/(DJ43)</f>
        <v>969.99999999999886</v>
      </c>
      <c r="DK45" s="312">
        <f>((DK44-DK42)*1000)/(DK43)</f>
        <v>45.454545454545453</v>
      </c>
      <c r="DL45" s="300">
        <f>((DL44-DL42)*1000)/(DL43)</f>
        <v>490.00000000000057</v>
      </c>
      <c r="DM45" s="302">
        <f>((DM44-DM42)*1000)/(DM43)</f>
        <v>70.000000000001705</v>
      </c>
      <c r="DN45" s="224"/>
      <c r="DO45" s="228"/>
      <c r="DP45" s="306">
        <f>((DP44-DP42)*1000)/(DP43)</f>
        <v>1700</v>
      </c>
      <c r="DQ45" s="302">
        <f>((DQ44-DQ42)*1000)/(DQ43)</f>
        <v>72.727272727271171</v>
      </c>
      <c r="DR45" s="228"/>
      <c r="DS45" s="231"/>
      <c r="DT45" s="300">
        <f>((DT44-DT42)*1000)/(DT43)</f>
        <v>530.00000000000114</v>
      </c>
      <c r="DU45" s="312">
        <f>((DU44-DU42)*1000)/(DU43)</f>
        <v>81.818181818182339</v>
      </c>
      <c r="DV45" s="300">
        <f>((DV44-DV42)*1000)/(DV43)</f>
        <v>1409.9999999999995</v>
      </c>
      <c r="DW45" s="302">
        <f>((DW44-DW42)*1000)/(DW43)</f>
        <v>16.666666666665719</v>
      </c>
      <c r="DX45" s="224"/>
      <c r="DY45" s="228"/>
      <c r="DZ45" s="306">
        <f>((DZ44-DZ42)*1000)/(DZ43)</f>
        <v>1429.9999999999984</v>
      </c>
      <c r="EA45" s="302">
        <f>((EA44-EA42)*1000)/(EA43)</f>
        <v>19.999999999998863</v>
      </c>
      <c r="EB45" s="228"/>
      <c r="EC45" s="231"/>
      <c r="ED45" s="313">
        <f>((ED44-ED42)*1000)/(ED43)</f>
        <v>980.00000000000114</v>
      </c>
      <c r="EE45" s="311">
        <f>((EE44-EE42)*1000)/(EE43)</f>
        <v>100</v>
      </c>
      <c r="EF45" s="300">
        <f>((EF44-EF42)*1000)/(EF43)</f>
        <v>1190.0000000000005</v>
      </c>
      <c r="EG45" s="302">
        <f>((EG44-EG42)*1000)/(EG43)</f>
        <v>99.999999999999488</v>
      </c>
      <c r="EH45" s="224"/>
      <c r="EI45" s="228"/>
      <c r="EJ45" s="306">
        <f>((EJ44-EJ42)*1000)/(EJ43)</f>
        <v>2019.9999999999989</v>
      </c>
      <c r="EK45" s="302">
        <f>((EK44-EK42)*1000)/(EK43)</f>
        <v>39.999999999997726</v>
      </c>
      <c r="EL45" s="228"/>
      <c r="EM45" s="231"/>
      <c r="EN45" s="313">
        <f>((EN44-EN42)*1000)/(EN43)</f>
        <v>1889.9999999999977</v>
      </c>
      <c r="EO45" s="311">
        <f>((EO44-EO42)*1000)/(EO43)</f>
        <v>40.000000000000568</v>
      </c>
      <c r="EP45" s="300">
        <f>((EP44-EP42)*1000)/(EP43)</f>
        <v>2450</v>
      </c>
      <c r="EQ45" s="302">
        <f>((EQ44-EQ42)*1000)/(EQ43)</f>
        <v>20.000000000001705</v>
      </c>
      <c r="ER45" s="224"/>
      <c r="ES45" s="228"/>
      <c r="ET45" s="306">
        <f>((ET44-ET42)*1000)/(ET43)</f>
        <v>929.99999999999841</v>
      </c>
      <c r="EU45" s="302">
        <f>((EU44-EU42)*1000)/(EU43)</f>
        <v>120.00000000000171</v>
      </c>
      <c r="EV45" s="228"/>
      <c r="EW45" s="231"/>
      <c r="EX45" s="313">
        <f>((EX44-EX42)*1000)/(EX43)</f>
        <v>4409.9999999999991</v>
      </c>
      <c r="EY45" s="311">
        <f>((EY44-EY42)*1000)/(EY43)</f>
        <v>29.999999999998295</v>
      </c>
      <c r="EZ45" s="300">
        <f>((EZ44-EZ42)*1000)/(EZ43)</f>
        <v>6369.9999999999982</v>
      </c>
      <c r="FA45" s="302">
        <f>((FA44-FA42)*1000)/(FA43)</f>
        <v>29.999999999998295</v>
      </c>
      <c r="FB45" s="224"/>
      <c r="FC45" s="228"/>
      <c r="FD45" s="306">
        <f>((FD44-FD42)*1000)/(FD43)</f>
        <v>659.99999999999943</v>
      </c>
      <c r="FE45" s="302">
        <f>((FE44-FE42)*1000)/(FE43)</f>
        <v>150</v>
      </c>
      <c r="FF45" s="228"/>
      <c r="FG45" s="231"/>
      <c r="FH45" s="313">
        <f>((FH44-FH42)*1000)/(FH43)</f>
        <v>2050</v>
      </c>
      <c r="FI45" s="311">
        <f>((FI44-FI42)*1000)/(FI43)</f>
        <v>40.000000000000568</v>
      </c>
      <c r="FJ45" s="300">
        <f>((FJ44-FJ42)*1000)/(FJ43)</f>
        <v>740.00000000000057</v>
      </c>
      <c r="FK45" s="302">
        <f>((FK44-FK42)*1000)/(FK43)</f>
        <v>50</v>
      </c>
      <c r="FL45" s="224"/>
      <c r="FM45" s="228"/>
      <c r="FN45" s="306">
        <f>((FN44-FN42)*1000)/(FN43)</f>
        <v>1100</v>
      </c>
      <c r="FO45" s="302">
        <f>((FO44-FO42)*1000)/(FO43)</f>
        <v>50</v>
      </c>
      <c r="FP45" s="228"/>
      <c r="FQ45" s="231"/>
      <c r="FR45" s="313">
        <f>((FR44-FR42)*1000)/(FR43)</f>
        <v>1129.9999999999984</v>
      </c>
      <c r="FS45" s="311">
        <f>((FS44-FS42)*1000)/(FS43)</f>
        <v>19.999999999998863</v>
      </c>
      <c r="FT45" s="300">
        <f>((FT44-FT42)*1000)/(FT43)</f>
        <v>8120.0000000000018</v>
      </c>
      <c r="FU45" s="302">
        <f>((FU44-FU42)*1000)/(FU43)</f>
        <v>69.999999999998863</v>
      </c>
      <c r="FV45" s="224"/>
      <c r="FW45" s="228"/>
      <c r="FX45" s="306">
        <f>((FX44-FX42)*1000)/(FX43)</f>
        <v>2500</v>
      </c>
      <c r="FY45" s="302">
        <f>((FY44-FY42)*1000)/(FY43)</f>
        <v>19.999999999998863</v>
      </c>
      <c r="FZ45" s="228"/>
      <c r="GA45" s="231"/>
      <c r="GB45" s="313">
        <f>((GB44-GB42)*1000)/(GB43)</f>
        <v>869.99999999999886</v>
      </c>
      <c r="GC45" s="311">
        <f>((GC44-GC42)*1000)/(GC43)</f>
        <v>20.000000000001705</v>
      </c>
      <c r="GD45" s="300">
        <f>((GD44-GD42)*1000)/(GD43)</f>
        <v>5269.9999999999982</v>
      </c>
      <c r="GE45" s="302">
        <f>((GE44-GE42)*1000)/(GE43)</f>
        <v>50</v>
      </c>
      <c r="GF45" s="224"/>
      <c r="GG45" s="228"/>
      <c r="GH45" s="306">
        <f>((GH44-GH42)*1000)/(GH43)</f>
        <v>363.63636363636363</v>
      </c>
      <c r="GI45" s="302">
        <f>((GI44-GI42)*1000)/(GI43)</f>
        <v>81.818181818182339</v>
      </c>
      <c r="GJ45" s="228"/>
      <c r="GK45" s="231"/>
      <c r="GL45" s="313">
        <f>((GL44-GL42)*1000)/(GL43)</f>
        <v>550</v>
      </c>
      <c r="GM45" s="311">
        <f>((GM44-GM42)*1000)/(GM43)</f>
        <v>150</v>
      </c>
      <c r="GN45" s="300">
        <f>((GN44-GN42)*1000)/(GN43)</f>
        <v>389.99999999999773</v>
      </c>
      <c r="GO45" s="302">
        <f>((GO44-GO42)*1000)/(GO43)</f>
        <v>10.000000000002274</v>
      </c>
      <c r="GP45" s="224"/>
      <c r="GQ45" s="228"/>
      <c r="GR45" s="306">
        <f>((GR44-GR42)*1000)/(GR43)</f>
        <v>349.99999999999784</v>
      </c>
      <c r="GS45" s="302">
        <f>((GS44-GS42)*1000)/(GS43)</f>
        <v>100.00000000000142</v>
      </c>
      <c r="GT45" s="228"/>
      <c r="GU45" s="231"/>
      <c r="GV45" s="300">
        <f>((GV44-GV42)*1000)/(GV43)</f>
        <v>542.85714285714039</v>
      </c>
      <c r="GW45" s="312">
        <f>((GW44-GW42)*1000)/(GW43)</f>
        <v>133.33333333333522</v>
      </c>
    </row>
    <row r="46" spans="1:1046" x14ac:dyDescent="0.2">
      <c r="A46" s="2"/>
      <c r="B46" s="3"/>
      <c r="C46" s="23" t="s">
        <v>94</v>
      </c>
      <c r="D46" s="210"/>
      <c r="E46" s="295"/>
      <c r="F46" s="62">
        <v>119.6</v>
      </c>
      <c r="G46" s="62">
        <v>119.9</v>
      </c>
      <c r="H46" s="214"/>
      <c r="I46" s="211"/>
      <c r="J46" s="82">
        <v>119.8</v>
      </c>
      <c r="K46" s="74">
        <v>119.5</v>
      </c>
      <c r="L46" s="210"/>
      <c r="M46" s="210"/>
      <c r="N46" s="82">
        <v>118.2</v>
      </c>
      <c r="O46" s="83">
        <v>118.7</v>
      </c>
      <c r="P46" s="62">
        <v>120.7</v>
      </c>
      <c r="Q46" s="74">
        <v>124.1</v>
      </c>
      <c r="R46" s="214"/>
      <c r="S46" s="210"/>
      <c r="T46" s="82">
        <v>122.5</v>
      </c>
      <c r="U46" s="74">
        <v>119.6</v>
      </c>
      <c r="V46" s="210"/>
      <c r="W46" s="211"/>
      <c r="X46" s="2">
        <v>122.7</v>
      </c>
      <c r="Y46" s="4">
        <v>122.4</v>
      </c>
      <c r="Z46" s="2"/>
      <c r="AA46" s="28"/>
      <c r="AB46" s="214"/>
      <c r="AC46" s="211"/>
      <c r="AD46" s="3"/>
      <c r="AE46" s="28"/>
      <c r="AF46" s="214"/>
      <c r="AG46" s="211"/>
      <c r="AH46" s="2"/>
      <c r="AI46" s="4"/>
      <c r="AJ46" s="2"/>
      <c r="AK46" s="28"/>
      <c r="AL46" s="214"/>
      <c r="AM46" s="211"/>
      <c r="AN46" s="3"/>
      <c r="AO46" s="28"/>
      <c r="AP46" s="214"/>
      <c r="AQ46" s="211"/>
      <c r="AR46" s="2"/>
      <c r="AS46" s="4"/>
      <c r="AT46" s="2"/>
      <c r="AU46" s="28"/>
      <c r="AV46" s="210"/>
      <c r="AW46" s="211"/>
      <c r="AX46" s="3"/>
      <c r="AY46" s="2"/>
      <c r="AZ46" s="214"/>
      <c r="BA46" s="211"/>
      <c r="BB46" s="2"/>
      <c r="BC46" s="4"/>
      <c r="BD46" s="2"/>
      <c r="BE46" s="28"/>
      <c r="BF46" s="210"/>
      <c r="BG46" s="210"/>
      <c r="BH46" s="3"/>
      <c r="BI46" s="28"/>
      <c r="BJ46" s="210"/>
      <c r="BK46" s="211"/>
      <c r="BL46" s="2"/>
      <c r="BM46" s="4"/>
      <c r="BN46" s="2"/>
      <c r="BO46" s="28"/>
      <c r="BP46" s="210"/>
      <c r="BQ46" s="211"/>
      <c r="BR46" s="3"/>
      <c r="BS46" s="2"/>
      <c r="BT46" s="214"/>
      <c r="BU46" s="210"/>
      <c r="BV46" s="3"/>
      <c r="BW46" s="2"/>
      <c r="BX46" s="3"/>
      <c r="BY46" s="28"/>
      <c r="BZ46" s="210"/>
      <c r="CA46" s="210"/>
      <c r="CB46" s="3"/>
      <c r="CC46" s="28"/>
      <c r="CD46" s="210"/>
      <c r="CE46" s="211"/>
      <c r="CF46" s="2">
        <v>216.6</v>
      </c>
      <c r="CG46" s="4">
        <v>216.3</v>
      </c>
      <c r="CH46" s="2"/>
      <c r="CI46" s="28"/>
      <c r="CJ46" s="210"/>
      <c r="CK46" s="211"/>
      <c r="CL46" s="3"/>
      <c r="CM46" s="28"/>
      <c r="CN46" s="214"/>
      <c r="CO46" s="211"/>
      <c r="CP46" s="2">
        <v>213</v>
      </c>
      <c r="CQ46" s="4">
        <v>216.2</v>
      </c>
      <c r="CR46" s="2"/>
      <c r="CS46" s="28"/>
      <c r="CT46" s="214"/>
      <c r="CU46" s="211"/>
      <c r="CV46" s="3"/>
      <c r="CW46" s="2"/>
      <c r="CX46" s="214"/>
      <c r="CY46" s="211"/>
      <c r="CZ46" s="2"/>
      <c r="DA46" s="4"/>
      <c r="DB46" s="62"/>
      <c r="DC46" s="74"/>
      <c r="DD46" s="214"/>
      <c r="DE46" s="210"/>
      <c r="DF46" s="82"/>
      <c r="DG46" s="74"/>
      <c r="DH46" s="210"/>
      <c r="DI46" s="211"/>
      <c r="DJ46" s="2"/>
      <c r="DK46" s="4"/>
      <c r="DL46" s="62"/>
      <c r="DM46" s="74"/>
      <c r="DN46" s="214"/>
      <c r="DO46" s="210"/>
      <c r="DP46" s="25"/>
      <c r="DQ46" s="26"/>
      <c r="DR46" s="210"/>
      <c r="DS46" s="211"/>
      <c r="DT46" s="2"/>
      <c r="DU46" s="4"/>
      <c r="DV46" s="62"/>
      <c r="DW46" s="74"/>
      <c r="DX46" s="214"/>
      <c r="DY46" s="210"/>
      <c r="DZ46" s="82"/>
      <c r="EA46" s="74"/>
      <c r="EB46" s="210"/>
      <c r="EC46" s="211"/>
      <c r="ED46" s="2"/>
      <c r="EE46" s="4"/>
      <c r="EF46" s="62"/>
      <c r="EG46" s="74"/>
      <c r="EH46" s="214"/>
      <c r="EI46" s="210"/>
      <c r="EJ46" s="82"/>
      <c r="EK46" s="74"/>
      <c r="EL46" s="210"/>
      <c r="EM46" s="211"/>
      <c r="EN46" s="2"/>
      <c r="EO46" s="4"/>
      <c r="EP46" s="62"/>
      <c r="EQ46" s="74"/>
      <c r="ER46" s="214"/>
      <c r="ES46" s="210"/>
      <c r="ET46" s="82"/>
      <c r="EU46" s="74"/>
      <c r="EV46" s="210"/>
      <c r="EW46" s="211"/>
      <c r="EX46" s="2"/>
      <c r="EY46" s="4"/>
      <c r="EZ46" s="62"/>
      <c r="FA46" s="74"/>
      <c r="FB46" s="214"/>
      <c r="FC46" s="210"/>
      <c r="FD46" s="82"/>
      <c r="FE46" s="74"/>
      <c r="FF46" s="210"/>
      <c r="FG46" s="211"/>
      <c r="FH46" s="2"/>
      <c r="FI46" s="4"/>
      <c r="FJ46" s="62"/>
      <c r="FK46" s="74"/>
      <c r="FL46" s="214"/>
      <c r="FM46" s="210"/>
      <c r="FN46" s="82"/>
      <c r="FO46" s="74"/>
      <c r="FP46" s="210"/>
      <c r="FQ46" s="211"/>
      <c r="FR46" s="2"/>
      <c r="FS46" s="4"/>
      <c r="FT46" s="62"/>
      <c r="FU46" s="74"/>
      <c r="FV46" s="214"/>
      <c r="FW46" s="210"/>
      <c r="FX46" s="82"/>
      <c r="FY46" s="74"/>
      <c r="FZ46" s="210"/>
      <c r="GA46" s="211"/>
      <c r="GB46" s="2"/>
      <c r="GC46" s="4"/>
      <c r="GD46" s="62"/>
      <c r="GE46" s="74"/>
      <c r="GF46" s="214"/>
      <c r="GG46" s="210"/>
      <c r="GH46" s="82"/>
      <c r="GI46" s="74"/>
      <c r="GJ46" s="210"/>
      <c r="GK46" s="211"/>
      <c r="GL46" s="2"/>
      <c r="GM46" s="4"/>
      <c r="GN46" s="62"/>
      <c r="GO46" s="74"/>
      <c r="GP46" s="214"/>
      <c r="GQ46" s="210"/>
      <c r="GR46" s="82"/>
      <c r="GS46" s="74"/>
      <c r="GT46" s="210"/>
      <c r="GU46" s="211"/>
      <c r="GV46" s="2"/>
      <c r="GW46" s="4"/>
    </row>
    <row r="47" spans="1:1046" x14ac:dyDescent="0.2">
      <c r="A47" s="2"/>
      <c r="B47" s="3"/>
      <c r="C47" s="23" t="s">
        <v>95</v>
      </c>
      <c r="D47" s="210"/>
      <c r="E47" s="295"/>
      <c r="F47" s="62">
        <v>50</v>
      </c>
      <c r="G47" s="62">
        <v>50</v>
      </c>
      <c r="H47" s="214"/>
      <c r="I47" s="211"/>
      <c r="J47" s="82">
        <v>50</v>
      </c>
      <c r="K47" s="74">
        <v>50</v>
      </c>
      <c r="L47" s="210"/>
      <c r="M47" s="210"/>
      <c r="N47" s="82">
        <v>50</v>
      </c>
      <c r="O47" s="83">
        <v>50</v>
      </c>
      <c r="P47" s="62">
        <v>50</v>
      </c>
      <c r="Q47" s="74">
        <v>20</v>
      </c>
      <c r="R47" s="214"/>
      <c r="S47" s="210"/>
      <c r="T47" s="82">
        <v>20</v>
      </c>
      <c r="U47" s="74">
        <v>20</v>
      </c>
      <c r="V47" s="210"/>
      <c r="W47" s="211"/>
      <c r="X47" s="2">
        <v>20</v>
      </c>
      <c r="Y47" s="4">
        <v>20</v>
      </c>
      <c r="Z47" s="2"/>
      <c r="AA47" s="28"/>
      <c r="AB47" s="214"/>
      <c r="AC47" s="211"/>
      <c r="AD47" s="3"/>
      <c r="AE47" s="28"/>
      <c r="AF47" s="214"/>
      <c r="AG47" s="211"/>
      <c r="AH47" s="2"/>
      <c r="AI47" s="4"/>
      <c r="AJ47" s="2"/>
      <c r="AK47" s="28"/>
      <c r="AL47" s="214"/>
      <c r="AM47" s="211"/>
      <c r="AN47" s="3"/>
      <c r="AO47" s="28"/>
      <c r="AP47" s="214"/>
      <c r="AQ47" s="211"/>
      <c r="AR47" s="2"/>
      <c r="AS47" s="4"/>
      <c r="AT47" s="2"/>
      <c r="AU47" s="28"/>
      <c r="AV47" s="210"/>
      <c r="AW47" s="211"/>
      <c r="AX47" s="3"/>
      <c r="AY47" s="2"/>
      <c r="AZ47" s="214"/>
      <c r="BA47" s="211"/>
      <c r="BB47" s="2"/>
      <c r="BC47" s="4"/>
      <c r="BD47" s="2"/>
      <c r="BE47" s="28"/>
      <c r="BF47" s="210"/>
      <c r="BG47" s="210"/>
      <c r="BH47" s="3"/>
      <c r="BI47" s="28"/>
      <c r="BJ47" s="210"/>
      <c r="BK47" s="211"/>
      <c r="BL47" s="2"/>
      <c r="BM47" s="4"/>
      <c r="BN47" s="2"/>
      <c r="BO47" s="28"/>
      <c r="BP47" s="210"/>
      <c r="BQ47" s="211"/>
      <c r="BR47" s="3"/>
      <c r="BS47" s="2"/>
      <c r="BT47" s="214"/>
      <c r="BU47" s="210"/>
      <c r="BV47" s="3"/>
      <c r="BW47" s="2"/>
      <c r="BX47" s="3"/>
      <c r="BY47" s="28"/>
      <c r="BZ47" s="210"/>
      <c r="CA47" s="210"/>
      <c r="CB47" s="3"/>
      <c r="CC47" s="28"/>
      <c r="CD47" s="210"/>
      <c r="CE47" s="211"/>
      <c r="CF47" s="2">
        <v>11</v>
      </c>
      <c r="CG47" s="4">
        <v>10</v>
      </c>
      <c r="CH47" s="2"/>
      <c r="CI47" s="28"/>
      <c r="CJ47" s="210"/>
      <c r="CK47" s="211"/>
      <c r="CL47" s="3"/>
      <c r="CM47" s="28"/>
      <c r="CN47" s="214"/>
      <c r="CO47" s="211"/>
      <c r="CP47" s="2">
        <v>10</v>
      </c>
      <c r="CQ47" s="4">
        <v>11</v>
      </c>
      <c r="CR47" s="2"/>
      <c r="CS47" s="28"/>
      <c r="CT47" s="214"/>
      <c r="CU47" s="211"/>
      <c r="CV47" s="3"/>
      <c r="CW47" s="2"/>
      <c r="CX47" s="214"/>
      <c r="CY47" s="211"/>
      <c r="CZ47" s="2"/>
      <c r="DA47" s="4"/>
      <c r="DB47" s="62"/>
      <c r="DC47" s="74"/>
      <c r="DD47" s="214"/>
      <c r="DE47" s="210"/>
      <c r="DF47" s="82"/>
      <c r="DG47" s="74"/>
      <c r="DH47" s="210"/>
      <c r="DI47" s="211"/>
      <c r="DJ47" s="2"/>
      <c r="DK47" s="4"/>
      <c r="DL47" s="62"/>
      <c r="DM47" s="74"/>
      <c r="DN47" s="214"/>
      <c r="DO47" s="210"/>
      <c r="DP47" s="25"/>
      <c r="DQ47" s="26"/>
      <c r="DR47" s="210"/>
      <c r="DS47" s="211"/>
      <c r="DT47" s="2"/>
      <c r="DU47" s="4"/>
      <c r="DV47" s="62"/>
      <c r="DW47" s="74"/>
      <c r="DX47" s="214"/>
      <c r="DY47" s="210"/>
      <c r="DZ47" s="82"/>
      <c r="EA47" s="74"/>
      <c r="EB47" s="210"/>
      <c r="EC47" s="211"/>
      <c r="ED47" s="2"/>
      <c r="EE47" s="4"/>
      <c r="EF47" s="62"/>
      <c r="EG47" s="74"/>
      <c r="EH47" s="214"/>
      <c r="EI47" s="210"/>
      <c r="EJ47" s="82"/>
      <c r="EK47" s="74"/>
      <c r="EL47" s="210"/>
      <c r="EM47" s="211"/>
      <c r="EN47" s="2"/>
      <c r="EO47" s="4"/>
      <c r="EP47" s="62"/>
      <c r="EQ47" s="74"/>
      <c r="ER47" s="214"/>
      <c r="ES47" s="210"/>
      <c r="ET47" s="82"/>
      <c r="EU47" s="74"/>
      <c r="EV47" s="210"/>
      <c r="EW47" s="211"/>
      <c r="EX47" s="2"/>
      <c r="EY47" s="4"/>
      <c r="EZ47" s="62"/>
      <c r="FA47" s="74"/>
      <c r="FB47" s="214"/>
      <c r="FC47" s="210"/>
      <c r="FD47" s="82"/>
      <c r="FE47" s="74"/>
      <c r="FF47" s="210"/>
      <c r="FG47" s="211"/>
      <c r="FH47" s="2"/>
      <c r="FI47" s="4"/>
      <c r="FJ47" s="62"/>
      <c r="FK47" s="74"/>
      <c r="FL47" s="214"/>
      <c r="FM47" s="210"/>
      <c r="FN47" s="82"/>
      <c r="FO47" s="74"/>
      <c r="FP47" s="210"/>
      <c r="FQ47" s="211"/>
      <c r="FR47" s="2"/>
      <c r="FS47" s="4"/>
      <c r="FT47" s="62"/>
      <c r="FU47" s="74"/>
      <c r="FV47" s="214"/>
      <c r="FW47" s="210"/>
      <c r="FX47" s="82"/>
      <c r="FY47" s="74"/>
      <c r="FZ47" s="210"/>
      <c r="GA47" s="211"/>
      <c r="GB47" s="2"/>
      <c r="GC47" s="4"/>
      <c r="GD47" s="62"/>
      <c r="GE47" s="74"/>
      <c r="GF47" s="214"/>
      <c r="GG47" s="210"/>
      <c r="GH47" s="82"/>
      <c r="GI47" s="74"/>
      <c r="GJ47" s="210"/>
      <c r="GK47" s="211"/>
      <c r="GL47" s="2"/>
      <c r="GM47" s="4"/>
      <c r="GN47" s="62"/>
      <c r="GO47" s="74"/>
      <c r="GP47" s="214"/>
      <c r="GQ47" s="210"/>
      <c r="GR47" s="82"/>
      <c r="GS47" s="74"/>
      <c r="GT47" s="210"/>
      <c r="GU47" s="211"/>
      <c r="GV47" s="2"/>
      <c r="GW47" s="4"/>
    </row>
    <row r="48" spans="1:1046" x14ac:dyDescent="0.2">
      <c r="A48" s="2"/>
      <c r="B48" s="3"/>
      <c r="C48" s="23" t="s">
        <v>96</v>
      </c>
      <c r="D48" s="210"/>
      <c r="E48" s="295"/>
      <c r="F48" s="62">
        <v>125.8</v>
      </c>
      <c r="G48" s="62">
        <v>123.3</v>
      </c>
      <c r="H48" s="214"/>
      <c r="I48" s="211"/>
      <c r="J48" s="82">
        <v>140.5</v>
      </c>
      <c r="K48" s="74">
        <v>120.7</v>
      </c>
      <c r="L48" s="210"/>
      <c r="M48" s="210"/>
      <c r="N48" s="82">
        <v>149.80000000000001</v>
      </c>
      <c r="O48" s="83">
        <v>119.7</v>
      </c>
      <c r="P48" s="62">
        <v>132.6</v>
      </c>
      <c r="Q48" s="74">
        <v>125.6</v>
      </c>
      <c r="R48" s="214"/>
      <c r="S48" s="210"/>
      <c r="T48" s="82">
        <v>127</v>
      </c>
      <c r="U48" s="74">
        <v>121.6</v>
      </c>
      <c r="V48" s="210"/>
      <c r="W48" s="211"/>
      <c r="X48" s="2">
        <v>129.80000000000001</v>
      </c>
      <c r="Y48" s="4">
        <v>122.8</v>
      </c>
      <c r="Z48" s="2"/>
      <c r="AA48" s="28"/>
      <c r="AB48" s="214"/>
      <c r="AC48" s="211"/>
      <c r="AD48" s="3"/>
      <c r="AE48" s="28"/>
      <c r="AF48" s="214"/>
      <c r="AG48" s="211"/>
      <c r="AH48" s="2"/>
      <c r="AI48" s="4"/>
      <c r="AJ48" s="2"/>
      <c r="AK48" s="28"/>
      <c r="AL48" s="214"/>
      <c r="AM48" s="211"/>
      <c r="AN48" s="3"/>
      <c r="AO48" s="28"/>
      <c r="AP48" s="214"/>
      <c r="AQ48" s="211"/>
      <c r="AR48" s="2"/>
      <c r="AS48" s="4"/>
      <c r="AT48" s="2"/>
      <c r="AU48" s="28"/>
      <c r="AV48" s="210"/>
      <c r="AW48" s="211"/>
      <c r="AX48" s="3"/>
      <c r="AY48" s="2"/>
      <c r="AZ48" s="214"/>
      <c r="BA48" s="211"/>
      <c r="BB48" s="2"/>
      <c r="BC48" s="4"/>
      <c r="BD48" s="2"/>
      <c r="BE48" s="28"/>
      <c r="BF48" s="210"/>
      <c r="BG48" s="210"/>
      <c r="BH48" s="3"/>
      <c r="BI48" s="28"/>
      <c r="BJ48" s="210"/>
      <c r="BK48" s="211"/>
      <c r="BL48" s="2"/>
      <c r="BM48" s="4"/>
      <c r="BN48" s="2"/>
      <c r="BO48" s="28"/>
      <c r="BP48" s="210"/>
      <c r="BQ48" s="211"/>
      <c r="BR48" s="3"/>
      <c r="BS48" s="2"/>
      <c r="BT48" s="214"/>
      <c r="BU48" s="210"/>
      <c r="BV48" s="3"/>
      <c r="BW48" s="2"/>
      <c r="BX48" s="3"/>
      <c r="BY48" s="28"/>
      <c r="BZ48" s="210"/>
      <c r="CA48" s="210"/>
      <c r="CB48" s="3"/>
      <c r="CC48" s="28"/>
      <c r="CD48" s="210"/>
      <c r="CE48" s="211"/>
      <c r="CF48" s="2">
        <v>221</v>
      </c>
      <c r="CG48" s="4">
        <v>216.3</v>
      </c>
      <c r="CH48" s="2"/>
      <c r="CI48" s="28"/>
      <c r="CJ48" s="210"/>
      <c r="CK48" s="211"/>
      <c r="CL48" s="3"/>
      <c r="CM48" s="28"/>
      <c r="CN48" s="214"/>
      <c r="CO48" s="211"/>
      <c r="CP48" s="2">
        <v>225.1</v>
      </c>
      <c r="CQ48" s="4">
        <v>215.9</v>
      </c>
      <c r="CR48" s="2"/>
      <c r="CS48" s="28"/>
      <c r="CT48" s="214"/>
      <c r="CU48" s="211"/>
      <c r="CV48" s="3"/>
      <c r="CW48" s="2"/>
      <c r="CX48" s="214"/>
      <c r="CY48" s="211"/>
      <c r="CZ48" s="2"/>
      <c r="DA48" s="4"/>
      <c r="DB48" s="62"/>
      <c r="DC48" s="74"/>
      <c r="DD48" s="214"/>
      <c r="DE48" s="210"/>
      <c r="DF48" s="82"/>
      <c r="DG48" s="74"/>
      <c r="DH48" s="210"/>
      <c r="DI48" s="211"/>
      <c r="DJ48" s="2"/>
      <c r="DK48" s="4"/>
      <c r="DL48" s="62"/>
      <c r="DM48" s="74"/>
      <c r="DN48" s="214"/>
      <c r="DO48" s="210"/>
      <c r="DP48" s="25"/>
      <c r="DQ48" s="26"/>
      <c r="DR48" s="210"/>
      <c r="DS48" s="211"/>
      <c r="DT48" s="2"/>
      <c r="DU48" s="4"/>
      <c r="DV48" s="62"/>
      <c r="DW48" s="74"/>
      <c r="DX48" s="214"/>
      <c r="DY48" s="210"/>
      <c r="DZ48" s="82"/>
      <c r="EA48" s="74"/>
      <c r="EB48" s="210"/>
      <c r="EC48" s="211"/>
      <c r="ED48" s="2"/>
      <c r="EE48" s="4"/>
      <c r="EF48" s="62"/>
      <c r="EG48" s="74"/>
      <c r="EH48" s="214"/>
      <c r="EI48" s="210"/>
      <c r="EJ48" s="82"/>
      <c r="EK48" s="74"/>
      <c r="EL48" s="210"/>
      <c r="EM48" s="211"/>
      <c r="EN48" s="2"/>
      <c r="EO48" s="4"/>
      <c r="EP48" s="62"/>
      <c r="EQ48" s="74"/>
      <c r="ER48" s="214"/>
      <c r="ES48" s="210"/>
      <c r="ET48" s="82"/>
      <c r="EU48" s="74"/>
      <c r="EV48" s="210"/>
      <c r="EW48" s="211"/>
      <c r="EX48" s="2"/>
      <c r="EY48" s="4"/>
      <c r="EZ48" s="62"/>
      <c r="FA48" s="74"/>
      <c r="FB48" s="214"/>
      <c r="FC48" s="210"/>
      <c r="FD48" s="82"/>
      <c r="FE48" s="74"/>
      <c r="FF48" s="210"/>
      <c r="FG48" s="211"/>
      <c r="FH48" s="2"/>
      <c r="FI48" s="4"/>
      <c r="FJ48" s="62"/>
      <c r="FK48" s="74"/>
      <c r="FL48" s="214"/>
      <c r="FM48" s="210"/>
      <c r="FN48" s="82"/>
      <c r="FO48" s="74"/>
      <c r="FP48" s="210"/>
      <c r="FQ48" s="211"/>
      <c r="FR48" s="2"/>
      <c r="FS48" s="4"/>
      <c r="FT48" s="62"/>
      <c r="FU48" s="74"/>
      <c r="FV48" s="214"/>
      <c r="FW48" s="210"/>
      <c r="FX48" s="82"/>
      <c r="FY48" s="74"/>
      <c r="FZ48" s="210"/>
      <c r="GA48" s="211"/>
      <c r="GB48" s="2"/>
      <c r="GC48" s="4"/>
      <c r="GD48" s="62"/>
      <c r="GE48" s="74"/>
      <c r="GF48" s="214"/>
      <c r="GG48" s="210"/>
      <c r="GH48" s="82"/>
      <c r="GI48" s="74"/>
      <c r="GJ48" s="210"/>
      <c r="GK48" s="211"/>
      <c r="GL48" s="2"/>
      <c r="GM48" s="4"/>
      <c r="GN48" s="62"/>
      <c r="GO48" s="74"/>
      <c r="GP48" s="214"/>
      <c r="GQ48" s="210"/>
      <c r="GR48" s="82"/>
      <c r="GS48" s="74"/>
      <c r="GT48" s="210"/>
      <c r="GU48" s="211"/>
      <c r="GV48" s="2"/>
      <c r="GW48" s="4"/>
    </row>
    <row r="49" spans="1:235" x14ac:dyDescent="0.2">
      <c r="A49" s="2"/>
      <c r="B49" s="3"/>
      <c r="C49" s="299">
        <v>3</v>
      </c>
      <c r="D49" s="228"/>
      <c r="E49" s="233"/>
      <c r="F49" s="300">
        <f>((F48-F46)*1000)/(F47)</f>
        <v>124.00000000000006</v>
      </c>
      <c r="G49" s="300">
        <f>((G48-G46)*1000)/(G47)</f>
        <v>67.999999999999829</v>
      </c>
      <c r="H49" s="224"/>
      <c r="I49" s="231"/>
      <c r="J49" s="301">
        <f>((J48-J46)*1000)/(J47)</f>
        <v>414.00000000000006</v>
      </c>
      <c r="K49" s="305">
        <f>((K48-K46)*1000)/(K47)</f>
        <v>24.000000000000053</v>
      </c>
      <c r="L49" s="228"/>
      <c r="M49" s="228"/>
      <c r="N49" s="306">
        <f>((N48-N46)*1000)/(N47)</f>
        <v>632.00000000000011</v>
      </c>
      <c r="O49" s="303">
        <f>((O48-O46)*1000)/(O47)</f>
        <v>20</v>
      </c>
      <c r="P49" s="300">
        <f>((P48-P46)*1000)/(P47)</f>
        <v>237.99999999999983</v>
      </c>
      <c r="Q49" s="302">
        <f>((Q48-Q46)*1000)/(Q47)</f>
        <v>75</v>
      </c>
      <c r="R49" s="224"/>
      <c r="S49" s="228"/>
      <c r="T49" s="306">
        <f>((T48-T46)*1000)/(T47)</f>
        <v>225</v>
      </c>
      <c r="U49" s="305">
        <f>((U48-U46)*1000)/(U47)</f>
        <v>100</v>
      </c>
      <c r="V49" s="228"/>
      <c r="W49" s="231"/>
      <c r="X49" s="313">
        <f>((X48-X46)*1000)/(X47)</f>
        <v>355.0000000000004</v>
      </c>
      <c r="Y49" s="308">
        <f>((Y48-Y46)*1000)/(Y47)</f>
        <v>19.999999999999574</v>
      </c>
      <c r="Z49" s="313"/>
      <c r="AA49" s="310"/>
      <c r="AB49" s="214"/>
      <c r="AC49" s="211"/>
      <c r="AD49" s="309"/>
      <c r="AE49" s="310"/>
      <c r="AF49" s="214"/>
      <c r="AG49" s="211"/>
      <c r="AH49" s="313"/>
      <c r="AI49" s="311"/>
      <c r="AJ49" s="313"/>
      <c r="AK49" s="310"/>
      <c r="AL49" s="214"/>
      <c r="AM49" s="211"/>
      <c r="AN49" s="309"/>
      <c r="AO49" s="310"/>
      <c r="AP49" s="214"/>
      <c r="AQ49" s="211"/>
      <c r="AR49" s="313"/>
      <c r="AS49" s="311"/>
      <c r="AT49" s="313"/>
      <c r="AU49" s="310"/>
      <c r="AV49" s="228"/>
      <c r="AW49" s="231"/>
      <c r="AX49" s="313"/>
      <c r="AY49" s="310"/>
      <c r="AZ49" s="224"/>
      <c r="BA49" s="231"/>
      <c r="BB49" s="313"/>
      <c r="BC49" s="311"/>
      <c r="BD49" s="313"/>
      <c r="BE49" s="310"/>
      <c r="BF49" s="228"/>
      <c r="BG49" s="228"/>
      <c r="BH49" s="309"/>
      <c r="BI49" s="310"/>
      <c r="BJ49" s="228"/>
      <c r="BK49" s="231"/>
      <c r="BL49" s="313"/>
      <c r="BM49" s="311"/>
      <c r="BN49" s="313"/>
      <c r="BO49" s="310"/>
      <c r="BP49" s="228"/>
      <c r="BQ49" s="231"/>
      <c r="BR49" s="313"/>
      <c r="BS49" s="310"/>
      <c r="BT49" s="224"/>
      <c r="BU49" s="228"/>
      <c r="BV49" s="309"/>
      <c r="BW49" s="313"/>
      <c r="BX49" s="309"/>
      <c r="BY49" s="310"/>
      <c r="BZ49" s="228"/>
      <c r="CA49" s="228"/>
      <c r="CB49" s="309"/>
      <c r="CC49" s="310"/>
      <c r="CD49" s="228"/>
      <c r="CE49" s="231"/>
      <c r="CF49" s="313">
        <f>((CF48-CF46)*1000)/(CF47)</f>
        <v>400.00000000000051</v>
      </c>
      <c r="CG49" s="311">
        <f>((CG46-CG48)*1000)/(CG47)</f>
        <v>0</v>
      </c>
      <c r="CH49" s="313"/>
      <c r="CI49" s="310"/>
      <c r="CJ49" s="253"/>
      <c r="CK49" s="255"/>
      <c r="CL49" s="315"/>
      <c r="CM49" s="316"/>
      <c r="CN49" s="317"/>
      <c r="CO49" s="284"/>
      <c r="CP49" s="313">
        <f>((CP48-CP46)*1000)/(CP47)</f>
        <v>1209.9999999999995</v>
      </c>
      <c r="CQ49" s="312">
        <f>((CQ46-CQ48)*1000)/(CQ47)</f>
        <v>27.272727272725721</v>
      </c>
      <c r="CR49" s="313"/>
      <c r="CS49" s="310"/>
      <c r="CT49" s="224"/>
      <c r="CU49" s="231"/>
      <c r="CV49" s="313"/>
      <c r="CW49" s="310"/>
      <c r="CX49" s="224"/>
      <c r="CY49" s="231"/>
      <c r="CZ49" s="313"/>
      <c r="DA49" s="311"/>
      <c r="DB49" s="300"/>
      <c r="DC49" s="302"/>
      <c r="DD49" s="224"/>
      <c r="DE49" s="228"/>
      <c r="DF49" s="306"/>
      <c r="DG49" s="302"/>
      <c r="DH49" s="228"/>
      <c r="DI49" s="231"/>
      <c r="DJ49" s="313"/>
      <c r="DK49" s="311"/>
      <c r="DL49" s="300"/>
      <c r="DM49" s="302"/>
      <c r="DN49" s="224"/>
      <c r="DO49" s="228"/>
      <c r="DP49" s="315"/>
      <c r="DQ49" s="316"/>
      <c r="DR49" s="228"/>
      <c r="DS49" s="231"/>
      <c r="DT49" s="313"/>
      <c r="DU49" s="311"/>
      <c r="DV49" s="300"/>
      <c r="DW49" s="302"/>
      <c r="DX49" s="224"/>
      <c r="DY49" s="228"/>
      <c r="DZ49" s="306"/>
      <c r="EA49" s="302"/>
      <c r="EB49" s="228"/>
      <c r="EC49" s="231"/>
      <c r="ED49" s="313"/>
      <c r="EE49" s="311"/>
      <c r="EF49" s="300"/>
      <c r="EG49" s="302"/>
      <c r="EH49" s="224"/>
      <c r="EI49" s="228"/>
      <c r="EJ49" s="306"/>
      <c r="EK49" s="302"/>
      <c r="EL49" s="228"/>
      <c r="EM49" s="231"/>
      <c r="EN49" s="313"/>
      <c r="EO49" s="311"/>
      <c r="EP49" s="300"/>
      <c r="EQ49" s="302"/>
      <c r="ER49" s="224"/>
      <c r="ES49" s="228"/>
      <c r="ET49" s="306"/>
      <c r="EU49" s="302"/>
      <c r="EV49" s="228"/>
      <c r="EW49" s="231"/>
      <c r="EX49" s="313"/>
      <c r="EY49" s="311"/>
      <c r="EZ49" s="300"/>
      <c r="FA49" s="302"/>
      <c r="FB49" s="224"/>
      <c r="FC49" s="228"/>
      <c r="FD49" s="306"/>
      <c r="FE49" s="302"/>
      <c r="FF49" s="228"/>
      <c r="FG49" s="231"/>
      <c r="FH49" s="313"/>
      <c r="FI49" s="311"/>
      <c r="FJ49" s="300"/>
      <c r="FK49" s="302"/>
      <c r="FL49" s="224"/>
      <c r="FM49" s="228"/>
      <c r="FN49" s="306"/>
      <c r="FO49" s="302"/>
      <c r="FP49" s="228"/>
      <c r="FQ49" s="231"/>
      <c r="FR49" s="313"/>
      <c r="FS49" s="311"/>
      <c r="FT49" s="300"/>
      <c r="FU49" s="302"/>
      <c r="FV49" s="224"/>
      <c r="FW49" s="228"/>
      <c r="FX49" s="306"/>
      <c r="FY49" s="302"/>
      <c r="FZ49" s="228"/>
      <c r="GA49" s="231"/>
      <c r="GB49" s="313"/>
      <c r="GC49" s="311"/>
      <c r="GD49" s="300"/>
      <c r="GE49" s="302"/>
      <c r="GF49" s="224"/>
      <c r="GG49" s="228"/>
      <c r="GH49" s="306"/>
      <c r="GI49" s="302"/>
      <c r="GJ49" s="228"/>
      <c r="GK49" s="231"/>
      <c r="GL49" s="313"/>
      <c r="GM49" s="311"/>
      <c r="GN49" s="300"/>
      <c r="GO49" s="302"/>
      <c r="GP49" s="224"/>
      <c r="GQ49" s="228"/>
      <c r="GR49" s="306"/>
      <c r="GS49" s="302"/>
      <c r="GT49" s="228"/>
      <c r="GU49" s="231"/>
      <c r="GV49" s="313"/>
      <c r="GW49" s="311"/>
    </row>
    <row r="50" spans="1:235" s="186" customFormat="1" ht="15" x14ac:dyDescent="0.2">
      <c r="A50" s="2"/>
      <c r="B50" s="78"/>
      <c r="C50" s="220" t="s">
        <v>87</v>
      </c>
      <c r="D50" s="228"/>
      <c r="E50" s="233"/>
      <c r="F50" s="253">
        <f>AVERAGE(F41,F45,F49)</f>
        <v>107.96078431372557</v>
      </c>
      <c r="G50" s="253">
        <f>AVERAGE(G41,G45,G49)</f>
        <v>72.169934640522726</v>
      </c>
      <c r="H50" s="224"/>
      <c r="I50" s="231"/>
      <c r="J50" s="250">
        <f>AVERAGE(J41,J49)</f>
        <v>414.99999999999989</v>
      </c>
      <c r="K50" s="249">
        <f>AVERAGE(K45,K49)</f>
        <v>24.000000000000053</v>
      </c>
      <c r="L50" s="228"/>
      <c r="M50" s="228"/>
      <c r="N50" s="250">
        <f>AVERAGE(N41,N45)</f>
        <v>522.00000000000023</v>
      </c>
      <c r="O50" s="254">
        <f>AVERAGE(O41,O49)</f>
        <v>17.000000000000028</v>
      </c>
      <c r="P50" s="247">
        <f>AVERAGE(P41,P45)</f>
        <v>130.00000000000014</v>
      </c>
      <c r="Q50" s="249">
        <f>AVERAGE(Q41,Q45)</f>
        <v>12.5</v>
      </c>
      <c r="R50" s="224"/>
      <c r="S50" s="228"/>
      <c r="T50" s="248">
        <f>AVERAGE(T41,T49)</f>
        <v>227.49999999999986</v>
      </c>
      <c r="U50" s="249">
        <f>AVERAGE(U41,U49)</f>
        <v>89.999999999999858</v>
      </c>
      <c r="V50" s="228"/>
      <c r="W50" s="231"/>
      <c r="X50" s="247">
        <f>AVERAGE(X41,X45)</f>
        <v>209.9999999999998</v>
      </c>
      <c r="Y50" s="254">
        <f>AVERAGE(Y41,Y49)</f>
        <v>19.999999999999929</v>
      </c>
      <c r="Z50" s="253">
        <f>AVERAGE(Z41,Z45)</f>
        <v>454.5454545454545</v>
      </c>
      <c r="AA50" s="255">
        <f>AVERAGE(AA41,AA45)</f>
        <v>65.454545454545737</v>
      </c>
      <c r="AB50" s="224"/>
      <c r="AC50" s="231"/>
      <c r="AD50" s="224">
        <f>AVERAGE(AD41,AD45)</f>
        <v>370.00000000000028</v>
      </c>
      <c r="AE50" s="231">
        <f>AVERAGE(AE41,AE45)</f>
        <v>74.999999999998579</v>
      </c>
      <c r="AF50" s="224"/>
      <c r="AG50" s="231"/>
      <c r="AH50" s="253">
        <f>AVERAGE(AH41,AH45)</f>
        <v>333.33333333333331</v>
      </c>
      <c r="AI50" s="233">
        <f>AVERAGE(AI41,AI45)</f>
        <v>95.000000000000028</v>
      </c>
      <c r="AJ50" s="253">
        <f>AVERAGE(AJ41,AJ45)</f>
        <v>635.22727272727252</v>
      </c>
      <c r="AK50" s="255">
        <f>AVERAGE(AK41,AK45)</f>
        <v>63.636363636363896</v>
      </c>
      <c r="AL50" s="224"/>
      <c r="AM50" s="231"/>
      <c r="AN50" s="224">
        <f>AVERAGE(AN41,AN45)</f>
        <v>414.99999999999841</v>
      </c>
      <c r="AO50" s="255">
        <f>AVERAGE(AO41,AO45)</f>
        <v>33.33333333333286</v>
      </c>
      <c r="AP50" s="224"/>
      <c r="AQ50" s="231"/>
      <c r="AR50" s="253">
        <f>AVERAGE(AR41,AR45)</f>
        <v>517.42424242424147</v>
      </c>
      <c r="AS50" s="257">
        <f>AVERAGE(AS41,AS45)</f>
        <v>63.181818181817434</v>
      </c>
      <c r="AT50" s="253">
        <f>AVERAGE(AT41,AT45)</f>
        <v>593.18181818181893</v>
      </c>
      <c r="AU50" s="255">
        <f>AVERAGE(AU41,AU45)</f>
        <v>86.363636363635578</v>
      </c>
      <c r="AV50" s="228"/>
      <c r="AW50" s="231"/>
      <c r="AX50" s="248">
        <f>AVERAGE(AX41,AX45)</f>
        <v>460.90909090909042</v>
      </c>
      <c r="AY50" s="253">
        <f>AVERAGE(AY41,AY45)</f>
        <v>36.363636363638172</v>
      </c>
      <c r="AZ50" s="224"/>
      <c r="BA50" s="231"/>
      <c r="BB50" s="253">
        <f>AVERAGE(BB41,BB45)</f>
        <v>384.99999999999943</v>
      </c>
      <c r="BC50" s="257">
        <f>AVERAGE(BC41,BC45)</f>
        <v>70.000000000000284</v>
      </c>
      <c r="BD50" s="253">
        <f>AVERAGE(BD41,BD45)</f>
        <v>126.1437908496742</v>
      </c>
      <c r="BE50" s="255">
        <f>AVERAGE(BE41,BE45)</f>
        <v>47.058823529410766</v>
      </c>
      <c r="BF50" s="228"/>
      <c r="BG50" s="228"/>
      <c r="BH50" s="248">
        <f>AVERAGE(BH41,BH45)</f>
        <v>587.12121212121212</v>
      </c>
      <c r="BI50" s="255">
        <f>AVERAGE(BI41,BI45)</f>
        <v>125.00000000000142</v>
      </c>
      <c r="BJ50" s="228"/>
      <c r="BK50" s="231"/>
      <c r="BL50" s="253">
        <f>AVERAGE(BL41,BL45)</f>
        <v>364.70588235294053</v>
      </c>
      <c r="BM50" s="257">
        <f>AVERAGE(BM41,BM45)</f>
        <v>17.647058823528408</v>
      </c>
      <c r="BN50" s="253">
        <f>AVERAGE(BN41,BN45)</f>
        <v>541.66666666666549</v>
      </c>
      <c r="BO50" s="255">
        <f>AVERAGE(BO41,BO45)</f>
        <v>39.090909090908291</v>
      </c>
      <c r="BP50" s="228"/>
      <c r="BQ50" s="231"/>
      <c r="BR50" s="248">
        <f>AVERAGE(BR41,BR45)</f>
        <v>501.66666666666799</v>
      </c>
      <c r="BS50" s="253">
        <f>AVERAGE(BS41,BS45)</f>
        <v>54.545454545455321</v>
      </c>
      <c r="BT50" s="224"/>
      <c r="BU50" s="228"/>
      <c r="BV50" s="248">
        <f>AVERAGE(BV41,BV45)</f>
        <v>679.16666666666697</v>
      </c>
      <c r="BW50" s="253">
        <f>AVERAGE(BW41,BW45)</f>
        <v>50.000000000001037</v>
      </c>
      <c r="BX50" s="248">
        <f>AVERAGE(BX41,BX45)</f>
        <v>279.09090909090963</v>
      </c>
      <c r="BY50" s="249">
        <f>AVERAGE(BY41)</f>
        <v>81.818181818182339</v>
      </c>
      <c r="BZ50" s="228"/>
      <c r="CA50" s="228"/>
      <c r="CB50" s="306">
        <f>AVERAGE(CB41,CB45)</f>
        <v>370.00000000000028</v>
      </c>
      <c r="CC50" s="305">
        <f>AVERAGE(CC41)</f>
        <v>60.000000000002274</v>
      </c>
      <c r="CD50" s="228"/>
      <c r="CE50" s="231"/>
      <c r="CF50" s="253">
        <f>AVERAGE(CF41,CF45,CF49)</f>
        <v>419.19191919191877</v>
      </c>
      <c r="CG50" s="254">
        <f>CG41</f>
        <v>36.363636363636878</v>
      </c>
      <c r="CH50" s="253">
        <f>AVERAGE(CH41,CH45,CH49)</f>
        <v>840.00000000000057</v>
      </c>
      <c r="CI50" s="251">
        <f>AVERAGE(CI41,CI45)</f>
        <v>105.00000000000114</v>
      </c>
      <c r="CJ50" s="253"/>
      <c r="CK50" s="255"/>
      <c r="CL50" s="248">
        <f>AVERAGE(CL41,CL45)</f>
        <v>675</v>
      </c>
      <c r="CM50" s="255">
        <f>AVERAGE(CM41,CM45)</f>
        <v>155.00000000000114</v>
      </c>
      <c r="CN50" s="317"/>
      <c r="CO50" s="284"/>
      <c r="CP50" s="253">
        <f>AVERAGE(CP41,CP45,CP49)</f>
        <v>1226.6666666666672</v>
      </c>
      <c r="CQ50" s="257">
        <f>AVERAGE(CQ41,CQ45,CQ49)</f>
        <v>29.646464646463752</v>
      </c>
      <c r="CR50" s="253">
        <f>AVERAGE(CR41,CR45)</f>
        <v>909.09090909090912</v>
      </c>
      <c r="CS50" s="231">
        <f>AVERAGE(CS41,CS45)</f>
        <v>109.99999999999943</v>
      </c>
      <c r="CT50" s="224"/>
      <c r="CU50" s="231"/>
      <c r="CV50" s="248">
        <f>AVERAGE(CV41,CV45)</f>
        <v>1115.8333333333339</v>
      </c>
      <c r="CW50" s="228">
        <f>AVERAGE(CW41,CW45)</f>
        <v>129.99999999999972</v>
      </c>
      <c r="CX50" s="224"/>
      <c r="CY50" s="231"/>
      <c r="CZ50" s="228">
        <f>AVERAGE(CZ41,CZ45)</f>
        <v>1449.9999999999986</v>
      </c>
      <c r="DA50" s="233">
        <f>AVERAGE(DA41,DA45)</f>
        <v>69.999999999998863</v>
      </c>
      <c r="DB50" s="253">
        <f>AVERAGE(DB41,DB45,DB49)</f>
        <v>3755.909090909091</v>
      </c>
      <c r="DC50" s="255">
        <f>AVERAGE(DC41,DC45,DC49)</f>
        <v>36.363636363636878</v>
      </c>
      <c r="DD50" s="224"/>
      <c r="DE50" s="228"/>
      <c r="DF50" s="248">
        <f>AVERAGE(DF41,DF45,DF49)</f>
        <v>704.99999999999977</v>
      </c>
      <c r="DG50" s="255">
        <f>AVERAGE(DG41,DG45,DG49)</f>
        <v>160.00000000000085</v>
      </c>
      <c r="DH50" s="228"/>
      <c r="DI50" s="231"/>
      <c r="DJ50" s="253">
        <f>AVERAGE(DJ41,DJ45)</f>
        <v>930.45454545454538</v>
      </c>
      <c r="DK50" s="257">
        <f>AVERAGE(DK41,DK45)</f>
        <v>27.727272727273863</v>
      </c>
      <c r="DL50" s="253">
        <f>AVERAGE(DL41,DL45,DL49)</f>
        <v>540.45454545454572</v>
      </c>
      <c r="DM50" s="255">
        <f>AVERAGE(DM41,DM45,DM49)</f>
        <v>55.000000000001137</v>
      </c>
      <c r="DN50" s="224"/>
      <c r="DO50" s="228"/>
      <c r="DP50" s="248">
        <f>AVERAGE(DP41,DP45,DP49)</f>
        <v>1735.0000000000009</v>
      </c>
      <c r="DQ50" s="255">
        <f>AVERAGE(DQ41,DQ45)</f>
        <v>61.363636363635585</v>
      </c>
      <c r="DR50" s="228"/>
      <c r="DS50" s="231"/>
      <c r="DT50" s="253">
        <f>AVERAGE(DT41,DT45)</f>
        <v>498.33333333333485</v>
      </c>
      <c r="DU50" s="257">
        <f>AVERAGE(DU41,DU45)</f>
        <v>95.909090909090878</v>
      </c>
      <c r="DV50" s="253">
        <f>AVERAGE(DV41,DV45,DV49)</f>
        <v>1363.3333333333335</v>
      </c>
      <c r="DW50" s="255">
        <f>AVERAGE(DW41,DW45,DW49)</f>
        <v>31.060606060605586</v>
      </c>
      <c r="DX50" s="224"/>
      <c r="DY50" s="228"/>
      <c r="DZ50" s="248">
        <f>AVERAGE(DZ41,DZ45,DZ49)</f>
        <v>1434.9999999999995</v>
      </c>
      <c r="EA50" s="255">
        <f>AVERAGE(EA41,EA45)</f>
        <v>39.999999999999147</v>
      </c>
      <c r="EB50" s="228"/>
      <c r="EC50" s="231"/>
      <c r="ED50" s="253">
        <f>AVERAGE(ED41,ED45)</f>
        <v>840.00000000000057</v>
      </c>
      <c r="EE50" s="257">
        <f>AVERAGE(EE41,EE45)</f>
        <v>64.999999999999147</v>
      </c>
      <c r="EF50" s="253">
        <f>AVERAGE(EF41,EF45,EF49)</f>
        <v>1049.1666666666672</v>
      </c>
      <c r="EG50" s="255">
        <f>AVERAGE(EG41,EG45,EG49)</f>
        <v>79.166666666667126</v>
      </c>
      <c r="EH50" s="224"/>
      <c r="EI50" s="228"/>
      <c r="EJ50" s="248">
        <f>AVERAGE(EJ41,EJ45,EJ49)</f>
        <v>2029.9999999999998</v>
      </c>
      <c r="EK50" s="255">
        <f>AVERAGE(EK41,EK45)</f>
        <v>54.999999999998295</v>
      </c>
      <c r="EL50" s="228"/>
      <c r="EM50" s="231"/>
      <c r="EN50" s="253">
        <f>AVERAGE(EN41,EN45)</f>
        <v>1909.9999999999995</v>
      </c>
      <c r="EO50" s="257">
        <f>AVERAGE(EO41,EO45)</f>
        <v>29.999999999999716</v>
      </c>
      <c r="EP50" s="253">
        <f>AVERAGE(EP41,EP45,EP49)</f>
        <v>2540.0000000000005</v>
      </c>
      <c r="EQ50" s="255">
        <f>AVERAGE(EQ41,EQ45,EQ49)</f>
        <v>15.000000000000568</v>
      </c>
      <c r="ER50" s="224"/>
      <c r="ES50" s="228"/>
      <c r="ET50" s="248">
        <f>AVERAGE(ET41,ET45,ET49)</f>
        <v>945.00000000000023</v>
      </c>
      <c r="EU50" s="255">
        <f>AVERAGE(EU41,EU45)</f>
        <v>150.00000000000142</v>
      </c>
      <c r="EV50" s="228"/>
      <c r="EW50" s="231"/>
      <c r="EX50" s="253">
        <f>AVERAGE(EX41,EX45)</f>
        <v>4330</v>
      </c>
      <c r="EY50" s="257">
        <f>AVERAGE(EY41,EY45)</f>
        <v>44.999999999998863</v>
      </c>
      <c r="EZ50" s="253">
        <f>AVERAGE(EZ41,EZ45,EZ49)</f>
        <v>5689.9999999999982</v>
      </c>
      <c r="FA50" s="255">
        <f>AVERAGE(FA41,FA45,FA49)</f>
        <v>20.000000000000284</v>
      </c>
      <c r="FB50" s="224"/>
      <c r="FC50" s="228"/>
      <c r="FD50" s="248">
        <f>AVERAGE(FD41,FD45,FD49)</f>
        <v>664.99999999999909</v>
      </c>
      <c r="FE50" s="255">
        <f>AVERAGE(FE41,FE45)</f>
        <v>104.99999999999972</v>
      </c>
      <c r="FF50" s="228"/>
      <c r="FG50" s="231"/>
      <c r="FH50" s="253">
        <f>AVERAGE(FH41,FH45)</f>
        <v>1745.0000000000002</v>
      </c>
      <c r="FI50" s="257">
        <f>AVERAGE(FI41,FI45)</f>
        <v>60.000000000000853</v>
      </c>
      <c r="FJ50" s="253">
        <f>AVERAGE(FJ41,FJ45,FJ49)</f>
        <v>759.99999999999943</v>
      </c>
      <c r="FK50" s="255">
        <f>AVERAGE(FK41,FK45,FK49)</f>
        <v>34.999999999999432</v>
      </c>
      <c r="FL50" s="224"/>
      <c r="FM50" s="228"/>
      <c r="FN50" s="248">
        <f>AVERAGE(FN41,FN45,FN49)</f>
        <v>1204.9999999999998</v>
      </c>
      <c r="FO50" s="255">
        <f>AVERAGE(FO41,FO45)</f>
        <v>54.999999999999716</v>
      </c>
      <c r="FP50" s="228"/>
      <c r="FQ50" s="231"/>
      <c r="FR50" s="253">
        <f>AVERAGE(FR41,FR45)</f>
        <v>1150</v>
      </c>
      <c r="FS50" s="257">
        <f>AVERAGE(FS41,FS45)</f>
        <v>14.999999999999147</v>
      </c>
      <c r="FT50" s="253">
        <f>AVERAGE(FT41,FT45,FT49)</f>
        <v>8200.0000000000018</v>
      </c>
      <c r="FU50" s="255">
        <f>AVERAGE(FU41,FU45,FU49)</f>
        <v>59.999999999999432</v>
      </c>
      <c r="FV50" s="224"/>
      <c r="FW50" s="228"/>
      <c r="FX50" s="248">
        <f>AVERAGE(FX41,FX45,FX49)</f>
        <v>2410.0000000000009</v>
      </c>
      <c r="FY50" s="255">
        <f>AVERAGE(FY41,FY45)</f>
        <v>39.999999999999147</v>
      </c>
      <c r="FZ50" s="228"/>
      <c r="GA50" s="231"/>
      <c r="GB50" s="253">
        <f>AVERAGE(GB41,GB45)</f>
        <v>894.99999999999886</v>
      </c>
      <c r="GC50" s="257">
        <f>AVERAGE(GC41,GC45)</f>
        <v>20.000000000001705</v>
      </c>
      <c r="GD50" s="253">
        <f>AVERAGE(GD41,GD45,GD49)</f>
        <v>4994.9999999999982</v>
      </c>
      <c r="GE50" s="255">
        <f>AVERAGE(GE41,GE45,GE49)</f>
        <v>34.999999999999432</v>
      </c>
      <c r="GF50" s="224"/>
      <c r="GG50" s="228"/>
      <c r="GH50" s="248">
        <f>AVERAGE(GH41,GH45,GH49)</f>
        <v>401.8181818181821</v>
      </c>
      <c r="GI50" s="255">
        <f>AVERAGE(GI41,GI45)</f>
        <v>59.090909090909605</v>
      </c>
      <c r="GJ50" s="228"/>
      <c r="GK50" s="231"/>
      <c r="GL50" s="253">
        <f>AVERAGE(GL41,GL45)</f>
        <v>575</v>
      </c>
      <c r="GM50" s="257">
        <f>AVERAGE(GM41,GM45)</f>
        <v>152.27272727272805</v>
      </c>
      <c r="GN50" s="253">
        <f>AVERAGE(GN41,GN45,GN49)</f>
        <v>313.18181818181677</v>
      </c>
      <c r="GO50" s="255">
        <f>AVERAGE(GO41,GO45,GO49)</f>
        <v>40.00000000000199</v>
      </c>
      <c r="GP50" s="224"/>
      <c r="GQ50" s="228"/>
      <c r="GR50" s="248">
        <f>AVERAGE(GR41,GR45,GR49)</f>
        <v>369.11764705882308</v>
      </c>
      <c r="GS50" s="255">
        <f>AVERAGE(GS41,GS45)</f>
        <v>116.66666666666674</v>
      </c>
      <c r="GT50" s="228"/>
      <c r="GU50" s="231"/>
      <c r="GV50" s="253">
        <f>AVERAGE(GV41,GV45)</f>
        <v>594.95798319327605</v>
      </c>
      <c r="GW50" s="257">
        <f>AVERAGE(GW41,GW45)</f>
        <v>102.38095238095332</v>
      </c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</row>
    <row r="51" spans="1:235" x14ac:dyDescent="0.2">
      <c r="A51" s="2"/>
      <c r="B51" s="3"/>
      <c r="C51" s="23" t="s">
        <v>88</v>
      </c>
      <c r="D51" s="210"/>
      <c r="E51" s="295"/>
      <c r="F51" s="6">
        <f>STDEV(F41,F45,F49)</f>
        <v>15.107610920585648</v>
      </c>
      <c r="G51" s="6">
        <f>STDEV(G41,G45,G49)</f>
        <v>3.6202542989804387</v>
      </c>
      <c r="H51" s="214"/>
      <c r="I51" s="211"/>
      <c r="J51" s="35">
        <f>STDEV(J41,J49)</f>
        <v>1.4142135623728136</v>
      </c>
      <c r="K51" s="26">
        <f>STDEV(K45,K49)</f>
        <v>0</v>
      </c>
      <c r="L51" s="210"/>
      <c r="M51" s="210"/>
      <c r="N51" s="25">
        <f>STDEV(N41,N45)</f>
        <v>39.59797974644642</v>
      </c>
      <c r="O51" s="30">
        <f>STDEV(O41,O49)</f>
        <v>4.2426406871192448</v>
      </c>
      <c r="P51" s="9">
        <f>STDEV(P41,P45)</f>
        <v>5.6568542494926612</v>
      </c>
      <c r="Q51" s="26">
        <f>STDEV(Q41,Q45)</f>
        <v>3.5355339059325366</v>
      </c>
      <c r="R51" s="214"/>
      <c r="S51" s="210"/>
      <c r="T51" s="25">
        <f>STDEV(T41,T45,T50)</f>
        <v>6.614378277661503</v>
      </c>
      <c r="U51" s="26">
        <f>STDEV(U41,U49)</f>
        <v>14.142135623731209</v>
      </c>
      <c r="V51" s="297"/>
      <c r="W51" s="298"/>
      <c r="X51" s="9">
        <f>STDEV(X41,X45)</f>
        <v>14.142135623730669</v>
      </c>
      <c r="Y51" s="30">
        <f>STDEV(Y41,Y49)</f>
        <v>5.0242958677880804E-13</v>
      </c>
      <c r="Z51" s="9">
        <f>STDEV(Z41,Z45)</f>
        <v>64.282434653322525</v>
      </c>
      <c r="AA51" s="26">
        <f>STDEV(AA41,AA45)</f>
        <v>35.998163405860211</v>
      </c>
      <c r="AB51" s="214"/>
      <c r="AC51" s="211"/>
      <c r="AD51" s="25">
        <f>STDEV(AD41,AD45)</f>
        <v>42.426406871192448</v>
      </c>
      <c r="AE51" s="26">
        <f>STDEV(AE41,AE45)</f>
        <v>63.639610306789677</v>
      </c>
      <c r="AF51" s="296"/>
      <c r="AG51" s="298"/>
      <c r="AH51" s="9">
        <f>STDEV(AH41,AH45)</f>
        <v>35.355339059328664</v>
      </c>
      <c r="AI51" s="30">
        <f>STDEV(AI41,AI45)</f>
        <v>7.0710678118647117</v>
      </c>
      <c r="AJ51" s="9">
        <f>STDEV(AJ41,AJ45)</f>
        <v>14.46354779699719</v>
      </c>
      <c r="AK51" s="26">
        <f>STDEV(AK41,AK45)</f>
        <v>25.71297386132936</v>
      </c>
      <c r="AL51" s="214"/>
      <c r="AM51" s="211"/>
      <c r="AN51" s="25">
        <f>STDEV(AN41,AN45)</f>
        <v>21.213203435596224</v>
      </c>
      <c r="AO51" s="26">
        <f>STDEV(AO41,AO45)</f>
        <v>23.57022603955226</v>
      </c>
      <c r="AP51" s="296"/>
      <c r="AQ51" s="298"/>
      <c r="AR51" s="9">
        <f>STDEV(AR41,AR45)</f>
        <v>1.0713739108886986</v>
      </c>
      <c r="AS51" s="30">
        <f>STDEV(AS41,AS45)</f>
        <v>37.926636445462144</v>
      </c>
      <c r="AT51" s="9">
        <f>STDEV(AT41,AT45)</f>
        <v>80.353043316653441</v>
      </c>
      <c r="AU51" s="26">
        <f>STDEV(AU41,AU45)</f>
        <v>19.28473039599788</v>
      </c>
      <c r="AV51" s="297"/>
      <c r="AW51" s="298"/>
      <c r="AX51" s="25">
        <f>STDEV(AX41,AX45)</f>
        <v>29.56991994052682</v>
      </c>
      <c r="AY51" s="9">
        <f>STDEV(AY41,AY45)</f>
        <v>25.712973861329377</v>
      </c>
      <c r="AZ51" s="214"/>
      <c r="BA51" s="211"/>
      <c r="BB51" s="9">
        <f>STDEV(BB41,BB45)</f>
        <v>120.20815280171236</v>
      </c>
      <c r="BC51" s="30">
        <f>STDEV(BC41,BC45)</f>
        <v>28.284271247462286</v>
      </c>
      <c r="BD51" s="9">
        <f>STDEV(BD41,BD45)</f>
        <v>21.259419565087107</v>
      </c>
      <c r="BE51" s="26">
        <f>STDEV(BE41,BE45)</f>
        <v>33.275613232308601</v>
      </c>
      <c r="BF51" s="297"/>
      <c r="BG51" s="297"/>
      <c r="BH51" s="25">
        <f>STDEV(BH41,BH45)</f>
        <v>5.3568695544434934</v>
      </c>
      <c r="BI51" s="26">
        <f>STDEV(BI41,BI45)</f>
        <v>49.497474683059536</v>
      </c>
      <c r="BJ51" s="210"/>
      <c r="BK51" s="211"/>
      <c r="BL51" s="2"/>
      <c r="BM51" s="4"/>
      <c r="BN51" s="2"/>
      <c r="BO51" s="28"/>
      <c r="BP51" s="210"/>
      <c r="BQ51" s="211"/>
      <c r="BR51" s="3"/>
      <c r="BS51" s="2"/>
      <c r="BT51" s="214"/>
      <c r="BU51" s="210"/>
      <c r="BV51" s="3"/>
      <c r="BW51" s="2"/>
      <c r="BX51" s="3"/>
      <c r="BY51" s="28"/>
      <c r="BZ51" s="210"/>
      <c r="CA51" s="210"/>
      <c r="CB51" s="3"/>
      <c r="CC51" s="28"/>
      <c r="CD51" s="210"/>
      <c r="CE51" s="211"/>
      <c r="CF51" s="62">
        <f>STDEV(CF41,CF45,CF49)</f>
        <v>64.306238555138677</v>
      </c>
      <c r="CG51" s="83">
        <f>STDEV(CG41,CG45,CG49)</f>
        <v>20.994555243259416</v>
      </c>
      <c r="CH51" s="62">
        <f>STDEV(CH41,CH45)</f>
        <v>127.27922061357947</v>
      </c>
      <c r="CI51" s="74">
        <f>STDEV(CI41,CI45)</f>
        <v>35.355339059327378</v>
      </c>
      <c r="CJ51" s="210"/>
      <c r="CK51" s="211"/>
      <c r="CL51" s="3"/>
      <c r="CM51" s="28"/>
      <c r="CN51" s="214"/>
      <c r="CO51" s="211"/>
      <c r="CP51" s="2"/>
      <c r="CQ51" s="4"/>
      <c r="CR51" s="2"/>
      <c r="CS51" s="28"/>
      <c r="CT51" s="214"/>
      <c r="CU51" s="211"/>
      <c r="CV51" s="3"/>
      <c r="CW51" s="2"/>
      <c r="CX51" s="214"/>
      <c r="CY51" s="211"/>
      <c r="CZ51" s="2"/>
      <c r="DA51" s="4"/>
      <c r="DB51" s="2"/>
      <c r="DC51" s="28"/>
      <c r="DD51" s="214"/>
      <c r="DE51" s="210"/>
      <c r="DF51" s="3"/>
      <c r="DG51" s="28"/>
      <c r="DH51" s="210"/>
      <c r="DI51" s="211"/>
      <c r="DJ51" s="2"/>
      <c r="DK51" s="4"/>
      <c r="DL51" s="2"/>
      <c r="DM51" s="28"/>
      <c r="DN51" s="214"/>
      <c r="DO51" s="210"/>
      <c r="DP51" s="25"/>
      <c r="DQ51" s="26"/>
      <c r="DR51" s="210"/>
      <c r="DS51" s="211"/>
      <c r="DT51" s="2"/>
      <c r="DU51" s="4"/>
      <c r="DV51" s="2"/>
      <c r="DW51" s="28"/>
      <c r="DX51" s="214"/>
      <c r="DY51" s="210"/>
      <c r="DZ51" s="3"/>
      <c r="EA51" s="28"/>
      <c r="EB51" s="210"/>
      <c r="EC51" s="211"/>
      <c r="ED51" s="2"/>
      <c r="EE51" s="4"/>
      <c r="EF51" s="2"/>
      <c r="EG51" s="28"/>
      <c r="EH51" s="214"/>
      <c r="EI51" s="210"/>
      <c r="EJ51" s="3"/>
      <c r="EK51" s="28"/>
      <c r="EL51" s="210"/>
      <c r="EM51" s="211"/>
      <c r="EN51" s="2"/>
      <c r="EO51" s="4"/>
      <c r="EP51" s="2"/>
      <c r="EQ51" s="28"/>
      <c r="ER51" s="214"/>
      <c r="ES51" s="210"/>
      <c r="ET51" s="3"/>
      <c r="EU51" s="28"/>
      <c r="EV51" s="210"/>
      <c r="EW51" s="211"/>
      <c r="EX51" s="2"/>
      <c r="EY51" s="4"/>
      <c r="EZ51" s="2"/>
      <c r="FA51" s="28"/>
      <c r="FB51" s="214"/>
      <c r="FC51" s="210"/>
      <c r="FD51" s="3"/>
      <c r="FE51" s="28"/>
      <c r="FF51" s="210"/>
      <c r="FG51" s="211"/>
      <c r="FH51" s="2"/>
      <c r="FI51" s="4"/>
      <c r="FJ51" s="2"/>
      <c r="FK51" s="28"/>
      <c r="FL51" s="214"/>
      <c r="FM51" s="210"/>
      <c r="FN51" s="3"/>
      <c r="FO51" s="28"/>
      <c r="FP51" s="210"/>
      <c r="FQ51" s="211"/>
      <c r="FR51" s="2"/>
      <c r="FS51" s="4"/>
      <c r="FT51" s="2"/>
      <c r="FU51" s="28"/>
      <c r="FV51" s="214"/>
      <c r="FW51" s="210"/>
      <c r="FX51" s="3"/>
      <c r="FY51" s="28"/>
      <c r="FZ51" s="210"/>
      <c r="GA51" s="211"/>
      <c r="GB51" s="2"/>
      <c r="GC51" s="4"/>
      <c r="GD51" s="2"/>
      <c r="GE51" s="28"/>
      <c r="GF51" s="214"/>
      <c r="GG51" s="210"/>
      <c r="GH51" s="3"/>
      <c r="GI51" s="28"/>
      <c r="GJ51" s="210"/>
      <c r="GK51" s="211"/>
      <c r="GL51" s="2"/>
      <c r="GM51" s="4"/>
      <c r="GN51" s="2"/>
      <c r="GO51" s="28"/>
      <c r="GP51" s="214"/>
      <c r="GQ51" s="210"/>
      <c r="GR51" s="3"/>
      <c r="GS51" s="28"/>
      <c r="GT51" s="210"/>
      <c r="GU51" s="211"/>
      <c r="GV51" s="2"/>
      <c r="GW51" s="4"/>
    </row>
    <row r="52" spans="1:235" x14ac:dyDescent="0.2">
      <c r="A52" s="2"/>
      <c r="B52" s="3"/>
      <c r="C52" s="318" t="s">
        <v>97</v>
      </c>
      <c r="D52" s="1028"/>
      <c r="E52" s="1029"/>
      <c r="F52" s="1021">
        <f>((F50-G50)/(F50))*100</f>
        <v>33.151713282479903</v>
      </c>
      <c r="G52" s="1022"/>
      <c r="H52" s="1030"/>
      <c r="I52" s="1031"/>
      <c r="J52" s="1025">
        <f>((J50-K50)/(J50))*100</f>
        <v>94.216867469879503</v>
      </c>
      <c r="K52" s="1022"/>
      <c r="L52" s="1030"/>
      <c r="M52" s="1031"/>
      <c r="N52" s="1025">
        <f>((N50-O50)/(N50))*100</f>
        <v>96.743295019157088</v>
      </c>
      <c r="O52" s="1026"/>
      <c r="P52" s="1021">
        <f>((P50-Q50)/(P50))*100</f>
        <v>90.384615384615401</v>
      </c>
      <c r="Q52" s="1022"/>
      <c r="R52" s="261"/>
      <c r="S52" s="263"/>
      <c r="T52" s="1023">
        <f>((T50-U50)/(T50))*100</f>
        <v>60.439560439560481</v>
      </c>
      <c r="U52" s="1024"/>
      <c r="V52" s="263"/>
      <c r="W52" s="262"/>
      <c r="X52" s="1025">
        <f>((X50-Y50)/(X50))*100</f>
        <v>90.47619047619051</v>
      </c>
      <c r="Y52" s="1026"/>
      <c r="Z52" s="1027">
        <f>((Z50-AA50)/(Z50))*100</f>
        <v>85.599999999999937</v>
      </c>
      <c r="AA52" s="1022"/>
      <c r="AB52" s="261"/>
      <c r="AC52" s="262"/>
      <c r="AD52" s="1025">
        <f>((AD50-AE50)/(AD50))*100</f>
        <v>79.729729729730124</v>
      </c>
      <c r="AE52" s="1022"/>
      <c r="AF52" s="261"/>
      <c r="AG52" s="262"/>
      <c r="AH52" s="1025">
        <f>((AH50-AI50)/(AH50))*100</f>
        <v>71.499999999999986</v>
      </c>
      <c r="AI52" s="1026"/>
      <c r="AJ52" s="1027">
        <f>((AJ50-AK50)/(AJ50))*100</f>
        <v>89.982110912343444</v>
      </c>
      <c r="AK52" s="1022"/>
      <c r="AL52" s="238"/>
      <c r="AM52" s="239"/>
      <c r="AN52" s="1025">
        <f>((AN50-AO50)/(AN50))*100</f>
        <v>91.96787148594386</v>
      </c>
      <c r="AO52" s="1022"/>
      <c r="AP52" s="238"/>
      <c r="AQ52" s="239"/>
      <c r="AR52" s="1025">
        <f>((AR50-AS50)/(AR50))*100</f>
        <v>87.789165446559409</v>
      </c>
      <c r="AS52" s="1026"/>
      <c r="AT52" s="1027">
        <f>((AT50-AU50)/(AT50))*100</f>
        <v>85.440613026820074</v>
      </c>
      <c r="AU52" s="1022"/>
      <c r="AV52" s="319"/>
      <c r="AW52" s="320"/>
      <c r="AX52" s="1034">
        <f>((AX50-AY50)/(AX50))*100</f>
        <v>92.110453648914785</v>
      </c>
      <c r="AY52" s="1035"/>
      <c r="AZ52" s="321"/>
      <c r="BA52" s="320"/>
      <c r="BB52" s="1025">
        <f>((BB50-BC50)/(BB50))*100</f>
        <v>81.818181818181714</v>
      </c>
      <c r="BC52" s="1026"/>
      <c r="BD52" s="1032">
        <f>((BD50-BE50)/(BD50))*100</f>
        <v>62.694300518135805</v>
      </c>
      <c r="BE52" s="1033"/>
      <c r="BF52" s="319"/>
      <c r="BG52" s="319"/>
      <c r="BH52" s="1034">
        <f>((BH50-BI50)/(BH50))*100</f>
        <v>78.709677419354591</v>
      </c>
      <c r="BI52" s="1035"/>
      <c r="BJ52" s="319"/>
      <c r="BK52" s="320"/>
      <c r="BL52" s="1036">
        <f>((BL50-BM50)/(BL50))*100</f>
        <v>95.161290322580911</v>
      </c>
      <c r="BM52" s="1037"/>
      <c r="BN52" s="1027">
        <f>((BN50-BO50)/(BN50))*100</f>
        <v>92.783216783216915</v>
      </c>
      <c r="BO52" s="1022"/>
      <c r="BP52" s="319"/>
      <c r="BQ52" s="320"/>
      <c r="BR52" s="1025">
        <f>((BR50-BS50)/(BR50))*100</f>
        <v>89.127151917849474</v>
      </c>
      <c r="BS52" s="1022"/>
      <c r="BT52" s="321"/>
      <c r="BU52" s="319"/>
      <c r="BV52" s="1025">
        <f>((BV50-BW50)/(BV50))*100</f>
        <v>92.638036809815802</v>
      </c>
      <c r="BW52" s="1021"/>
      <c r="BX52" s="1036">
        <f>((BX50-BY50)/(BX50))*100</f>
        <v>70.684039087947752</v>
      </c>
      <c r="BY52" s="1033"/>
      <c r="BZ52" s="319"/>
      <c r="CA52" s="319"/>
      <c r="CB52" s="1025">
        <f>((CB50-CC50)/(CB50))*100</f>
        <v>83.783783783783178</v>
      </c>
      <c r="CC52" s="1022"/>
      <c r="CD52" s="319"/>
      <c r="CE52" s="320"/>
      <c r="CF52" s="1025">
        <f>((CF50-CG50)/(CF50))*100</f>
        <v>91.325301204819141</v>
      </c>
      <c r="CG52" s="1021"/>
      <c r="CH52" s="1027">
        <f>((CH50-CI50)/(CH50))*100</f>
        <v>87.499999999999872</v>
      </c>
      <c r="CI52" s="1022"/>
      <c r="CJ52" s="322"/>
      <c r="CK52" s="323"/>
      <c r="CL52" s="1025">
        <f>((CL50-CM50)/(CL50))*100</f>
        <v>77.037037037036868</v>
      </c>
      <c r="CM52" s="1022"/>
      <c r="CN52" s="1040"/>
      <c r="CO52" s="1041"/>
      <c r="CP52" s="1021">
        <f>((CP50-CQ50)/(CP50))*100</f>
        <v>97.583168642951321</v>
      </c>
      <c r="CQ52" s="1026"/>
      <c r="CR52" s="1027">
        <f>((CR50-CS50)/(CR50))*100</f>
        <v>87.900000000000063</v>
      </c>
      <c r="CS52" s="1022"/>
      <c r="CT52" s="321"/>
      <c r="CU52" s="320"/>
      <c r="CV52" s="1034">
        <f>((CV50-CW50)/(CV50))*100</f>
        <v>88.349514563106823</v>
      </c>
      <c r="CW52" s="1035"/>
      <c r="CX52" s="321"/>
      <c r="CY52" s="320"/>
      <c r="CZ52" s="1025">
        <f>((CZ50-DA50)/(CZ50))*100</f>
        <v>95.17241379310353</v>
      </c>
      <c r="DA52" s="1026"/>
      <c r="DB52" s="1038">
        <f>((DB50-DC50)/(DB50))*100</f>
        <v>99.031828633668141</v>
      </c>
      <c r="DC52" s="1039"/>
      <c r="DD52" s="238"/>
      <c r="DE52" s="240"/>
      <c r="DF52" s="1034">
        <f>((DF50-DG50)/(DF50))*100</f>
        <v>77.30496453900696</v>
      </c>
      <c r="DG52" s="1035"/>
      <c r="DH52" s="240"/>
      <c r="DI52" s="239"/>
      <c r="DJ52" s="1025">
        <f>((DJ50-DK50)/(DJ50))*100</f>
        <v>97.020029311186988</v>
      </c>
      <c r="DK52" s="1026"/>
      <c r="DL52" s="1038">
        <f>((DL50-DM50)/(DL50))*100</f>
        <v>89.823380992430415</v>
      </c>
      <c r="DM52" s="1039"/>
      <c r="DN52" s="238"/>
      <c r="DO52" s="240"/>
      <c r="DP52" s="1034">
        <f>((DP50-DQ50)/(DP50))*100</f>
        <v>96.463190987686716</v>
      </c>
      <c r="DQ52" s="1035"/>
      <c r="DR52" s="240"/>
      <c r="DS52" s="239"/>
      <c r="DT52" s="1025">
        <f>((DT50-DU50)/(DT50))*100</f>
        <v>80.754028580115602</v>
      </c>
      <c r="DU52" s="1026"/>
      <c r="DV52" s="1038">
        <f>((DV50-DW50)/(DV50))*100</f>
        <v>97.721715936874901</v>
      </c>
      <c r="DW52" s="1039"/>
      <c r="DX52" s="238"/>
      <c r="DY52" s="240"/>
      <c r="DZ52" s="1034">
        <f>((DZ50-EA50)/(DZ50))*100</f>
        <v>97.212543554007041</v>
      </c>
      <c r="EA52" s="1035"/>
      <c r="EB52" s="240"/>
      <c r="EC52" s="239"/>
      <c r="ED52" s="1025">
        <f>((ED50-EE50)/(ED50))*100</f>
        <v>92.261904761904873</v>
      </c>
      <c r="EE52" s="1026"/>
      <c r="EF52" s="1038">
        <f>((EF50-EG50)/(EF50))*100</f>
        <v>92.454328832406645</v>
      </c>
      <c r="EG52" s="1039"/>
      <c r="EH52" s="238"/>
      <c r="EI52" s="240"/>
      <c r="EJ52" s="1034">
        <f>((EJ50-EK50)/(EJ50))*100</f>
        <v>97.29064039408874</v>
      </c>
      <c r="EK52" s="1035"/>
      <c r="EL52" s="240"/>
      <c r="EM52" s="239"/>
      <c r="EN52" s="1025">
        <f>((EN50-EO50)/(EN50))*100</f>
        <v>98.429319371727757</v>
      </c>
      <c r="EO52" s="1026"/>
      <c r="EP52" s="1038">
        <f>((EP50-EQ50)/(EP50))*100</f>
        <v>99.409448818897616</v>
      </c>
      <c r="EQ52" s="1039"/>
      <c r="ER52" s="238"/>
      <c r="ES52" s="240"/>
      <c r="ET52" s="1034">
        <f>((ET50-EU50)/(ET50))*100</f>
        <v>84.126984126983984</v>
      </c>
      <c r="EU52" s="1035"/>
      <c r="EV52" s="240"/>
      <c r="EW52" s="239"/>
      <c r="EX52" s="1025">
        <f>((EX50-EY50)/(EX50))*100</f>
        <v>98.96073903002312</v>
      </c>
      <c r="EY52" s="1026"/>
      <c r="EZ52" s="1038">
        <f>((EZ50-FA50)/(EZ50))*100</f>
        <v>99.648506151142357</v>
      </c>
      <c r="FA52" s="1039"/>
      <c r="FB52" s="238"/>
      <c r="FC52" s="240"/>
      <c r="FD52" s="1034">
        <f>((FD50-FE50)/(FD50))*100</f>
        <v>84.210526315789494</v>
      </c>
      <c r="FE52" s="1035"/>
      <c r="FF52" s="240"/>
      <c r="FG52" s="239"/>
      <c r="FH52" s="1025">
        <f>((FH50-FI50)/(FH50))*100</f>
        <v>96.561604584527174</v>
      </c>
      <c r="FI52" s="1026"/>
      <c r="FJ52" s="1038">
        <f>((FJ50-FK50)/(FJ50))*100</f>
        <v>95.394736842105331</v>
      </c>
      <c r="FK52" s="1039"/>
      <c r="FL52" s="238"/>
      <c r="FM52" s="240"/>
      <c r="FN52" s="1034">
        <f>((FN50-FO50)/(FN50))*100</f>
        <v>95.435684647302921</v>
      </c>
      <c r="FO52" s="1035"/>
      <c r="FP52" s="240"/>
      <c r="FQ52" s="239"/>
      <c r="FR52" s="1025">
        <f>((FR50-FS50)/(FR50))*100</f>
        <v>98.695652173913118</v>
      </c>
      <c r="FS52" s="1026"/>
      <c r="FT52" s="1038">
        <f>((FT50-FU50)/(FT50))*100</f>
        <v>99.268292682926841</v>
      </c>
      <c r="FU52" s="1039"/>
      <c r="FV52" s="238"/>
      <c r="FW52" s="240"/>
      <c r="FX52" s="1034">
        <f>((FX50-FY50)/(FX50))*100</f>
        <v>98.340248962655636</v>
      </c>
      <c r="FY52" s="1035"/>
      <c r="FZ52" s="240"/>
      <c r="GA52" s="239"/>
      <c r="GB52" s="1025">
        <f>((GB50-GC50)/(GB50))*100</f>
        <v>97.76536312849143</v>
      </c>
      <c r="GC52" s="1026"/>
      <c r="GD52" s="1038">
        <f>((GD50-GE50)/(GD50))*100</f>
        <v>99.299299299299321</v>
      </c>
      <c r="GE52" s="1039"/>
      <c r="GF52" s="238"/>
      <c r="GG52" s="240"/>
      <c r="GH52" s="1034">
        <f>((GH50-GI50)/(GH50))*100</f>
        <v>85.294117647058712</v>
      </c>
      <c r="GI52" s="1035"/>
      <c r="GJ52" s="240"/>
      <c r="GK52" s="239"/>
      <c r="GL52" s="1025">
        <f>((GL50-GM50)/(GL50))*100</f>
        <v>73.517786561264685</v>
      </c>
      <c r="GM52" s="1026"/>
      <c r="GN52" s="1038">
        <f>((GN50-GO50)/(GN50))*100</f>
        <v>87.227866473148794</v>
      </c>
      <c r="GO52" s="1039"/>
      <c r="GP52" s="238"/>
      <c r="GQ52" s="240"/>
      <c r="GR52" s="1034">
        <f>((GR50-GS50)/(GR50))*100</f>
        <v>68.393094289508568</v>
      </c>
      <c r="GS52" s="1035"/>
      <c r="GT52" s="240"/>
      <c r="GU52" s="239"/>
      <c r="GV52" s="1025">
        <f>((GV50-GW50)/(GV50))*100</f>
        <v>82.791902071562902</v>
      </c>
      <c r="GW52" s="1026"/>
    </row>
    <row r="53" spans="1:235" x14ac:dyDescent="0.2">
      <c r="A53" s="1"/>
      <c r="B53" s="56" t="s">
        <v>98</v>
      </c>
      <c r="C53" s="51" t="s">
        <v>99</v>
      </c>
      <c r="D53" s="270"/>
      <c r="E53" s="290"/>
      <c r="F53" s="53">
        <v>116.5</v>
      </c>
      <c r="G53" s="53">
        <v>118.4</v>
      </c>
      <c r="H53" s="208"/>
      <c r="I53" s="209"/>
      <c r="J53" s="85">
        <v>116.9</v>
      </c>
      <c r="K53" s="64">
        <v>117</v>
      </c>
      <c r="L53" s="324"/>
      <c r="M53" s="324"/>
      <c r="N53" s="85">
        <v>117.4</v>
      </c>
      <c r="O53" s="291">
        <v>118.2</v>
      </c>
      <c r="P53" s="53">
        <v>115</v>
      </c>
      <c r="Q53" s="64">
        <v>117.6</v>
      </c>
      <c r="R53" s="214"/>
      <c r="S53" s="210"/>
      <c r="T53" s="85">
        <v>120</v>
      </c>
      <c r="U53" s="64">
        <v>116.6</v>
      </c>
      <c r="V53" s="210"/>
      <c r="W53" s="211"/>
      <c r="X53" s="62">
        <v>120</v>
      </c>
      <c r="Y53" s="83">
        <v>119</v>
      </c>
      <c r="Z53" s="2">
        <v>209.6</v>
      </c>
      <c r="AA53" s="28">
        <v>211.4</v>
      </c>
      <c r="AB53" s="214"/>
      <c r="AC53" s="211"/>
      <c r="AD53" s="3">
        <v>218.1</v>
      </c>
      <c r="AE53" s="28">
        <v>218.7</v>
      </c>
      <c r="AF53" s="214"/>
      <c r="AG53" s="211"/>
      <c r="AH53" s="3">
        <v>212.2</v>
      </c>
      <c r="AI53" s="4">
        <v>208.1</v>
      </c>
      <c r="AJ53" s="2">
        <v>213.6</v>
      </c>
      <c r="AK53" s="28">
        <v>212.7</v>
      </c>
      <c r="AL53" s="214"/>
      <c r="AM53" s="211"/>
      <c r="AN53" s="3">
        <v>208.8</v>
      </c>
      <c r="AO53" s="28">
        <v>205.6</v>
      </c>
      <c r="AP53" s="214"/>
      <c r="AQ53" s="211"/>
      <c r="AR53" s="3">
        <v>211.9</v>
      </c>
      <c r="AS53" s="4">
        <v>210.4</v>
      </c>
      <c r="AT53" s="2">
        <v>217.6</v>
      </c>
      <c r="AU53" s="28">
        <v>207.8</v>
      </c>
      <c r="AV53" s="214"/>
      <c r="AW53" s="210"/>
      <c r="AX53" s="56">
        <v>218.4</v>
      </c>
      <c r="AY53" s="58">
        <v>219.1</v>
      </c>
      <c r="AZ53" s="210"/>
      <c r="BA53" s="211"/>
      <c r="BB53" s="3">
        <v>215.7</v>
      </c>
      <c r="BC53" s="4">
        <v>215.8</v>
      </c>
      <c r="BD53" s="2">
        <v>211</v>
      </c>
      <c r="BE53" s="28">
        <v>216.5</v>
      </c>
      <c r="BF53" s="214"/>
      <c r="BG53" s="210"/>
      <c r="BH53" s="56">
        <v>213.6</v>
      </c>
      <c r="BI53" s="58">
        <v>215.3</v>
      </c>
      <c r="BJ53" s="210"/>
      <c r="BK53" s="211"/>
      <c r="BL53" s="3">
        <v>211.6</v>
      </c>
      <c r="BM53" s="4">
        <v>215.3</v>
      </c>
      <c r="BN53" s="2">
        <v>216.7</v>
      </c>
      <c r="BO53" s="28">
        <v>218.2</v>
      </c>
      <c r="BP53" s="214"/>
      <c r="BQ53" s="211"/>
      <c r="BR53" s="3">
        <v>210.9</v>
      </c>
      <c r="BS53" s="28">
        <v>214.5</v>
      </c>
      <c r="BT53" s="214"/>
      <c r="BU53" s="211"/>
      <c r="BV53" s="3">
        <v>206.5</v>
      </c>
      <c r="BW53" s="4">
        <v>209</v>
      </c>
      <c r="BX53" s="2">
        <v>215.3</v>
      </c>
      <c r="BY53" s="28">
        <v>214.8</v>
      </c>
      <c r="BZ53" s="214"/>
      <c r="CA53" s="211"/>
      <c r="CB53" s="3">
        <v>211.4</v>
      </c>
      <c r="CC53" s="28">
        <v>217.2</v>
      </c>
      <c r="CD53" s="214"/>
      <c r="CE53" s="211"/>
      <c r="CF53" s="3">
        <v>208</v>
      </c>
      <c r="CG53" s="4">
        <v>212.3</v>
      </c>
      <c r="CH53" s="62">
        <v>214.2</v>
      </c>
      <c r="CI53" s="74">
        <v>212.7</v>
      </c>
      <c r="CJ53" s="214"/>
      <c r="CK53" s="211"/>
      <c r="CL53" s="3">
        <v>212.2</v>
      </c>
      <c r="CM53" s="28">
        <v>213</v>
      </c>
      <c r="CN53" s="214"/>
      <c r="CO53" s="211"/>
      <c r="CP53" s="3">
        <v>217.7</v>
      </c>
      <c r="CQ53" s="4">
        <v>209.2</v>
      </c>
      <c r="CR53" s="62">
        <v>211.9</v>
      </c>
      <c r="CS53" s="74">
        <v>121.6</v>
      </c>
      <c r="CT53" s="214"/>
      <c r="CU53" s="210"/>
      <c r="CV53" s="56">
        <v>217.6</v>
      </c>
      <c r="CW53" s="58">
        <v>217.1</v>
      </c>
      <c r="CX53" s="210"/>
      <c r="CY53" s="211"/>
      <c r="CZ53" s="3">
        <v>214.2</v>
      </c>
      <c r="DA53" s="4">
        <v>213.6</v>
      </c>
      <c r="DB53" s="53">
        <v>213</v>
      </c>
      <c r="DC53" s="64">
        <v>210.4</v>
      </c>
      <c r="DD53" s="214"/>
      <c r="DE53" s="210"/>
      <c r="DF53" s="85">
        <v>212.4</v>
      </c>
      <c r="DG53" s="64">
        <v>214.1</v>
      </c>
      <c r="DH53" s="210"/>
      <c r="DI53" s="211"/>
      <c r="DJ53" s="2">
        <v>219.5</v>
      </c>
      <c r="DK53" s="4">
        <v>211.6</v>
      </c>
      <c r="DL53" s="53">
        <v>215.7</v>
      </c>
      <c r="DM53" s="64">
        <v>212.7</v>
      </c>
      <c r="DN53" s="214"/>
      <c r="DO53" s="210"/>
      <c r="DP53" s="85">
        <v>218.4</v>
      </c>
      <c r="DQ53" s="64">
        <v>227.8</v>
      </c>
      <c r="DR53" s="210"/>
      <c r="DS53" s="211"/>
      <c r="DT53" s="9">
        <v>219.7</v>
      </c>
      <c r="DU53" s="30">
        <v>220.1</v>
      </c>
      <c r="DV53" s="53">
        <v>211.7</v>
      </c>
      <c r="DW53" s="64">
        <v>219.8</v>
      </c>
      <c r="DX53" s="214"/>
      <c r="DY53" s="210"/>
      <c r="DZ53" s="85">
        <v>217.1</v>
      </c>
      <c r="EA53" s="64">
        <v>213.7</v>
      </c>
      <c r="EB53" s="210"/>
      <c r="EC53" s="211"/>
      <c r="ED53" s="2">
        <v>214</v>
      </c>
      <c r="EE53" s="4">
        <v>225.6</v>
      </c>
      <c r="EF53" s="53">
        <v>219.6</v>
      </c>
      <c r="EG53" s="64">
        <v>220.2</v>
      </c>
      <c r="EH53" s="214"/>
      <c r="EI53" s="210"/>
      <c r="EJ53" s="85">
        <v>215.6</v>
      </c>
      <c r="EK53" s="64">
        <v>215.8</v>
      </c>
      <c r="EL53" s="210"/>
      <c r="EM53" s="211"/>
      <c r="EN53" s="2">
        <v>213.6</v>
      </c>
      <c r="EO53" s="4">
        <v>218.1</v>
      </c>
      <c r="EP53" s="53">
        <v>212.6</v>
      </c>
      <c r="EQ53" s="64">
        <v>212.8</v>
      </c>
      <c r="ER53" s="214"/>
      <c r="ES53" s="210"/>
      <c r="ET53" s="85">
        <v>215.8</v>
      </c>
      <c r="EU53" s="64">
        <v>213.5</v>
      </c>
      <c r="EV53" s="210"/>
      <c r="EW53" s="211"/>
      <c r="EX53" s="2">
        <v>208.4</v>
      </c>
      <c r="EY53" s="4">
        <v>204.7</v>
      </c>
      <c r="EZ53" s="53">
        <v>220.3</v>
      </c>
      <c r="FA53" s="64">
        <v>205.5</v>
      </c>
      <c r="FB53" s="214"/>
      <c r="FC53" s="210"/>
      <c r="FD53" s="85">
        <v>213.9</v>
      </c>
      <c r="FE53" s="64">
        <v>215.5</v>
      </c>
      <c r="FF53" s="210"/>
      <c r="FG53" s="211"/>
      <c r="FH53" s="2">
        <v>214.4</v>
      </c>
      <c r="FI53" s="4">
        <v>215.7</v>
      </c>
      <c r="FJ53" s="53">
        <v>216</v>
      </c>
      <c r="FK53" s="64">
        <v>215.9</v>
      </c>
      <c r="FL53" s="214"/>
      <c r="FM53" s="210"/>
      <c r="FN53" s="85">
        <v>218.5</v>
      </c>
      <c r="FO53" s="64">
        <v>216.1</v>
      </c>
      <c r="FP53" s="210"/>
      <c r="FQ53" s="211"/>
      <c r="FR53" s="2">
        <v>219.4</v>
      </c>
      <c r="FS53" s="4">
        <v>214.2</v>
      </c>
      <c r="FT53" s="53">
        <v>212.1</v>
      </c>
      <c r="FU53" s="64">
        <v>215.5</v>
      </c>
      <c r="FV53" s="214"/>
      <c r="FW53" s="210"/>
      <c r="FX53" s="85">
        <v>215.9</v>
      </c>
      <c r="FY53" s="64">
        <v>212.8</v>
      </c>
      <c r="FZ53" s="210"/>
      <c r="GA53" s="211"/>
      <c r="GB53" s="2">
        <v>211.6</v>
      </c>
      <c r="GC53" s="4">
        <v>220.4</v>
      </c>
      <c r="GD53" s="53">
        <v>219.1</v>
      </c>
      <c r="GE53" s="64">
        <v>218.9</v>
      </c>
      <c r="GF53" s="214"/>
      <c r="GG53" s="210"/>
      <c r="GH53" s="85">
        <v>218.8</v>
      </c>
      <c r="GI53" s="64">
        <v>215.7</v>
      </c>
      <c r="GJ53" s="210"/>
      <c r="GK53" s="211"/>
      <c r="GL53" s="2">
        <v>212.1</v>
      </c>
      <c r="GM53" s="4">
        <v>220.4</v>
      </c>
      <c r="GN53" s="53">
        <v>217.6</v>
      </c>
      <c r="GO53" s="64">
        <v>211.8</v>
      </c>
      <c r="GP53" s="214"/>
      <c r="GQ53" s="210"/>
      <c r="GR53" s="85">
        <v>215.7</v>
      </c>
      <c r="GS53" s="64">
        <v>220.1</v>
      </c>
      <c r="GT53" s="210"/>
      <c r="GU53" s="211"/>
      <c r="GV53" s="2">
        <v>213.3</v>
      </c>
      <c r="GW53" s="4">
        <v>217.8</v>
      </c>
    </row>
    <row r="54" spans="1:235" x14ac:dyDescent="0.2">
      <c r="A54" s="2"/>
      <c r="B54" s="3"/>
      <c r="C54" s="23">
        <v>1</v>
      </c>
      <c r="D54" s="228"/>
      <c r="E54" s="233"/>
      <c r="F54" s="90">
        <f>((F40-F53)*1000)/(F39)</f>
        <v>144.00000000000006</v>
      </c>
      <c r="G54" s="90">
        <f>((G40-G53)*1000)/(G39)</f>
        <v>93.999999999999787</v>
      </c>
      <c r="H54" s="248"/>
      <c r="I54" s="255"/>
      <c r="J54" s="92">
        <f>((J40-J53)*1000)/(J39)</f>
        <v>465.99999999999966</v>
      </c>
      <c r="K54" s="91">
        <f>((K40-K53)*1000)/(K39)</f>
        <v>81.999999999999886</v>
      </c>
      <c r="L54" s="253"/>
      <c r="M54" s="253"/>
      <c r="N54" s="92">
        <f>((N40-N53)*1000)/(N39)</f>
        <v>518.00000000000011</v>
      </c>
      <c r="O54" s="93">
        <f>((O40-O53)*1000)/(O39)</f>
        <v>41.999999999999893</v>
      </c>
      <c r="P54" s="325">
        <f>((P40-P53)*1000)/(P39)</f>
        <v>276.00000000000023</v>
      </c>
      <c r="Q54" s="90">
        <f>((Q40-Q53)*1000)/(Q39)</f>
        <v>260.00000000000011</v>
      </c>
      <c r="R54" s="326"/>
      <c r="S54" s="210"/>
      <c r="T54" s="92">
        <f>((T40-T53)*1000)/(T39)</f>
        <v>350</v>
      </c>
      <c r="U54" s="94">
        <f>((U40-U53)*1000)/(U39)</f>
        <v>235.00000000000014</v>
      </c>
      <c r="V54" s="210"/>
      <c r="W54" s="211"/>
      <c r="X54" s="325">
        <f>((X40-X53)*1000)/(X39)</f>
        <v>289.99999999999989</v>
      </c>
      <c r="Y54" s="93">
        <f>((Y40-Y53)*1000)/(Y39)</f>
        <v>145.00000000000028</v>
      </c>
      <c r="Z54" s="90">
        <f>((Z40-Z53)*1000)/(Z39)</f>
        <v>890.9090909090919</v>
      </c>
      <c r="AA54" s="91">
        <f>((AA40-AA53)*1000)/(AA39)</f>
        <v>627.27272727272782</v>
      </c>
      <c r="AB54" s="214"/>
      <c r="AC54" s="211"/>
      <c r="AD54" s="78">
        <f>((AD40-AD53)*1000)/(AD39)</f>
        <v>1070.0000000000016</v>
      </c>
      <c r="AE54" s="95">
        <f>((AE40-AE53)*1000)/(AE39)</f>
        <v>890.00000000000057</v>
      </c>
      <c r="AF54" s="214"/>
      <c r="AG54" s="211"/>
      <c r="AH54" s="90">
        <f>((AH40-AH53)*1000)/(AH39)</f>
        <v>733.33333333333428</v>
      </c>
      <c r="AI54" s="96">
        <f>(((AI40-AI53)*1000)/(AI39))</f>
        <v>481.81818181818284</v>
      </c>
      <c r="AJ54" s="90">
        <f>((AJ40-AJ53)*1000)/(AJ39)</f>
        <v>1099.9999999999995</v>
      </c>
      <c r="AK54" s="91">
        <f>((AK40-AK53)*1000)/(AK39)</f>
        <v>609.09090909091071</v>
      </c>
      <c r="AL54" s="214"/>
      <c r="AM54" s="211"/>
      <c r="AN54" s="97">
        <f>((AN40-AN53)*1000)/(AN39)</f>
        <v>866.66666666666481</v>
      </c>
      <c r="AO54" s="91">
        <f>((AO40-AO53)*1000)/(AO39)</f>
        <v>466.66666666666623</v>
      </c>
      <c r="AP54" s="214"/>
      <c r="AQ54" s="211"/>
      <c r="AR54" s="97">
        <f>((AR40-AR53)*1000)/(AR39)</f>
        <v>1009.0909090909086</v>
      </c>
      <c r="AS54" s="96">
        <f>((AS40-AS53)*1000)/(AS39)</f>
        <v>527.27272727272566</v>
      </c>
      <c r="AT54" s="90">
        <f>((AT40-AT53)*1000)/(AT39)</f>
        <v>975.00000000000136</v>
      </c>
      <c r="AU54" s="91">
        <f>((AU40-AU53)*1000)/(AU39)</f>
        <v>581.81818181817971</v>
      </c>
      <c r="AV54" s="214"/>
      <c r="AW54" s="210"/>
      <c r="AX54" s="97">
        <f>((AX40-AX53)*1000)/(AX39)</f>
        <v>1154.5454545454536</v>
      </c>
      <c r="AY54" s="95">
        <f>((AY40-AY53)*1000)/(AY39)</f>
        <v>700.00000000000159</v>
      </c>
      <c r="AZ54" s="210"/>
      <c r="BA54" s="211"/>
      <c r="BB54" s="78">
        <f>((BB40-BB53)*1000)/(BB39)</f>
        <v>1220.0000000000016</v>
      </c>
      <c r="BC54" s="98">
        <f>((BC40-BC53)*1000)/(BC39)</f>
        <v>979.99999999999841</v>
      </c>
      <c r="BD54" s="90">
        <f>((BD40-BD53)*1000)/(BD39)</f>
        <v>1011.1111111111105</v>
      </c>
      <c r="BE54" s="91">
        <f>((BE40-BE53)*1000)/(BE39)</f>
        <v>1117.6470588235295</v>
      </c>
      <c r="BF54" s="214"/>
      <c r="BG54" s="210"/>
      <c r="BH54" s="97">
        <f>((BH40-BH53)*1000)/(BH39)</f>
        <v>1281.8181818181813</v>
      </c>
      <c r="BI54" s="95">
        <f>((BI40-BI53)*1000)/(BI39)</f>
        <v>1159.9999999999995</v>
      </c>
      <c r="BJ54" s="210"/>
      <c r="BK54" s="211"/>
      <c r="BL54" s="97">
        <f>((BL40-BL53)*1000)/(BL39)</f>
        <v>1894.117647058823</v>
      </c>
      <c r="BM54" s="96">
        <f>((BM40-BM53)*1000)/(BM39)</f>
        <v>929.4117647058797</v>
      </c>
      <c r="BN54" s="90">
        <f>((BN40-BN53)*1000)/(BN39)</f>
        <v>1150.0000000000009</v>
      </c>
      <c r="BO54" s="91">
        <f>((BO40-BO53)*1000)/(BO39)</f>
        <v>836.36363636363785</v>
      </c>
      <c r="BP54" s="214"/>
      <c r="BQ54" s="211"/>
      <c r="BR54" s="97">
        <f>((BR40-BR53)*1000)/(BR39)</f>
        <v>799.99999999999955</v>
      </c>
      <c r="BS54" s="91">
        <f>((BS40-BS53)*1000)/(BS39)</f>
        <v>590.90909090909088</v>
      </c>
      <c r="BT54" s="326"/>
      <c r="BU54" s="327"/>
      <c r="BV54" s="97">
        <f>((BV40-BV53)*1000)/(BV39)</f>
        <v>1041.6666666666667</v>
      </c>
      <c r="BW54" s="96">
        <f>((BW40-BW53)*1000)/(BW39)</f>
        <v>390.9090909090919</v>
      </c>
      <c r="BX54" s="90">
        <f>((BX40-BX53)*1000)/(BX39)</f>
        <v>1119.9999999999989</v>
      </c>
      <c r="BY54" s="91">
        <f>((BY40-BY53)*1000)/(BY39)</f>
        <v>863.63636363636363</v>
      </c>
      <c r="BZ54" s="214"/>
      <c r="CA54" s="211"/>
      <c r="CB54" s="97">
        <f>((CB40-CB53)*1000)/(CB39)</f>
        <v>1269.9999999999989</v>
      </c>
      <c r="CC54" s="91">
        <f>((CC40-CC53)*1000)/(CC39)</f>
        <v>1110.0000000000023</v>
      </c>
      <c r="CD54" s="214"/>
      <c r="CE54" s="211"/>
      <c r="CF54" s="97">
        <f>((CF40-CF53)*1000)/(CF39)</f>
        <v>1154.5454545454536</v>
      </c>
      <c r="CG54" s="96">
        <f>((CG40-CG53)*1000)/(CG39)</f>
        <v>527.27272727272566</v>
      </c>
      <c r="CH54" s="90">
        <f>((CH40-CH53)*1000)/(CH39)</f>
        <v>1880.0000000000011</v>
      </c>
      <c r="CI54" s="91">
        <f>((CI40-CI53)*1000)/(CI39)</f>
        <v>1010.0000000000022</v>
      </c>
      <c r="CJ54" s="214"/>
      <c r="CK54" s="211"/>
      <c r="CL54" s="97">
        <f>((CL40-CL53)*1000)/(CL39)</f>
        <v>1650</v>
      </c>
      <c r="CM54" s="91">
        <f>((CM40-CM53)*1000)/(CM39)</f>
        <v>1040.0000000000005</v>
      </c>
      <c r="CN54" s="214"/>
      <c r="CO54" s="211"/>
      <c r="CP54" s="78">
        <f>((CP40-CP53)*1000)/(CP39)</f>
        <v>1640.0000000000007</v>
      </c>
      <c r="CQ54" s="98">
        <f>((CQ40-CQ53)*1000)/(CQ39)</f>
        <v>540.00000000000057</v>
      </c>
      <c r="CR54" s="90">
        <f>((CR40-CR53)*1000)/(CR39)</f>
        <v>2145.4545454545446</v>
      </c>
      <c r="CS54" s="328">
        <f>((CS40-CS53)*1000)/(CS39)</f>
        <v>10240</v>
      </c>
      <c r="CT54" s="214"/>
      <c r="CU54" s="210"/>
      <c r="CV54" s="78">
        <f>((CV40-CV53)*1000)/(CV39)</f>
        <v>1770.0000000000018</v>
      </c>
      <c r="CW54" s="95">
        <f>((CW40-CW53)*1000)/(CW39)</f>
        <v>900</v>
      </c>
      <c r="CX54" s="210"/>
      <c r="CY54" s="211"/>
      <c r="CZ54" s="78">
        <f>((CZ40-CZ53)*1000)/(CZ39)</f>
        <v>2230.0000000000009</v>
      </c>
      <c r="DA54" s="98">
        <f>((DA40-DA53)*1000)/(DA39)</f>
        <v>1009.9999999999994</v>
      </c>
      <c r="DB54" s="90">
        <f>((DB40-DB53)*1000)/(DB39)</f>
        <v>4259.9999999999991</v>
      </c>
      <c r="DC54" s="90">
        <f>((DC40-DC53)*1000)/(DC39)</f>
        <v>972.72727272727172</v>
      </c>
      <c r="DD54" s="326"/>
      <c r="DE54" s="210"/>
      <c r="DF54" s="97">
        <f>((DF40-DF53)*1000)/(DF39)</f>
        <v>1409.9999999999995</v>
      </c>
      <c r="DG54" s="91">
        <f>((DG40-DG53)*1000)/(DG39)</f>
        <v>959.99999999999943</v>
      </c>
      <c r="DH54" s="210"/>
      <c r="DI54" s="211"/>
      <c r="DJ54" s="90">
        <f>((DJ40-DJ53)*1000)/(DJ39)</f>
        <v>1681.8181818181818</v>
      </c>
      <c r="DK54" s="98">
        <f>((DK40-DK53)*1000)/(DK39)</f>
        <v>870.00000000000159</v>
      </c>
      <c r="DL54" s="90">
        <f>((DL40-DL53)*1000)/(DL39)</f>
        <v>1327.2727272727293</v>
      </c>
      <c r="DM54" s="90">
        <f>((DM40-DM53)*1000)/(DM39)</f>
        <v>930.00000000000114</v>
      </c>
      <c r="DN54" s="326"/>
      <c r="DO54" s="210"/>
      <c r="DP54" s="97">
        <f>((DP40-DP53)*1000)/(DP39)</f>
        <v>2540.0000000000009</v>
      </c>
      <c r="DQ54" s="91">
        <f>((DQ40-DQ53)*1000)/(DQ39)</f>
        <v>79.999999999998295</v>
      </c>
      <c r="DR54" s="210"/>
      <c r="DS54" s="211"/>
      <c r="DT54" s="90">
        <f>((DT40-DT53)*1000)/(DT39)</f>
        <v>1216.6666666666686</v>
      </c>
      <c r="DU54" s="96">
        <f>((DU40-DU53)*1000)/(DU39)</f>
        <v>80.000000000001137</v>
      </c>
      <c r="DV54" s="90">
        <f>((DV40-DV53)*1000)/(DV39)</f>
        <v>2108.3333333333344</v>
      </c>
      <c r="DW54" s="90">
        <f>((DW40-DW53)*1000)/(DW39)</f>
        <v>863.63636363636363</v>
      </c>
      <c r="DX54" s="326"/>
      <c r="DY54" s="210"/>
      <c r="DZ54" s="97">
        <f>((DZ40-DZ53)*1000)/(DZ39)</f>
        <v>2340.0000000000009</v>
      </c>
      <c r="EA54" s="91">
        <f>((EA40-EA53)*1000)/(EA39)</f>
        <v>950</v>
      </c>
      <c r="EB54" s="210"/>
      <c r="EC54" s="211"/>
      <c r="ED54" s="1">
        <f>((ED40-ED53)*1000)/(ED39)</f>
        <v>1619.9999999999989</v>
      </c>
      <c r="EE54" s="98">
        <f>((EE40-EE53)*1000)/(EE39)</f>
        <v>0</v>
      </c>
      <c r="EF54" s="90">
        <f>((EF40-EF53)*1000)/(EF39)</f>
        <v>1683.3333333333348</v>
      </c>
      <c r="EG54" s="90">
        <f>((EG40-EG53)*1000)/(EG39)</f>
        <v>50.000000000001897</v>
      </c>
      <c r="EH54" s="326"/>
      <c r="EI54" s="210"/>
      <c r="EJ54" s="97">
        <f>((EJ40-EJ53)*1000)/(EJ39)</f>
        <v>2880.0000000000009</v>
      </c>
      <c r="EK54" s="91">
        <f>((EK40-EK53)*1000)/(EK39)</f>
        <v>1029.9999999999984</v>
      </c>
      <c r="EL54" s="210"/>
      <c r="EM54" s="211"/>
      <c r="EN54" s="1">
        <f>((EN40-EN53)*1000)/(EN39)</f>
        <v>2770.0000000000018</v>
      </c>
      <c r="EO54" s="98">
        <f>((EO40-EO53)*1000)/(EO39)</f>
        <v>900</v>
      </c>
      <c r="EP54" s="90">
        <f>((EP40-EP53)*1000)/(EP39)</f>
        <v>3420.0000000000014</v>
      </c>
      <c r="EQ54" s="90">
        <f>((EQ40-EQ53)*1000)/(EQ39)</f>
        <v>859.99999999999943</v>
      </c>
      <c r="ER54" s="326"/>
      <c r="ES54" s="210"/>
      <c r="ET54" s="97">
        <f>((ET40-ET53)*1000)/(ET39)</f>
        <v>1850</v>
      </c>
      <c r="EU54" s="91">
        <f>((EU40-EU53)*1000)/(EU39)</f>
        <v>1040.0000000000005</v>
      </c>
      <c r="EV54" s="210"/>
      <c r="EW54" s="211"/>
      <c r="EX54" s="1">
        <f>((EX40-EX53)*1000)/(EX39)</f>
        <v>5140.0000000000009</v>
      </c>
      <c r="EY54" s="98">
        <f>((EY40-EY53)*1000)/(EY39)</f>
        <v>950</v>
      </c>
      <c r="EZ54" s="90">
        <f>((EZ40-EZ53)*1000)/(EZ39)</f>
        <v>5789.9999999999982</v>
      </c>
      <c r="FA54" s="90">
        <f>((FA40-FA53)*1000)/(FA39)</f>
        <v>880.00000000000114</v>
      </c>
      <c r="FB54" s="326"/>
      <c r="FC54" s="210"/>
      <c r="FD54" s="97">
        <f>((FD40-FD53)*1000)/(FD39)</f>
        <v>1569.9999999999989</v>
      </c>
      <c r="FE54" s="91">
        <f>((FE40-FE53)*1000)/(FE39)</f>
        <v>1040.0000000000005</v>
      </c>
      <c r="FF54" s="210"/>
      <c r="FG54" s="211"/>
      <c r="FH54" s="1">
        <f>((FH40-FH53)*1000)/(FH39)</f>
        <v>2190.0000000000009</v>
      </c>
      <c r="FI54" s="98">
        <f>((FI40-FI53)*1000)/(FI39)</f>
        <v>960.00000000000216</v>
      </c>
      <c r="FJ54" s="90">
        <f>((FJ40-FJ53)*1000)/(FJ39)</f>
        <v>1669.9999999999989</v>
      </c>
      <c r="FK54" s="90">
        <f>((FK40-FK53)*1000)/(FK39)</f>
        <v>879.99999999999841</v>
      </c>
      <c r="FL54" s="326"/>
      <c r="FM54" s="210"/>
      <c r="FN54" s="97">
        <f>((FN40-FN53)*1000)/(FN39)</f>
        <v>2140.0000000000009</v>
      </c>
      <c r="FO54" s="91">
        <f>((FO40-FO53)*1000)/(FO39)</f>
        <v>950</v>
      </c>
      <c r="FP54" s="210"/>
      <c r="FQ54" s="211"/>
      <c r="FR54" s="1">
        <f>((FR40-FR53)*1000)/(FR39)</f>
        <v>2040.0000000000007</v>
      </c>
      <c r="FS54" s="98">
        <f>((FS40-FS53)*1000)/(FS39)</f>
        <v>940.00000000000057</v>
      </c>
      <c r="FT54" s="90">
        <f>((FT40-FT53)*1000)/(FT39)</f>
        <v>9020.0000000000018</v>
      </c>
      <c r="FU54" s="90">
        <f>((FU40-FU53)*1000)/(FU39)</f>
        <v>950</v>
      </c>
      <c r="FV54" s="326"/>
      <c r="FW54" s="210"/>
      <c r="FX54" s="97">
        <f>((FX40-FX53)*1000)/(FX39)</f>
        <v>3140.0000000000009</v>
      </c>
      <c r="FY54" s="91">
        <f>((FY40-FY53)*1000)/(FY39)</f>
        <v>939.99999999999784</v>
      </c>
      <c r="FZ54" s="210"/>
      <c r="GA54" s="211"/>
      <c r="GB54" s="1">
        <f>((GB40-GB53)*1000)/(GB39)</f>
        <v>1859.9999999999993</v>
      </c>
      <c r="GC54" s="98">
        <f>((GC40-GC53)*1000)/(GC39)</f>
        <v>1050</v>
      </c>
      <c r="GD54" s="90">
        <f>((GD40-GD53)*1000)/(GD39)</f>
        <v>5190.0000000000009</v>
      </c>
      <c r="GE54" s="90">
        <f>((GE40-GE53)*1000)/(GE39)</f>
        <v>919.99999999999886</v>
      </c>
      <c r="GF54" s="326"/>
      <c r="GG54" s="210"/>
      <c r="GH54" s="97">
        <f>((GH40-GH53)*1000)/(GH39)</f>
        <v>1379.9999999999984</v>
      </c>
      <c r="GI54" s="91">
        <f>((GI40-GI53)*1000)/(GI39)</f>
        <v>845.45454545454641</v>
      </c>
      <c r="GJ54" s="210"/>
      <c r="GK54" s="211"/>
      <c r="GL54" s="1">
        <f>((GL40-GL53)*1000)/(GL39)</f>
        <v>1480.0000000000011</v>
      </c>
      <c r="GM54" s="96">
        <f>((GM40-GM53)*1000)/(GM39)</f>
        <v>990.90909090909145</v>
      </c>
      <c r="GN54" s="90">
        <f>((GN40-GN53)*1000)/(GN39)</f>
        <v>1054.545454545454</v>
      </c>
      <c r="GO54" s="90">
        <f>((GO40-GO53)*1000)/(GO39)</f>
        <v>859.99999999999943</v>
      </c>
      <c r="GP54" s="326"/>
      <c r="GQ54" s="210"/>
      <c r="GR54" s="97">
        <f>((GR40-GR53)*1000)/(GR39)</f>
        <v>1447.0588235294131</v>
      </c>
      <c r="GS54" s="91">
        <f>((GS40-GS53)*1000)/(GS39)</f>
        <v>1044.444444444445</v>
      </c>
      <c r="GT54" s="210"/>
      <c r="GU54" s="211"/>
      <c r="GV54" s="90">
        <f>((GV40-GV53)*1000)/(GV39)</f>
        <v>1988.2352941176446</v>
      </c>
      <c r="GW54" s="96">
        <f>((GW40-GW53)*1000)/(GW39)</f>
        <v>1314.2857142857126</v>
      </c>
    </row>
    <row r="55" spans="1:235" x14ac:dyDescent="0.2">
      <c r="A55" s="2"/>
      <c r="B55" s="3"/>
      <c r="C55" s="23" t="s">
        <v>99</v>
      </c>
      <c r="D55" s="210"/>
      <c r="E55" s="295"/>
      <c r="F55" s="62">
        <v>117.3</v>
      </c>
      <c r="G55" s="62">
        <v>118.6</v>
      </c>
      <c r="H55" s="214"/>
      <c r="I55" s="211"/>
      <c r="J55" s="82">
        <v>120.3</v>
      </c>
      <c r="K55" s="74">
        <v>117.4</v>
      </c>
      <c r="L55" s="329"/>
      <c r="M55" s="329"/>
      <c r="N55" s="82">
        <v>119.9</v>
      </c>
      <c r="O55" s="83">
        <v>117.7</v>
      </c>
      <c r="P55" s="62">
        <v>116</v>
      </c>
      <c r="Q55" s="74">
        <v>114</v>
      </c>
      <c r="R55" s="214"/>
      <c r="S55" s="210"/>
      <c r="T55" s="82">
        <v>120.8</v>
      </c>
      <c r="U55" s="74">
        <v>118.4</v>
      </c>
      <c r="V55" s="210"/>
      <c r="W55" s="211"/>
      <c r="X55" s="62">
        <v>119.7</v>
      </c>
      <c r="Y55" s="83">
        <v>119</v>
      </c>
      <c r="Z55" s="2">
        <v>209.6</v>
      </c>
      <c r="AA55" s="28">
        <v>215.1</v>
      </c>
      <c r="AB55" s="214"/>
      <c r="AC55" s="211"/>
      <c r="AD55" s="3">
        <v>219.2</v>
      </c>
      <c r="AE55" s="28">
        <v>213.5</v>
      </c>
      <c r="AF55" s="214"/>
      <c r="AG55" s="211"/>
      <c r="AH55" s="3">
        <v>210.6</v>
      </c>
      <c r="AI55" s="4">
        <v>211.6</v>
      </c>
      <c r="AJ55" s="2">
        <v>214.2</v>
      </c>
      <c r="AK55" s="28">
        <v>208.9</v>
      </c>
      <c r="AL55" s="214"/>
      <c r="AM55" s="211"/>
      <c r="AN55" s="3">
        <v>213.6</v>
      </c>
      <c r="AO55" s="28">
        <v>208.3</v>
      </c>
      <c r="AP55" s="214"/>
      <c r="AQ55" s="211"/>
      <c r="AR55" s="3">
        <v>213</v>
      </c>
      <c r="AS55" s="4">
        <v>209</v>
      </c>
      <c r="AT55" s="2">
        <v>214.1</v>
      </c>
      <c r="AU55" s="28">
        <v>209.1</v>
      </c>
      <c r="AV55" s="214"/>
      <c r="AW55" s="210"/>
      <c r="AX55" s="3">
        <v>217.4</v>
      </c>
      <c r="AY55" s="28">
        <v>218.3</v>
      </c>
      <c r="AZ55" s="210"/>
      <c r="BA55" s="211"/>
      <c r="BB55" s="3">
        <v>214.3</v>
      </c>
      <c r="BC55" s="4">
        <v>214.7</v>
      </c>
      <c r="BD55" s="2">
        <v>218.4</v>
      </c>
      <c r="BE55" s="28">
        <v>211.6</v>
      </c>
      <c r="BF55" s="214"/>
      <c r="BG55" s="210"/>
      <c r="BH55" s="3">
        <v>217.3</v>
      </c>
      <c r="BI55" s="28">
        <v>213.5</v>
      </c>
      <c r="BJ55" s="210"/>
      <c r="BK55" s="211"/>
      <c r="BL55" s="3">
        <v>215.9</v>
      </c>
      <c r="BM55" s="4">
        <v>212.7</v>
      </c>
      <c r="BN55" s="9">
        <v>216.2</v>
      </c>
      <c r="BO55" s="26">
        <v>217.4</v>
      </c>
      <c r="BP55" s="214"/>
      <c r="BQ55" s="211"/>
      <c r="BR55" s="3">
        <v>212.4</v>
      </c>
      <c r="BS55" s="28">
        <v>212</v>
      </c>
      <c r="BT55" s="214"/>
      <c r="BU55" s="211"/>
      <c r="BV55" s="3">
        <v>210</v>
      </c>
      <c r="BW55" s="4">
        <v>208.3</v>
      </c>
      <c r="BX55" s="2">
        <v>213.8</v>
      </c>
      <c r="BY55" s="28">
        <v>215.9</v>
      </c>
      <c r="BZ55" s="214"/>
      <c r="CA55" s="211"/>
      <c r="CB55" s="3">
        <v>213.3</v>
      </c>
      <c r="CC55" s="28">
        <v>215.6</v>
      </c>
      <c r="CD55" s="214"/>
      <c r="CE55" s="211"/>
      <c r="CF55" s="3">
        <v>211.2</v>
      </c>
      <c r="CG55" s="4">
        <v>218.5</v>
      </c>
      <c r="CH55" s="62">
        <v>214.8</v>
      </c>
      <c r="CI55" s="74">
        <v>215</v>
      </c>
      <c r="CJ55" s="214"/>
      <c r="CK55" s="211"/>
      <c r="CL55" s="3">
        <v>214.5</v>
      </c>
      <c r="CM55" s="28">
        <v>213.1</v>
      </c>
      <c r="CN55" s="214"/>
      <c r="CO55" s="211"/>
      <c r="CP55" s="3">
        <v>211.5</v>
      </c>
      <c r="CQ55" s="4">
        <v>207.8</v>
      </c>
      <c r="CR55" s="62">
        <v>217.1</v>
      </c>
      <c r="CS55" s="74">
        <v>215</v>
      </c>
      <c r="CT55" s="214"/>
      <c r="CU55" s="210"/>
      <c r="CV55" s="3">
        <v>213.2</v>
      </c>
      <c r="CW55" s="28">
        <v>213.8</v>
      </c>
      <c r="CX55" s="210"/>
      <c r="CY55" s="211"/>
      <c r="CZ55" s="3">
        <v>212.4</v>
      </c>
      <c r="DA55" s="4">
        <v>217.6</v>
      </c>
      <c r="DB55" s="62">
        <v>215.1</v>
      </c>
      <c r="DC55" s="74">
        <v>208.4</v>
      </c>
      <c r="DD55" s="214"/>
      <c r="DE55" s="210"/>
      <c r="DF55" s="82">
        <v>210.3</v>
      </c>
      <c r="DG55" s="74">
        <v>212.1</v>
      </c>
      <c r="DH55" s="210"/>
      <c r="DI55" s="211"/>
      <c r="DJ55" s="2">
        <v>220.5</v>
      </c>
      <c r="DK55" s="4">
        <v>215.9</v>
      </c>
      <c r="DL55" s="62">
        <v>217.1</v>
      </c>
      <c r="DM55" s="74">
        <v>218.8</v>
      </c>
      <c r="DN55" s="214"/>
      <c r="DO55" s="210"/>
      <c r="DP55" s="82">
        <v>213.3</v>
      </c>
      <c r="DQ55" s="74">
        <v>223.6</v>
      </c>
      <c r="DR55" s="210"/>
      <c r="DS55" s="211"/>
      <c r="DT55" s="9">
        <v>218</v>
      </c>
      <c r="DU55" s="30">
        <v>222.1</v>
      </c>
      <c r="DV55" s="62">
        <v>213.4</v>
      </c>
      <c r="DW55" s="74">
        <v>218.1</v>
      </c>
      <c r="DX55" s="214"/>
      <c r="DY55" s="210"/>
      <c r="DZ55" s="82">
        <v>211.9</v>
      </c>
      <c r="EA55" s="74">
        <v>213</v>
      </c>
      <c r="EB55" s="210"/>
      <c r="EC55" s="211"/>
      <c r="ED55" s="2">
        <v>217.2</v>
      </c>
      <c r="EE55" s="4">
        <v>224.8</v>
      </c>
      <c r="EF55" s="62">
        <v>218.5</v>
      </c>
      <c r="EG55" s="74">
        <v>227.2</v>
      </c>
      <c r="EH55" s="214"/>
      <c r="EI55" s="210"/>
      <c r="EJ55" s="82">
        <v>213.5</v>
      </c>
      <c r="EK55" s="74">
        <v>214.8</v>
      </c>
      <c r="EL55" s="210"/>
      <c r="EM55" s="211"/>
      <c r="EN55" s="2">
        <v>218.3</v>
      </c>
      <c r="EO55" s="4">
        <v>214.8</v>
      </c>
      <c r="EP55" s="62">
        <v>217.7</v>
      </c>
      <c r="EQ55" s="74">
        <v>209.9</v>
      </c>
      <c r="ER55" s="214"/>
      <c r="ES55" s="210"/>
      <c r="ET55" s="82">
        <v>216.5</v>
      </c>
      <c r="EU55" s="74">
        <v>211.1</v>
      </c>
      <c r="EV55" s="210"/>
      <c r="EW55" s="211"/>
      <c r="EX55" s="2">
        <v>214.8</v>
      </c>
      <c r="EY55" s="4">
        <v>204.6</v>
      </c>
      <c r="EZ55" s="62">
        <v>220.9</v>
      </c>
      <c r="FA55" s="74">
        <v>204.8</v>
      </c>
      <c r="FB55" s="214"/>
      <c r="FC55" s="210"/>
      <c r="FD55" s="82">
        <v>217.6</v>
      </c>
      <c r="FE55" s="74">
        <v>211.6</v>
      </c>
      <c r="FF55" s="210"/>
      <c r="FG55" s="211"/>
      <c r="FH55" s="2">
        <v>215.1</v>
      </c>
      <c r="FI55" s="4">
        <v>217.9</v>
      </c>
      <c r="FJ55" s="62">
        <v>215.9</v>
      </c>
      <c r="FK55" s="74">
        <v>218.2</v>
      </c>
      <c r="FL55" s="214"/>
      <c r="FM55" s="210"/>
      <c r="FN55" s="82">
        <v>214.7</v>
      </c>
      <c r="FO55" s="74">
        <v>215.5</v>
      </c>
      <c r="FP55" s="210"/>
      <c r="FQ55" s="211"/>
      <c r="FR55" s="2">
        <v>219.6</v>
      </c>
      <c r="FS55" s="4">
        <v>212.1</v>
      </c>
      <c r="FT55" s="62">
        <v>218.1</v>
      </c>
      <c r="FU55" s="74"/>
      <c r="FV55" s="214"/>
      <c r="FW55" s="210"/>
      <c r="FX55" s="82">
        <v>217.4</v>
      </c>
      <c r="FY55" s="74">
        <v>216.8</v>
      </c>
      <c r="FZ55" s="210"/>
      <c r="GA55" s="211"/>
      <c r="GB55" s="2">
        <v>213.6</v>
      </c>
      <c r="GC55" s="4">
        <v>220.9</v>
      </c>
      <c r="GD55" s="62">
        <v>218</v>
      </c>
      <c r="GE55" s="74">
        <v>211.1</v>
      </c>
      <c r="GF55" s="214"/>
      <c r="GG55" s="210"/>
      <c r="GH55" s="82">
        <v>218.7</v>
      </c>
      <c r="GI55" s="74">
        <v>214.7</v>
      </c>
      <c r="GJ55" s="210"/>
      <c r="GK55" s="211"/>
      <c r="GL55" s="2">
        <v>213.4</v>
      </c>
      <c r="GM55" s="4">
        <v>213.5</v>
      </c>
      <c r="GN55" s="62">
        <v>214.6</v>
      </c>
      <c r="GO55" s="74">
        <v>218.3</v>
      </c>
      <c r="GP55" s="214"/>
      <c r="GQ55" s="210"/>
      <c r="GR55" s="82">
        <v>214.6</v>
      </c>
      <c r="GS55" s="74"/>
      <c r="GT55" s="210"/>
      <c r="GU55" s="211"/>
      <c r="GV55" s="2">
        <v>213</v>
      </c>
      <c r="GW55" s="4">
        <v>213.9</v>
      </c>
    </row>
    <row r="56" spans="1:235" x14ac:dyDescent="0.2">
      <c r="A56" s="2"/>
      <c r="B56" s="3"/>
      <c r="C56" s="23">
        <v>2</v>
      </c>
      <c r="D56" s="228"/>
      <c r="E56" s="233"/>
      <c r="F56" s="90">
        <f>((F44-F55)*1000)/(F43)</f>
        <v>141.17647058823536</v>
      </c>
      <c r="G56" s="100">
        <f>((G44-G55)*1000)/(G43)</f>
        <v>98.039215686274517</v>
      </c>
      <c r="H56" s="224"/>
      <c r="I56" s="231"/>
      <c r="J56" s="97">
        <f>((J44-J55)*1000)/(J43)</f>
        <v>440.00000000000028</v>
      </c>
      <c r="K56" s="94">
        <f>((K44-K55)*1000)/(K43)</f>
        <v>71.999999999999886</v>
      </c>
      <c r="L56" s="253"/>
      <c r="M56" s="253"/>
      <c r="N56" s="92">
        <f>((N44-N55)*1000)/(N43)</f>
        <v>533.99999999999977</v>
      </c>
      <c r="O56" s="96">
        <f>((O44-O55)*1000)/(O43)</f>
        <v>87.999999999999829</v>
      </c>
      <c r="P56" s="325">
        <f>((P44-P55)*1000)/(P43)</f>
        <v>201.99999999999989</v>
      </c>
      <c r="Q56" s="325">
        <f>((Q44-Q55)*1000)/(Q43)</f>
        <v>414.99999999999983</v>
      </c>
      <c r="R56" s="214"/>
      <c r="S56" s="210"/>
      <c r="T56" s="97">
        <f>((T44-T55)*1000)/(T43)</f>
        <v>325</v>
      </c>
      <c r="U56" s="91">
        <f>((U44-U55)*1000)/(U43)</f>
        <v>175</v>
      </c>
      <c r="V56" s="210"/>
      <c r="W56" s="211"/>
      <c r="X56" s="325">
        <f>((X44-X55)*1000)/(X43)</f>
        <v>394.9999999999996</v>
      </c>
      <c r="Y56" s="96">
        <f>((Y44-Y55)*1000)/(Y43)</f>
        <v>145.00000000000028</v>
      </c>
      <c r="Z56" s="1">
        <f>((Z44-Z55)*1000)/(Z43)</f>
        <v>990.00000000000057</v>
      </c>
      <c r="AA56" s="95">
        <f>((AA44-AA55)*1000)/(AA43)</f>
        <v>590.00000000000057</v>
      </c>
      <c r="AB56" s="214"/>
      <c r="AC56" s="211"/>
      <c r="AD56" s="78">
        <f>((AD44-AD55)*1000)/(AD43)</f>
        <v>1290.0000000000005</v>
      </c>
      <c r="AE56" s="95">
        <f>((AE44-AE55)*1000)/(AE43)</f>
        <v>1000</v>
      </c>
      <c r="AF56" s="214"/>
      <c r="AG56" s="211"/>
      <c r="AH56" s="97">
        <f>((AH44-AH55)*1000)/(AH43)</f>
        <v>716.66666666666617</v>
      </c>
      <c r="AI56" s="98">
        <f>((AI44-AI55)*1000)/(AI43)</f>
        <v>640.00000000000057</v>
      </c>
      <c r="AJ56" s="90">
        <f>((AJ44-AJ55)*1000)/(AJ43)</f>
        <v>1016.666666666668</v>
      </c>
      <c r="AK56" s="91">
        <f>((AK44-AK55)*1000)/(AK43)</f>
        <v>545.4545454545455</v>
      </c>
      <c r="AL56" s="214"/>
      <c r="AM56" s="211"/>
      <c r="AN56" s="97">
        <f>((AN44-AN55)*1000)/(AN43)</f>
        <v>959.99999999999943</v>
      </c>
      <c r="AO56" s="91">
        <f>((AO44-AO55)*1000)/(AO43)</f>
        <v>519.99999999999886</v>
      </c>
      <c r="AP56" s="214"/>
      <c r="AQ56" s="211"/>
      <c r="AR56" s="97">
        <f>((AR44-AR55)*1000)/(AR43)</f>
        <v>933.33333333333246</v>
      </c>
      <c r="AS56" s="96">
        <f>((AS44-AS55)*1000)/(AS43)</f>
        <v>580.00000000000114</v>
      </c>
      <c r="AT56" s="90">
        <f>((AT44-AT55)*1000)/(AT43)</f>
        <v>900.00000000000045</v>
      </c>
      <c r="AU56" s="91">
        <f>((AU44-AU55)*1000)/(AU43)</f>
        <v>630.00000000000114</v>
      </c>
      <c r="AV56" s="214"/>
      <c r="AW56" s="210"/>
      <c r="AX56" s="78">
        <f>((AX44-AX55)*1000)/(AX43)</f>
        <v>1250</v>
      </c>
      <c r="AY56" s="91">
        <f>((AY44-AY55)*1000)/(AY43)</f>
        <v>727.27272727272725</v>
      </c>
      <c r="AZ56" s="210"/>
      <c r="BA56" s="211"/>
      <c r="BB56" s="78">
        <f>((BB44-BB55)*1000)/(BB43)</f>
        <v>1339.9999999999977</v>
      </c>
      <c r="BC56" s="98">
        <f>((BC44-BC55)*1000)/(BC43)</f>
        <v>990.00000000000057</v>
      </c>
      <c r="BD56" s="90">
        <f>((BD44-BD55)*1000)/(BD43)</f>
        <v>1235.2941176470588</v>
      </c>
      <c r="BE56" s="91">
        <f>((BE44-BE55)*1000)/(BE43)</f>
        <v>1105.882352941177</v>
      </c>
      <c r="BF56" s="214"/>
      <c r="BG56" s="210"/>
      <c r="BH56" s="97">
        <f>((BH44-BH55)*1000)/(BH43)</f>
        <v>1258.3333333333328</v>
      </c>
      <c r="BI56" s="95">
        <f>((BI44-BI55)*1000)/(BI43)</f>
        <v>1030.0000000000011</v>
      </c>
      <c r="BJ56" s="210"/>
      <c r="BK56" s="211"/>
      <c r="BL56" s="97">
        <f>((BL44-BL55)*1000)/(BL43)</f>
        <v>1176.4705882352941</v>
      </c>
      <c r="BM56" s="98">
        <f>((BM44-BM55)*1000)/(BM43)</f>
        <v>2000</v>
      </c>
      <c r="BN56" s="90">
        <f>((BN44-BN55)*1000)/(BN43)</f>
        <v>1033.3333333333337</v>
      </c>
      <c r="BO56" s="91">
        <f>((BO44-BO55)*1000)/(BO43)</f>
        <v>779.99999999999829</v>
      </c>
      <c r="BP56" s="214"/>
      <c r="BQ56" s="211"/>
      <c r="BR56" s="97">
        <f>((BR44-BR55)*1000)/(BR43)</f>
        <v>1040.0000000000005</v>
      </c>
      <c r="BS56" s="91">
        <f>((BS44-BS55)*1000)/(BS43)</f>
        <v>618.18181818181915</v>
      </c>
      <c r="BT56" s="326"/>
      <c r="BU56" s="327"/>
      <c r="BV56" s="97">
        <f>((BV44-BV55)*1000)/(BV43)</f>
        <v>1250</v>
      </c>
      <c r="BW56" s="96">
        <f>((BW44-BW55)*1000)/(BW43)</f>
        <v>527.27272727272566</v>
      </c>
      <c r="BX56" s="90">
        <f>((BX44-BX55)*1000)/(BX43)</f>
        <v>1118.1818181818167</v>
      </c>
      <c r="BY56" s="91">
        <f>((BY44-BY55)*1000)/(BY43)</f>
        <v>900</v>
      </c>
      <c r="BZ56" s="214"/>
      <c r="CA56" s="211"/>
      <c r="CB56" s="97">
        <f>((CB44-CB55)*1000)/(CB43)</f>
        <v>1450</v>
      </c>
      <c r="CC56" s="91">
        <f>((CC44-CC55)*1000)/(CC43)</f>
        <v>850</v>
      </c>
      <c r="CD56" s="214"/>
      <c r="CE56" s="211"/>
      <c r="CF56" s="97">
        <f>((CF44-CF55)*1000)/(CF43)</f>
        <v>891.66666666666799</v>
      </c>
      <c r="CG56" s="96">
        <f>((CG44-CG55)*1000)/(CG43)</f>
        <v>530.00000000000114</v>
      </c>
      <c r="CH56" s="90">
        <f>((CH44-CH55)*1000)/(CH43)</f>
        <v>1489.9999999999977</v>
      </c>
      <c r="CI56" s="91">
        <f>((CI44-CI55)*1000)/(CI43)</f>
        <v>1000</v>
      </c>
      <c r="CJ56" s="214"/>
      <c r="CK56" s="211"/>
      <c r="CL56" s="97">
        <f>((CL44-CL55)*1000)/(CL43)</f>
        <v>1530.0000000000011</v>
      </c>
      <c r="CM56" s="91">
        <f>((CM44-CM55)*1000)/(CM43)</f>
        <v>1030.0000000000011</v>
      </c>
      <c r="CN56" s="214"/>
      <c r="CO56" s="211"/>
      <c r="CP56" s="78">
        <f>((CP44-CP55)*1000)/(CP43)</f>
        <v>1880.0000000000011</v>
      </c>
      <c r="CQ56" s="96">
        <f>((CQ44-CQ55)*1000)/(CQ43)</f>
        <v>483.33333333333189</v>
      </c>
      <c r="CR56" s="90">
        <f>((CR44-CR55)*1000)/(CR43)</f>
        <v>1172.7272727272732</v>
      </c>
      <c r="CS56" s="91">
        <f>((CS44-CS55)*1000)/(CS43)</f>
        <v>900</v>
      </c>
      <c r="CT56" s="214"/>
      <c r="CU56" s="210"/>
      <c r="CV56" s="97">
        <f>((CV44-CV55)*1000)/(CV43)</f>
        <v>1766.6666666666681</v>
      </c>
      <c r="CW56" s="95">
        <f>((CW44-CW55)*1000)/(CW43)</f>
        <v>959.99999999999943</v>
      </c>
      <c r="CX56" s="210"/>
      <c r="CY56" s="211"/>
      <c r="CZ56" s="78">
        <f>((CZ44-CZ55)*1000)/(CZ43)</f>
        <v>2279.9999999999982</v>
      </c>
      <c r="DA56" s="98">
        <f>((DA44-DA55)*1000)/(DA43)</f>
        <v>990.00000000000057</v>
      </c>
      <c r="DB56" s="90">
        <f>((DB44-DB55)*1000)/(DB43)</f>
        <v>4563.6363636363649</v>
      </c>
      <c r="DC56" s="90">
        <f>((DC44-DC55)*1000)/(DC43)</f>
        <v>781.8181818181813</v>
      </c>
      <c r="DD56" s="214"/>
      <c r="DE56" s="210"/>
      <c r="DF56" s="97">
        <f>((DF44-DF55)*1000)/(DF43)</f>
        <v>1819.9999999999989</v>
      </c>
      <c r="DG56" s="91">
        <f>((DG44-DG55)*1000)/(DG43)</f>
        <v>1120.0000000000016</v>
      </c>
      <c r="DH56" s="210"/>
      <c r="DI56" s="211"/>
      <c r="DJ56" s="1">
        <f>((DJ44-DJ55)*1000)/(DJ43)</f>
        <v>1850</v>
      </c>
      <c r="DK56" s="96">
        <f>((DK44-DK55)*1000)/(DK43)</f>
        <v>863.63636363636363</v>
      </c>
      <c r="DL56" s="90">
        <f>((DL44-DL55)*1000)/(DL43)</f>
        <v>1450</v>
      </c>
      <c r="DM56" s="90">
        <f>((DM44-DM55)*1000)/(DM43)</f>
        <v>900</v>
      </c>
      <c r="DN56" s="214"/>
      <c r="DO56" s="210"/>
      <c r="DP56" s="97">
        <f>((DP44-DP55)*1000)/(DP43)</f>
        <v>2529.9999999999982</v>
      </c>
      <c r="DQ56" s="91">
        <f>((DQ44-DQ55)*1000)/(DQ43)</f>
        <v>0</v>
      </c>
      <c r="DR56" s="210"/>
      <c r="DS56" s="211"/>
      <c r="DT56" s="90">
        <f>((DT44-DT55)*1000)/(DT43)</f>
        <v>1500</v>
      </c>
      <c r="DU56" s="96">
        <f>((DU44-DU55)*1000)/(DU43)</f>
        <v>63.636363636365189</v>
      </c>
      <c r="DV56" s="90">
        <f>((DV44-DV55)*1000)/(DV43)</f>
        <v>2350</v>
      </c>
      <c r="DW56" s="90">
        <f>((DW44-DW55)*1000)/(DW43)</f>
        <v>783.33333333333383</v>
      </c>
      <c r="DX56" s="214"/>
      <c r="DY56" s="210"/>
      <c r="DZ56" s="97">
        <f>((DZ44-DZ55)*1000)/(DZ43)</f>
        <v>2519.9999999999991</v>
      </c>
      <c r="EA56" s="91">
        <f>((EA44-EA55)*1000)/(EA43)</f>
        <v>950</v>
      </c>
      <c r="EB56" s="210"/>
      <c r="EC56" s="211"/>
      <c r="ED56" s="1">
        <f>((ED44-ED55)*1000)/(ED43)</f>
        <v>1870.0000000000018</v>
      </c>
      <c r="EE56" s="98">
        <f>((EE44-EE55)*1000)/(EE43)</f>
        <v>19.999999999998863</v>
      </c>
      <c r="EF56" s="90">
        <f>((EF44-EF55)*1000)/(EF43)</f>
        <v>2109.9999999999991</v>
      </c>
      <c r="EG56" s="90">
        <f>((EG44-EG55)*1000)/(EG43)</f>
        <v>63.636363636365189</v>
      </c>
      <c r="EH56" s="214"/>
      <c r="EI56" s="210"/>
      <c r="EJ56" s="97">
        <f>((EJ44-EJ55)*1000)/(EJ43)</f>
        <v>2900</v>
      </c>
      <c r="EK56" s="91">
        <f>((EK44-EK55)*1000)/(EK43)</f>
        <v>939.99999999999784</v>
      </c>
      <c r="EL56" s="210"/>
      <c r="EM56" s="211"/>
      <c r="EN56" s="1">
        <f>((EN44-EN55)*1000)/(EN43)</f>
        <v>2739.9999999999977</v>
      </c>
      <c r="EO56" s="98">
        <f>((EO44-EO55)*1000)/(EO43)</f>
        <v>959.99999999999943</v>
      </c>
      <c r="EP56" s="90">
        <f>((EP44-EP55)*1000)/(EP43)</f>
        <v>3210.0000000000023</v>
      </c>
      <c r="EQ56" s="90">
        <f>((EQ44-EQ55)*1000)/(EQ43)</f>
        <v>940.00000000000057</v>
      </c>
      <c r="ER56" s="214"/>
      <c r="ES56" s="210"/>
      <c r="ET56" s="97">
        <f>((ET44-ET55)*1000)/(ET43)</f>
        <v>1969.9999999999989</v>
      </c>
      <c r="EU56" s="91">
        <f>((EU44-EU55)*1000)/(EU43)</f>
        <v>1030.0000000000011</v>
      </c>
      <c r="EV56" s="210"/>
      <c r="EW56" s="211"/>
      <c r="EX56" s="1">
        <f>((EX44-EX55)*1000)/(EX43)</f>
        <v>4189.9999999999982</v>
      </c>
      <c r="EY56" s="98">
        <f>((EY44-EY55)*1000)/(EY43)</f>
        <v>909.99999999999943</v>
      </c>
      <c r="EZ56" s="90">
        <f>((EZ44-EZ55)*1000)/(EZ43)</f>
        <v>7160</v>
      </c>
      <c r="FA56" s="90">
        <f>((FA44-FA55)*1000)/(FA43)</f>
        <v>929.99999999999841</v>
      </c>
      <c r="FB56" s="214"/>
      <c r="FC56" s="210"/>
      <c r="FD56" s="97">
        <f>((FD44-FD55)*1000)/(FD43)</f>
        <v>1609.9999999999995</v>
      </c>
      <c r="FE56" s="91">
        <f>((FE44-FE55)*1000)/(FE43)</f>
        <v>1040.0000000000005</v>
      </c>
      <c r="FF56" s="210"/>
      <c r="FG56" s="211"/>
      <c r="FH56" s="1">
        <f>((FH44-FH55)*1000)/(FH43)</f>
        <v>2840.0000000000009</v>
      </c>
      <c r="FI56" s="98">
        <f>((FI44-FI55)*1000)/(FI43)</f>
        <v>1059.9999999999995</v>
      </c>
      <c r="FJ56" s="90">
        <f>((FJ44-FJ55)*1000)/(FJ43)</f>
        <v>1609.9999999999995</v>
      </c>
      <c r="FK56" s="90">
        <f>((FK44-FK55)*1000)/(FK43)</f>
        <v>970.00000000000159</v>
      </c>
      <c r="FL56" s="214"/>
      <c r="FM56" s="210"/>
      <c r="FN56" s="97">
        <f>((FN44-FN55)*1000)/(FN43)</f>
        <v>2030.0000000000011</v>
      </c>
      <c r="FO56" s="91">
        <f>((FO44-FO55)*1000)/(FO43)</f>
        <v>980.00000000000114</v>
      </c>
      <c r="FP56" s="210"/>
      <c r="FQ56" s="211"/>
      <c r="FR56" s="1">
        <f>((FR44-FR55)*1000)/(FR43)</f>
        <v>2059.9999999999991</v>
      </c>
      <c r="FS56" s="98">
        <f>((FS44-FS55)*1000)/(FS43)</f>
        <v>890.00000000000057</v>
      </c>
      <c r="FT56" s="90">
        <f>((FT44-FT55)*1000)/(FT43)</f>
        <v>8820.0000000000018</v>
      </c>
      <c r="FU56" s="90">
        <f>((FU44-FU55)*1000)/(FU43)</f>
        <v>22650</v>
      </c>
      <c r="FV56" s="214"/>
      <c r="FW56" s="210"/>
      <c r="FX56" s="97">
        <f>((FX44-FX55)*1000)/(FX43)</f>
        <v>3379.9999999999986</v>
      </c>
      <c r="FY56" s="91">
        <f>((FY44-FY55)*1000)/(FY43)</f>
        <v>969.99999999999886</v>
      </c>
      <c r="FZ56" s="210"/>
      <c r="GA56" s="211"/>
      <c r="GB56" s="1">
        <f>((GB44-GB55)*1000)/(GB43)</f>
        <v>1740.0000000000007</v>
      </c>
      <c r="GC56" s="98">
        <f>((GC44-GC55)*1000)/(GC43)</f>
        <v>990.00000000000057</v>
      </c>
      <c r="GD56" s="90">
        <f>((GD44-GD55)*1000)/(GD43)</f>
        <v>5800</v>
      </c>
      <c r="GE56" s="90">
        <f>((GE44-GE55)*1000)/(GE43)</f>
        <v>959.99999999999943</v>
      </c>
      <c r="GF56" s="214"/>
      <c r="GG56" s="210"/>
      <c r="GH56" s="97">
        <f>((GH44-GH55)*1000)/(GH43)</f>
        <v>1254.5454545454556</v>
      </c>
      <c r="GI56" s="91">
        <f>((GI44-GI55)*1000)/(GI43)</f>
        <v>890.9090909090919</v>
      </c>
      <c r="GJ56" s="210"/>
      <c r="GK56" s="211"/>
      <c r="GL56" s="1">
        <f>((GL44-GL55)*1000)/(GL43)</f>
        <v>1440.0000000000005</v>
      </c>
      <c r="GM56" s="98">
        <f>((GM44-GM55)*1000)/(GM43)</f>
        <v>1019.9999999999989</v>
      </c>
      <c r="GN56" s="90">
        <f>((GN44-GN55)*1000)/(GN43)</f>
        <v>1309.9999999999995</v>
      </c>
      <c r="GO56" s="90">
        <f>((GO44-GO55)*1000)/(GO43)</f>
        <v>1050</v>
      </c>
      <c r="GP56" s="214"/>
      <c r="GQ56" s="210"/>
      <c r="GR56" s="97">
        <f>((GR44-GR55)*1000)/(GR43)</f>
        <v>1512.4999999999993</v>
      </c>
      <c r="GS56" s="91">
        <f>((GS44-GS55)*1000)/(GS43)</f>
        <v>27750</v>
      </c>
      <c r="GT56" s="210"/>
      <c r="GU56" s="211"/>
      <c r="GV56" s="90">
        <f>((GV44-GV55)*1000)/(GV43)</f>
        <v>1871.4285714285706</v>
      </c>
      <c r="GW56" s="96">
        <f>((GW44-GW55)*1000)/(GW43)</f>
        <v>1583.3333333333333</v>
      </c>
    </row>
    <row r="57" spans="1:235" x14ac:dyDescent="0.2">
      <c r="A57" s="2"/>
      <c r="B57" s="3"/>
      <c r="C57" s="23" t="s">
        <v>99</v>
      </c>
      <c r="D57" s="210"/>
      <c r="E57" s="295"/>
      <c r="F57" s="62">
        <v>118.3</v>
      </c>
      <c r="G57" s="62">
        <v>118</v>
      </c>
      <c r="H57" s="214"/>
      <c r="I57" s="211"/>
      <c r="J57" s="82">
        <v>117.3</v>
      </c>
      <c r="K57" s="74">
        <v>118.2</v>
      </c>
      <c r="L57" s="329"/>
      <c r="M57" s="329"/>
      <c r="N57" s="82">
        <v>118.9</v>
      </c>
      <c r="O57" s="83">
        <v>117.2</v>
      </c>
      <c r="P57" s="62">
        <v>116.5</v>
      </c>
      <c r="Q57" s="74">
        <v>117.6</v>
      </c>
      <c r="R57" s="214"/>
      <c r="S57" s="210"/>
      <c r="T57" s="82">
        <v>121.8</v>
      </c>
      <c r="U57" s="74">
        <v>117</v>
      </c>
      <c r="V57" s="210"/>
      <c r="W57" s="211"/>
      <c r="X57" s="62">
        <v>121.3</v>
      </c>
      <c r="Y57" s="83">
        <v>120.6</v>
      </c>
      <c r="Z57" s="2"/>
      <c r="AA57" s="28"/>
      <c r="AB57" s="214"/>
      <c r="AC57" s="211"/>
      <c r="AD57" s="3"/>
      <c r="AE57" s="28"/>
      <c r="AF57" s="214"/>
      <c r="AG57" s="211"/>
      <c r="AH57" s="3"/>
      <c r="AI57" s="4"/>
      <c r="AJ57" s="2"/>
      <c r="AK57" s="28"/>
      <c r="AL57" s="214"/>
      <c r="AM57" s="211"/>
      <c r="AN57" s="3"/>
      <c r="AO57" s="28"/>
      <c r="AP57" s="214"/>
      <c r="AQ57" s="211"/>
      <c r="AR57" s="3"/>
      <c r="AS57" s="4"/>
      <c r="AT57" s="2"/>
      <c r="AU57" s="28"/>
      <c r="AV57" s="214"/>
      <c r="AW57" s="210"/>
      <c r="AX57" s="3"/>
      <c r="AY57" s="28"/>
      <c r="AZ57" s="210"/>
      <c r="BA57" s="211"/>
      <c r="BB57" s="3"/>
      <c r="BC57" s="4"/>
      <c r="BD57" s="2"/>
      <c r="BE57" s="28"/>
      <c r="BF57" s="214"/>
      <c r="BG57" s="210"/>
      <c r="BH57" s="3"/>
      <c r="BI57" s="28"/>
      <c r="BJ57" s="210"/>
      <c r="BK57" s="211"/>
      <c r="BL57" s="3"/>
      <c r="BM57" s="4"/>
      <c r="BN57" s="2"/>
      <c r="BO57" s="28"/>
      <c r="BP57" s="214"/>
      <c r="BQ57" s="211"/>
      <c r="BR57" s="3"/>
      <c r="BS57" s="28"/>
      <c r="BT57" s="214"/>
      <c r="BU57" s="211"/>
      <c r="BV57" s="3"/>
      <c r="BW57" s="4"/>
      <c r="BX57" s="2"/>
      <c r="BY57" s="28"/>
      <c r="BZ57" s="214"/>
      <c r="CA57" s="211"/>
      <c r="CB57" s="3"/>
      <c r="CC57" s="28"/>
      <c r="CD57" s="214"/>
      <c r="CE57" s="211"/>
      <c r="CF57" s="3">
        <v>210.4</v>
      </c>
      <c r="CG57" s="4">
        <v>210.9</v>
      </c>
      <c r="CH57" s="62"/>
      <c r="CI57" s="74"/>
      <c r="CJ57" s="214"/>
      <c r="CK57" s="211"/>
      <c r="CL57" s="3"/>
      <c r="CM57" s="28"/>
      <c r="CN57" s="214"/>
      <c r="CO57" s="211"/>
      <c r="CP57" s="3">
        <v>208.1</v>
      </c>
      <c r="CQ57" s="4">
        <v>210.7</v>
      </c>
      <c r="CR57" s="62"/>
      <c r="CS57" s="74"/>
      <c r="CT57" s="214"/>
      <c r="CU57" s="210"/>
      <c r="CV57" s="3"/>
      <c r="CW57" s="28"/>
      <c r="CX57" s="210"/>
      <c r="CY57" s="211"/>
      <c r="CZ57" s="3"/>
      <c r="DA57" s="4"/>
      <c r="DB57" s="62"/>
      <c r="DC57" s="74"/>
      <c r="DD57" s="214"/>
      <c r="DE57" s="210"/>
      <c r="DF57" s="82"/>
      <c r="DG57" s="74"/>
      <c r="DH57" s="210"/>
      <c r="DI57" s="211"/>
      <c r="DJ57" s="2"/>
      <c r="DK57" s="4"/>
      <c r="DL57" s="62"/>
      <c r="DM57" s="74"/>
      <c r="DN57" s="214"/>
      <c r="DO57" s="210"/>
      <c r="DP57" s="82"/>
      <c r="DQ57" s="74"/>
      <c r="DR57" s="210"/>
      <c r="DS57" s="211"/>
      <c r="DT57" s="9"/>
      <c r="DU57" s="30"/>
      <c r="DV57" s="62"/>
      <c r="DW57" s="74"/>
      <c r="DX57" s="214"/>
      <c r="DY57" s="210"/>
      <c r="DZ57" s="82"/>
      <c r="EA57" s="74"/>
      <c r="EB57" s="210"/>
      <c r="EC57" s="211"/>
      <c r="ED57" s="2"/>
      <c r="EE57" s="4"/>
      <c r="EF57" s="62"/>
      <c r="EG57" s="74"/>
      <c r="EH57" s="214"/>
      <c r="EI57" s="210"/>
      <c r="EJ57" s="82"/>
      <c r="EK57" s="74"/>
      <c r="EL57" s="210"/>
      <c r="EM57" s="211"/>
      <c r="EN57" s="2"/>
      <c r="EO57" s="4"/>
      <c r="EP57" s="62"/>
      <c r="EQ57" s="74"/>
      <c r="ER57" s="214"/>
      <c r="ES57" s="210"/>
      <c r="ET57" s="82"/>
      <c r="EU57" s="74"/>
      <c r="EV57" s="210"/>
      <c r="EW57" s="211"/>
      <c r="EX57" s="2"/>
      <c r="EY57" s="4"/>
      <c r="EZ57" s="62"/>
      <c r="FA57" s="74"/>
      <c r="FB57" s="214"/>
      <c r="FC57" s="210"/>
      <c r="FD57" s="82"/>
      <c r="FE57" s="74"/>
      <c r="FF57" s="210"/>
      <c r="FG57" s="211"/>
      <c r="FH57" s="2"/>
      <c r="FI57" s="4"/>
      <c r="FJ57" s="62"/>
      <c r="FK57" s="74"/>
      <c r="FL57" s="214"/>
      <c r="FM57" s="210"/>
      <c r="FN57" s="82"/>
      <c r="FO57" s="74"/>
      <c r="FP57" s="210"/>
      <c r="FQ57" s="211"/>
      <c r="FR57" s="2"/>
      <c r="FS57" s="4"/>
      <c r="FT57" s="62"/>
      <c r="FU57" s="74"/>
      <c r="FV57" s="214"/>
      <c r="FW57" s="210"/>
      <c r="FX57" s="82"/>
      <c r="FY57" s="74"/>
      <c r="FZ57" s="210"/>
      <c r="GA57" s="211"/>
      <c r="GB57" s="2"/>
      <c r="GC57" s="4"/>
      <c r="GD57" s="62"/>
      <c r="GE57" s="74"/>
      <c r="GF57" s="214"/>
      <c r="GG57" s="210"/>
      <c r="GH57" s="82"/>
      <c r="GI57" s="74"/>
      <c r="GJ57" s="210"/>
      <c r="GK57" s="211"/>
      <c r="GL57" s="2"/>
      <c r="GM57" s="4"/>
      <c r="GN57" s="62"/>
      <c r="GO57" s="74"/>
      <c r="GP57" s="214"/>
      <c r="GQ57" s="210"/>
      <c r="GR57" s="82"/>
      <c r="GS57" s="74"/>
      <c r="GT57" s="210"/>
      <c r="GU57" s="211"/>
      <c r="GV57" s="2"/>
      <c r="GW57" s="4"/>
    </row>
    <row r="58" spans="1:235" x14ac:dyDescent="0.2">
      <c r="A58" s="2"/>
      <c r="B58" s="3"/>
      <c r="C58" s="23">
        <v>3</v>
      </c>
      <c r="D58" s="228"/>
      <c r="E58" s="233"/>
      <c r="F58" s="90">
        <f>((F48-F57)*1000)/(F47)</f>
        <v>150</v>
      </c>
      <c r="G58" s="90">
        <f>((G48-G57)*1000)/(G47)</f>
        <v>105.99999999999994</v>
      </c>
      <c r="H58" s="224"/>
      <c r="I58" s="231"/>
      <c r="J58" s="92">
        <f>((J48-J57)*1000)/(J47)</f>
        <v>464.00000000000006</v>
      </c>
      <c r="K58" s="94">
        <f>((K48-K57)*1000)/(K47)</f>
        <v>50</v>
      </c>
      <c r="L58" s="253"/>
      <c r="M58" s="253"/>
      <c r="N58" s="97">
        <f>((N48-N57)*1000)/(N47)</f>
        <v>618.00000000000011</v>
      </c>
      <c r="O58" s="93">
        <f>((O48-O57)*1000)/(O47)</f>
        <v>50</v>
      </c>
      <c r="P58" s="90">
        <f>((P48-P57)*1000)/(P47)</f>
        <v>321.99999999999989</v>
      </c>
      <c r="Q58" s="94">
        <f>((Q48-Q57)*1000)/(Q47)</f>
        <v>400</v>
      </c>
      <c r="R58" s="214"/>
      <c r="S58" s="210"/>
      <c r="T58" s="92">
        <f>((T48-T57)*1000)/(T47)</f>
        <v>260.00000000000011</v>
      </c>
      <c r="U58" s="94">
        <f>((U48-U57)*1000)/(U47)</f>
        <v>229.99999999999972</v>
      </c>
      <c r="V58" s="210"/>
      <c r="W58" s="211"/>
      <c r="X58" s="90">
        <f>((X48-X57)*1000)/(X47)</f>
        <v>425.00000000000074</v>
      </c>
      <c r="Y58" s="93">
        <f>((Y48-Y57)*1000)/(Y47)</f>
        <v>110.00000000000014</v>
      </c>
      <c r="Z58" s="313"/>
      <c r="AA58" s="310"/>
      <c r="AB58" s="214"/>
      <c r="AC58" s="211"/>
      <c r="AD58" s="78"/>
      <c r="AE58" s="95"/>
      <c r="AF58" s="214"/>
      <c r="AG58" s="211"/>
      <c r="AH58" s="78"/>
      <c r="AI58" s="98"/>
      <c r="AJ58" s="313"/>
      <c r="AK58" s="310"/>
      <c r="AL58" s="214"/>
      <c r="AM58" s="211"/>
      <c r="AN58" s="78"/>
      <c r="AO58" s="95"/>
      <c r="AP58" s="214"/>
      <c r="AQ58" s="211"/>
      <c r="AR58" s="78"/>
      <c r="AS58" s="98"/>
      <c r="AT58" s="313"/>
      <c r="AU58" s="310"/>
      <c r="AV58" s="214"/>
      <c r="AW58" s="210"/>
      <c r="AX58" s="78"/>
      <c r="AY58" s="95"/>
      <c r="AZ58" s="210"/>
      <c r="BA58" s="211"/>
      <c r="BB58" s="78"/>
      <c r="BC58" s="98"/>
      <c r="BD58" s="313"/>
      <c r="BE58" s="310"/>
      <c r="BF58" s="214"/>
      <c r="BG58" s="210"/>
      <c r="BH58" s="78"/>
      <c r="BI58" s="95"/>
      <c r="BJ58" s="210"/>
      <c r="BK58" s="211"/>
      <c r="BL58" s="78"/>
      <c r="BM58" s="98"/>
      <c r="BN58" s="313"/>
      <c r="BO58" s="310"/>
      <c r="BP58" s="214"/>
      <c r="BQ58" s="211"/>
      <c r="BR58" s="78"/>
      <c r="BS58" s="95"/>
      <c r="BT58" s="214"/>
      <c r="BU58" s="211"/>
      <c r="BV58" s="78"/>
      <c r="BW58" s="98"/>
      <c r="BX58" s="313"/>
      <c r="BY58" s="310"/>
      <c r="BZ58" s="214"/>
      <c r="CA58" s="211"/>
      <c r="CB58" s="78"/>
      <c r="CC58" s="95"/>
      <c r="CD58" s="214"/>
      <c r="CE58" s="211"/>
      <c r="CF58" s="97">
        <f>((CF48-CF57)*1000)/(CF47)</f>
        <v>963.63636363636317</v>
      </c>
      <c r="CG58" s="98">
        <f>((CG48-CG57)*1000)/(CG47)</f>
        <v>540.00000000000057</v>
      </c>
      <c r="CH58" s="300"/>
      <c r="CI58" s="302"/>
      <c r="CJ58" s="214"/>
      <c r="CK58" s="211"/>
      <c r="CL58" s="78"/>
      <c r="CM58" s="95"/>
      <c r="CN58" s="214"/>
      <c r="CO58" s="211"/>
      <c r="CP58" s="78">
        <f>((CP48-CP57)*1000)/(CP47)</f>
        <v>1700</v>
      </c>
      <c r="CQ58" s="96">
        <f>((CQ48-CQ57)*1000)/(CQ47)</f>
        <v>472.72727272727428</v>
      </c>
      <c r="CR58" s="300"/>
      <c r="CS58" s="302"/>
      <c r="CT58" s="214"/>
      <c r="CU58" s="210"/>
      <c r="CV58" s="78"/>
      <c r="CW58" s="95"/>
      <c r="CX58" s="210"/>
      <c r="CY58" s="211"/>
      <c r="CZ58" s="78"/>
      <c r="DA58" s="98"/>
      <c r="DB58" s="90"/>
      <c r="DC58" s="91"/>
      <c r="DD58" s="214"/>
      <c r="DE58" s="210"/>
      <c r="DF58" s="97"/>
      <c r="DG58" s="91"/>
      <c r="DH58" s="210"/>
      <c r="DI58" s="211"/>
      <c r="DJ58" s="1"/>
      <c r="DK58" s="98"/>
      <c r="DL58" s="90"/>
      <c r="DM58" s="91"/>
      <c r="DN58" s="214"/>
      <c r="DO58" s="210"/>
      <c r="DP58" s="97"/>
      <c r="DQ58" s="91"/>
      <c r="DR58" s="210"/>
      <c r="DS58" s="211"/>
      <c r="DT58" s="330"/>
      <c r="DU58" s="101"/>
      <c r="DV58" s="90"/>
      <c r="DW58" s="91"/>
      <c r="DX58" s="214"/>
      <c r="DY58" s="210"/>
      <c r="DZ58" s="97"/>
      <c r="EA58" s="91"/>
      <c r="EB58" s="210"/>
      <c r="EC58" s="211"/>
      <c r="ED58" s="1"/>
      <c r="EE58" s="98"/>
      <c r="EF58" s="90"/>
      <c r="EG58" s="91"/>
      <c r="EH58" s="214"/>
      <c r="EI58" s="210"/>
      <c r="EJ58" s="97"/>
      <c r="EK58" s="91"/>
      <c r="EL58" s="210"/>
      <c r="EM58" s="211"/>
      <c r="EN58" s="1"/>
      <c r="EO58" s="98"/>
      <c r="EP58" s="90"/>
      <c r="EQ58" s="91"/>
      <c r="ER58" s="214"/>
      <c r="ES58" s="210"/>
      <c r="ET58" s="97"/>
      <c r="EU58" s="91"/>
      <c r="EV58" s="210"/>
      <c r="EW58" s="211"/>
      <c r="EX58" s="1"/>
      <c r="EY58" s="98"/>
      <c r="EZ58" s="90"/>
      <c r="FA58" s="91"/>
      <c r="FB58" s="214"/>
      <c r="FC58" s="210"/>
      <c r="FD58" s="97"/>
      <c r="FE58" s="91"/>
      <c r="FF58" s="210"/>
      <c r="FG58" s="211"/>
      <c r="FH58" s="1"/>
      <c r="FI58" s="98"/>
      <c r="FJ58" s="90"/>
      <c r="FK58" s="91"/>
      <c r="FL58" s="214"/>
      <c r="FM58" s="210"/>
      <c r="FN58" s="97"/>
      <c r="FO58" s="91"/>
      <c r="FP58" s="210"/>
      <c r="FQ58" s="211"/>
      <c r="FR58" s="1"/>
      <c r="FS58" s="98"/>
      <c r="FT58" s="90"/>
      <c r="FU58" s="91"/>
      <c r="FV58" s="214"/>
      <c r="FW58" s="210"/>
      <c r="FX58" s="97"/>
      <c r="FY58" s="91"/>
      <c r="FZ58" s="210"/>
      <c r="GA58" s="211"/>
      <c r="GB58" s="1"/>
      <c r="GC58" s="98"/>
      <c r="GD58" s="90"/>
      <c r="GE58" s="91"/>
      <c r="GF58" s="214"/>
      <c r="GG58" s="210"/>
      <c r="GH58" s="97"/>
      <c r="GI58" s="91"/>
      <c r="GJ58" s="210"/>
      <c r="GK58" s="211"/>
      <c r="GL58" s="1"/>
      <c r="GM58" s="98"/>
      <c r="GN58" s="90"/>
      <c r="GO58" s="91"/>
      <c r="GP58" s="214"/>
      <c r="GQ58" s="210"/>
      <c r="GR58" s="97"/>
      <c r="GS58" s="91"/>
      <c r="GT58" s="210"/>
      <c r="GU58" s="211"/>
      <c r="GV58" s="1"/>
      <c r="GW58" s="98"/>
    </row>
    <row r="59" spans="1:235" x14ac:dyDescent="0.2">
      <c r="A59" s="2"/>
      <c r="B59" s="3"/>
      <c r="C59" s="220" t="s">
        <v>87</v>
      </c>
      <c r="D59" s="228"/>
      <c r="E59" s="233"/>
      <c r="F59" s="253">
        <f>AVERAGE(F54,F56,F58)</f>
        <v>145.0588235294118</v>
      </c>
      <c r="G59" s="253">
        <f>AVERAGE(G54,G56,G58)</f>
        <v>99.346405228758087</v>
      </c>
      <c r="H59" s="248"/>
      <c r="I59" s="255"/>
      <c r="J59" s="250">
        <f>AVERAGE(J54,J58)</f>
        <v>464.99999999999989</v>
      </c>
      <c r="K59" s="249">
        <f>AVERAGE(K56,K58)</f>
        <v>60.999999999999943</v>
      </c>
      <c r="L59" s="253"/>
      <c r="M59" s="253"/>
      <c r="N59" s="250">
        <f>AVERAGE(N54,N56)</f>
        <v>526</v>
      </c>
      <c r="O59" s="254">
        <f>AVERAGE(O54,O58)</f>
        <v>45.999999999999943</v>
      </c>
      <c r="P59" s="328">
        <f>AVERAGE(P54,P56)</f>
        <v>239.00000000000006</v>
      </c>
      <c r="Q59" s="331">
        <f>AVERAGE(Q58,Q56)</f>
        <v>407.49999999999989</v>
      </c>
      <c r="R59" s="326"/>
      <c r="S59" s="210"/>
      <c r="T59" s="250">
        <f>AVERAGE(T54,T58)</f>
        <v>305.00000000000006</v>
      </c>
      <c r="U59" s="249">
        <f>AVERAGE(U54,U58)</f>
        <v>232.49999999999994</v>
      </c>
      <c r="V59" s="210"/>
      <c r="W59" s="211"/>
      <c r="X59" s="247">
        <f>AVERAGE(X54,X56)</f>
        <v>342.49999999999977</v>
      </c>
      <c r="Y59" s="254">
        <f>AVERAGE(Y54,Y58)</f>
        <v>127.50000000000021</v>
      </c>
      <c r="Z59" s="253">
        <f>AVERAGE(Z54,Z56)</f>
        <v>940.45454545454618</v>
      </c>
      <c r="AA59" s="255">
        <f>AVERAGE(AA54,AA56)</f>
        <v>608.63636363636419</v>
      </c>
      <c r="AB59" s="214"/>
      <c r="AC59" s="211"/>
      <c r="AD59" s="224">
        <f>AVERAGE(AD54,AD56)</f>
        <v>1180.0000000000009</v>
      </c>
      <c r="AE59" s="231">
        <f>AVERAGE(AE54,AE56)</f>
        <v>945.00000000000023</v>
      </c>
      <c r="AF59" s="214"/>
      <c r="AG59" s="211"/>
      <c r="AH59" s="248">
        <f>AVERAGE(AH54,AH56)</f>
        <v>725.00000000000023</v>
      </c>
      <c r="AI59" s="257">
        <f>AVERAGE(AI54,AI56)</f>
        <v>560.90909090909167</v>
      </c>
      <c r="AJ59" s="253">
        <f>AVERAGE(AJ54,AJ56)</f>
        <v>1058.3333333333337</v>
      </c>
      <c r="AK59" s="255">
        <f>AVERAGE(AK54,AK56)</f>
        <v>577.27272727272816</v>
      </c>
      <c r="AL59" s="214"/>
      <c r="AM59" s="211"/>
      <c r="AN59" s="248">
        <f>AVERAGE(AN54,AN56)</f>
        <v>913.33333333333212</v>
      </c>
      <c r="AO59" s="255">
        <f>AVERAGE(AO54,AO56)</f>
        <v>493.33333333333258</v>
      </c>
      <c r="AP59" s="214"/>
      <c r="AQ59" s="211"/>
      <c r="AR59" s="248">
        <f>AVERAGE(AR54,AR56)</f>
        <v>971.21212121212056</v>
      </c>
      <c r="AS59" s="257">
        <f>AVERAGE(AS54,AS56)</f>
        <v>553.6363636363634</v>
      </c>
      <c r="AT59" s="253">
        <f>AVERAGE(AT54,AT56)</f>
        <v>937.50000000000091</v>
      </c>
      <c r="AU59" s="253">
        <f>AVERAGE(AU54,AU56)</f>
        <v>605.90909090909042</v>
      </c>
      <c r="AV59" s="214"/>
      <c r="AW59" s="210"/>
      <c r="AX59" s="248">
        <f>AVERAGE(AX54,AX56)</f>
        <v>1202.2727272727268</v>
      </c>
      <c r="AY59" s="255">
        <f>AVERAGE(AY54,AY56)</f>
        <v>713.63636363636442</v>
      </c>
      <c r="AZ59" s="210"/>
      <c r="BA59" s="211"/>
      <c r="BB59" s="224">
        <f>AVERAGE(BB54,BB56)</f>
        <v>1279.9999999999995</v>
      </c>
      <c r="BC59" s="233">
        <f>AVERAGE(BC54,BC56)</f>
        <v>984.99999999999955</v>
      </c>
      <c r="BD59" s="253">
        <f>AVERAGE(BD54,BD56)</f>
        <v>1123.2026143790847</v>
      </c>
      <c r="BE59" s="253">
        <f>AVERAGE(BE54,BE56)</f>
        <v>1111.7647058823532</v>
      </c>
      <c r="BF59" s="214"/>
      <c r="BG59" s="210"/>
      <c r="BH59" s="248">
        <f>AVERAGE(BH54,BH56)</f>
        <v>1270.0757575757571</v>
      </c>
      <c r="BI59" s="255">
        <f>AVERAGE(BI54,BI56)</f>
        <v>1095.0000000000005</v>
      </c>
      <c r="BJ59" s="210"/>
      <c r="BK59" s="211"/>
      <c r="BL59" s="248">
        <f>AVERAGE(BL54,BL56)</f>
        <v>1535.2941176470586</v>
      </c>
      <c r="BM59" s="257">
        <f>AVERAGE(BM54,BM56)</f>
        <v>1464.7058823529399</v>
      </c>
      <c r="BN59" s="253">
        <f>AVERAGE(BN54,BN56)</f>
        <v>1091.6666666666674</v>
      </c>
      <c r="BO59" s="255">
        <f>AVERAGE(BO54,BO56)</f>
        <v>808.18181818181802</v>
      </c>
      <c r="BP59" s="214"/>
      <c r="BQ59" s="211"/>
      <c r="BR59" s="248">
        <f>AVERAGE(BR54,BR56)</f>
        <v>920</v>
      </c>
      <c r="BS59" s="255">
        <f>AVERAGE(BS54,BS56)</f>
        <v>604.54545454545496</v>
      </c>
      <c r="BT59" s="326"/>
      <c r="BU59" s="327"/>
      <c r="BV59" s="248">
        <f>AVERAGE(BV54,BV56)</f>
        <v>1145.8333333333335</v>
      </c>
      <c r="BW59" s="257">
        <f>AVERAGE(BW54,BW56)</f>
        <v>459.09090909090878</v>
      </c>
      <c r="BX59" s="253">
        <f>AVERAGE(BX54,BX56)</f>
        <v>1119.0909090909076</v>
      </c>
      <c r="BY59" s="255">
        <f>AVERAGE(BY54,BY56)</f>
        <v>881.81818181818176</v>
      </c>
      <c r="BZ59" s="214"/>
      <c r="CA59" s="211"/>
      <c r="CB59" s="248">
        <f>AVERAGE(CB54,CB56)</f>
        <v>1359.9999999999995</v>
      </c>
      <c r="CC59" s="255">
        <f>AVERAGE(CC54,CC56)</f>
        <v>980.00000000000114</v>
      </c>
      <c r="CD59" s="214"/>
      <c r="CE59" s="211"/>
      <c r="CF59" s="248">
        <f>AVERAGE(CF54,CF56,CF58)</f>
        <v>1003.2828282828282</v>
      </c>
      <c r="CG59" s="257">
        <f>AVERAGE(CG54,CG56,CG58)</f>
        <v>532.42424242424249</v>
      </c>
      <c r="CH59" s="253">
        <f>AVERAGE(CH54,CH56)</f>
        <v>1684.9999999999995</v>
      </c>
      <c r="CI59" s="255">
        <f>AVERAGE(CI54,CI56)</f>
        <v>1005.0000000000011</v>
      </c>
      <c r="CJ59" s="214"/>
      <c r="CK59" s="211"/>
      <c r="CL59" s="248">
        <f>AVERAGE(CL54,CL56)</f>
        <v>1590.0000000000005</v>
      </c>
      <c r="CM59" s="255">
        <f>AVERAGE(CM54,CM56)</f>
        <v>1035.0000000000009</v>
      </c>
      <c r="CN59" s="214"/>
      <c r="CO59" s="211"/>
      <c r="CP59" s="224">
        <f>AVERAGE(CP54,CP56,CP58)</f>
        <v>1740.0000000000007</v>
      </c>
      <c r="CQ59" s="257">
        <f>AVERAGE(CQ54,CQ56,CQ58)</f>
        <v>498.68686868686888</v>
      </c>
      <c r="CR59" s="253">
        <f>AVERAGE(CR54,CR56)</f>
        <v>1659.090909090909</v>
      </c>
      <c r="CS59" s="255">
        <f>AVERAGE(CS56)</f>
        <v>900</v>
      </c>
      <c r="CT59" s="214"/>
      <c r="CU59" s="210"/>
      <c r="CV59" s="248">
        <f>AVERAGE(CV54,CV56)</f>
        <v>1768.3333333333348</v>
      </c>
      <c r="CW59" s="255">
        <f>AVERAGE(CW54,CW56)</f>
        <v>929.99999999999977</v>
      </c>
      <c r="CX59" s="210"/>
      <c r="CY59" s="211"/>
      <c r="CZ59" s="224">
        <f>AVERAGE(CZ54,CZ56)</f>
        <v>2254.9999999999995</v>
      </c>
      <c r="DA59" s="233">
        <f>AVERAGE(DA54,DA56)</f>
        <v>1000</v>
      </c>
      <c r="DB59" s="253">
        <f>AVERAGE(DB54,DB56)</f>
        <v>4411.818181818182</v>
      </c>
      <c r="DC59" s="255">
        <f>AVERAGE(DC54,DC56)</f>
        <v>877.27272727272657</v>
      </c>
      <c r="DD59" s="326"/>
      <c r="DE59" s="210"/>
      <c r="DF59" s="248">
        <f>AVERAGE(DF54,DF56)</f>
        <v>1614.9999999999991</v>
      </c>
      <c r="DG59" s="255">
        <f>AVERAGE(DG54,DG56)</f>
        <v>1040.0000000000005</v>
      </c>
      <c r="DH59" s="210"/>
      <c r="DI59" s="211"/>
      <c r="DJ59" s="253">
        <f>AVERAGE(DJ54,DJ56)</f>
        <v>1765.909090909091</v>
      </c>
      <c r="DK59" s="257">
        <f>AVERAGE(DK54,DK56)</f>
        <v>866.81818181818267</v>
      </c>
      <c r="DL59" s="253">
        <f>AVERAGE(DL54,DL56)</f>
        <v>1388.6363636363646</v>
      </c>
      <c r="DM59" s="255">
        <f>AVERAGE(DM54,DM56)</f>
        <v>915.00000000000057</v>
      </c>
      <c r="DN59" s="326"/>
      <c r="DO59" s="210"/>
      <c r="DP59" s="248">
        <f>AVERAGE(DP54,DP56)</f>
        <v>2534.9999999999995</v>
      </c>
      <c r="DQ59" s="255">
        <f>AVERAGE(DQ54)</f>
        <v>79.999999999998295</v>
      </c>
      <c r="DR59" s="210"/>
      <c r="DS59" s="211"/>
      <c r="DT59" s="253">
        <f>AVERAGE(DT54,DT56)</f>
        <v>1358.3333333333344</v>
      </c>
      <c r="DU59" s="257">
        <f>AVERAGE(DU54,DU56)</f>
        <v>71.818181818183163</v>
      </c>
      <c r="DV59" s="253">
        <f>AVERAGE(DV54,DV56)</f>
        <v>2229.166666666667</v>
      </c>
      <c r="DW59" s="255">
        <f>AVERAGE(DW54,DW56)</f>
        <v>823.48484848484873</v>
      </c>
      <c r="DX59" s="326"/>
      <c r="DY59" s="210"/>
      <c r="DZ59" s="248">
        <f>AVERAGE(DZ54,DZ56)</f>
        <v>2430</v>
      </c>
      <c r="EA59" s="255">
        <f>AVERAGE(EA54,EA56)</f>
        <v>950</v>
      </c>
      <c r="EB59" s="210"/>
      <c r="EC59" s="211"/>
      <c r="ED59" s="253">
        <f>AVERAGE(ED54,ED56)</f>
        <v>1745.0000000000005</v>
      </c>
      <c r="EE59" s="257">
        <f>AVERAGE(EE56)</f>
        <v>19.999999999998863</v>
      </c>
      <c r="EF59" s="253">
        <f>AVERAGE(EF54,EF56)</f>
        <v>1896.666666666667</v>
      </c>
      <c r="EG59" s="255">
        <f>AVERAGE(EG54,EG56)</f>
        <v>56.818181818183547</v>
      </c>
      <c r="EH59" s="326"/>
      <c r="EI59" s="210"/>
      <c r="EJ59" s="248">
        <f>AVERAGE(EJ54,EJ56)</f>
        <v>2890.0000000000005</v>
      </c>
      <c r="EK59" s="255">
        <f>AVERAGE(EK54,EK56)</f>
        <v>984.99999999999818</v>
      </c>
      <c r="EL59" s="210"/>
      <c r="EM59" s="211"/>
      <c r="EN59" s="253">
        <f>AVERAGE(EN54,EN56)</f>
        <v>2755</v>
      </c>
      <c r="EO59" s="257">
        <f>AVERAGE(EO54,EO56)</f>
        <v>929.99999999999977</v>
      </c>
      <c r="EP59" s="253">
        <f>AVERAGE(EP54,EP56)</f>
        <v>3315.0000000000018</v>
      </c>
      <c r="EQ59" s="255">
        <f>AVERAGE(EQ54,EQ56)</f>
        <v>900</v>
      </c>
      <c r="ER59" s="326"/>
      <c r="ES59" s="210"/>
      <c r="ET59" s="248">
        <f>AVERAGE(ET54,ET56)</f>
        <v>1909.9999999999995</v>
      </c>
      <c r="EU59" s="255">
        <f>AVERAGE(EU54,EU56)</f>
        <v>1035.0000000000009</v>
      </c>
      <c r="EV59" s="210"/>
      <c r="EW59" s="211"/>
      <c r="EX59" s="253">
        <f>AVERAGE(EX54,EX56)</f>
        <v>4665</v>
      </c>
      <c r="EY59" s="257">
        <f>AVERAGE(EY54,EY56)</f>
        <v>929.99999999999977</v>
      </c>
      <c r="EZ59" s="253">
        <f>AVERAGE(EZ54,EZ56)</f>
        <v>6474.9999999999991</v>
      </c>
      <c r="FA59" s="255">
        <f>AVERAGE(FA54,FA56)</f>
        <v>904.99999999999977</v>
      </c>
      <c r="FB59" s="326"/>
      <c r="FC59" s="210"/>
      <c r="FD59" s="248">
        <f>AVERAGE(FD54,FD56)</f>
        <v>1589.9999999999991</v>
      </c>
      <c r="FE59" s="255">
        <f>AVERAGE(FE54,FE56)</f>
        <v>1040.0000000000005</v>
      </c>
      <c r="FF59" s="210"/>
      <c r="FG59" s="211"/>
      <c r="FH59" s="253">
        <f>AVERAGE(FH54,FH56)</f>
        <v>2515.0000000000009</v>
      </c>
      <c r="FI59" s="257">
        <f>AVERAGE(FI54,FI56)</f>
        <v>1010.0000000000009</v>
      </c>
      <c r="FJ59" s="253">
        <f>AVERAGE(FJ54,FJ56)</f>
        <v>1639.9999999999991</v>
      </c>
      <c r="FK59" s="255">
        <f>AVERAGE(FK54,FK56)</f>
        <v>925</v>
      </c>
      <c r="FL59" s="326"/>
      <c r="FM59" s="210"/>
      <c r="FN59" s="248">
        <f>AVERAGE(FN54,FN56)</f>
        <v>2085.0000000000009</v>
      </c>
      <c r="FO59" s="255">
        <f>AVERAGE(FO54,FO56)</f>
        <v>965.00000000000057</v>
      </c>
      <c r="FP59" s="210"/>
      <c r="FQ59" s="211"/>
      <c r="FR59" s="253">
        <f>AVERAGE(FR54,FR56)</f>
        <v>2050</v>
      </c>
      <c r="FS59" s="257">
        <f>AVERAGE(FS54,FS56)</f>
        <v>915.00000000000057</v>
      </c>
      <c r="FT59" s="253">
        <f>AVERAGE(FT54,FT56)</f>
        <v>8920.0000000000018</v>
      </c>
      <c r="FU59" s="255">
        <f>AVERAGE(FU54)</f>
        <v>950</v>
      </c>
      <c r="FV59" s="326"/>
      <c r="FW59" s="210"/>
      <c r="FX59" s="248">
        <f>AVERAGE(FX54,FX56)</f>
        <v>3260</v>
      </c>
      <c r="FY59" s="255">
        <f>AVERAGE(FY54,FY56)</f>
        <v>954.99999999999841</v>
      </c>
      <c r="FZ59" s="210"/>
      <c r="GA59" s="211"/>
      <c r="GB59" s="253">
        <f>AVERAGE(GB54,GB56)</f>
        <v>1800</v>
      </c>
      <c r="GC59" s="257">
        <f>AVERAGE(GC54,GC56)</f>
        <v>1020.0000000000002</v>
      </c>
      <c r="GD59" s="253">
        <f>AVERAGE(GD54,GD56)</f>
        <v>5495</v>
      </c>
      <c r="GE59" s="255">
        <f>AVERAGE(GE54,GE56)</f>
        <v>939.99999999999909</v>
      </c>
      <c r="GF59" s="326"/>
      <c r="GG59" s="210"/>
      <c r="GH59" s="248">
        <f>AVERAGE(GH54,GH56)</f>
        <v>1317.272727272727</v>
      </c>
      <c r="GI59" s="255">
        <f>AVERAGE(GI54,GI56)</f>
        <v>868.18181818181915</v>
      </c>
      <c r="GJ59" s="210"/>
      <c r="GK59" s="211"/>
      <c r="GL59" s="253">
        <f>AVERAGE(GL54,GL56)</f>
        <v>1460.0000000000009</v>
      </c>
      <c r="GM59" s="257">
        <f>AVERAGE(GM54,GM56)</f>
        <v>1005.4545454545452</v>
      </c>
      <c r="GN59" s="253">
        <f>AVERAGE(GN54,GN56)</f>
        <v>1182.2727272727268</v>
      </c>
      <c r="GO59" s="255">
        <f>AVERAGE(GO54,GO56)</f>
        <v>954.99999999999977</v>
      </c>
      <c r="GP59" s="326"/>
      <c r="GQ59" s="210"/>
      <c r="GR59" s="248">
        <f>AVERAGE(GR54,GR56)</f>
        <v>1479.7794117647063</v>
      </c>
      <c r="GS59" s="255">
        <f>AVERAGE(GS54)</f>
        <v>1044.444444444445</v>
      </c>
      <c r="GT59" s="210"/>
      <c r="GU59" s="211"/>
      <c r="GV59" s="253">
        <f>AVERAGE(GV54,GV56)</f>
        <v>1929.8319327731076</v>
      </c>
      <c r="GW59" s="257">
        <f>AVERAGE(GW54,GW56)</f>
        <v>1448.8095238095229</v>
      </c>
    </row>
    <row r="60" spans="1:235" x14ac:dyDescent="0.2">
      <c r="A60" s="2"/>
      <c r="B60" s="3"/>
      <c r="C60" s="23" t="s">
        <v>88</v>
      </c>
      <c r="D60" s="210"/>
      <c r="E60" s="295"/>
      <c r="F60" s="62">
        <f>STDEV(F50,F54,F58)</f>
        <v>22.738076446051636</v>
      </c>
      <c r="G60" s="62">
        <f>STDEV(G50,G54,G58)</f>
        <v>17.151409445608962</v>
      </c>
      <c r="H60" s="214"/>
      <c r="I60" s="211"/>
      <c r="J60" s="82"/>
      <c r="K60" s="74"/>
      <c r="L60" s="329"/>
      <c r="M60" s="329"/>
      <c r="N60" s="82"/>
      <c r="O60" s="83"/>
      <c r="P60" s="62"/>
      <c r="Q60" s="74"/>
      <c r="R60" s="214"/>
      <c r="S60" s="240"/>
      <c r="T60" s="47"/>
      <c r="U60" s="49"/>
      <c r="V60" s="240"/>
      <c r="W60" s="239"/>
      <c r="X60" s="47"/>
      <c r="Y60" s="50"/>
      <c r="Z60" s="332"/>
      <c r="AA60" s="49"/>
      <c r="AB60" s="214"/>
      <c r="AC60" s="211"/>
      <c r="AD60" s="3"/>
      <c r="AE60" s="28"/>
      <c r="AF60" s="214"/>
      <c r="AG60" s="211"/>
      <c r="AH60" s="3"/>
      <c r="AI60" s="4"/>
      <c r="AJ60" s="332"/>
      <c r="AK60" s="49"/>
      <c r="AL60" s="214"/>
      <c r="AM60" s="211"/>
      <c r="AN60" s="3"/>
      <c r="AO60" s="28"/>
      <c r="AP60" s="214"/>
      <c r="AQ60" s="211"/>
      <c r="AR60" s="3"/>
      <c r="AS60" s="4"/>
      <c r="AT60" s="332"/>
      <c r="AU60" s="49"/>
      <c r="AV60" s="238"/>
      <c r="AW60" s="240"/>
      <c r="AX60" s="47"/>
      <c r="AY60" s="49"/>
      <c r="AZ60" s="240"/>
      <c r="BA60" s="239"/>
      <c r="BB60" s="3"/>
      <c r="BC60" s="4"/>
      <c r="BD60" s="332"/>
      <c r="BE60" s="49"/>
      <c r="BF60" s="238"/>
      <c r="BG60" s="240"/>
      <c r="BH60" s="47"/>
      <c r="BI60" s="49"/>
      <c r="BJ60" s="240"/>
      <c r="BK60" s="239"/>
      <c r="BL60" s="3"/>
      <c r="BM60" s="4"/>
      <c r="BN60" s="332"/>
      <c r="BO60" s="49"/>
      <c r="BP60" s="238"/>
      <c r="BQ60" s="239"/>
      <c r="BR60" s="47"/>
      <c r="BS60" s="49"/>
      <c r="BT60" s="238"/>
      <c r="BU60" s="239"/>
      <c r="BV60" s="3"/>
      <c r="BW60" s="4"/>
      <c r="BX60" s="332"/>
      <c r="BY60" s="49"/>
      <c r="BZ60" s="238"/>
      <c r="CA60" s="239"/>
      <c r="CB60" s="47"/>
      <c r="CC60" s="49"/>
      <c r="CD60" s="238"/>
      <c r="CE60" s="239"/>
      <c r="CF60" s="3"/>
      <c r="CG60" s="4"/>
      <c r="CH60" s="332"/>
      <c r="CI60" s="49"/>
      <c r="CJ60" s="238"/>
      <c r="CK60" s="239"/>
      <c r="CL60" s="47"/>
      <c r="CM60" s="49"/>
      <c r="CN60" s="238"/>
      <c r="CO60" s="239"/>
      <c r="CP60" s="3"/>
      <c r="CQ60" s="4"/>
      <c r="CR60" s="332"/>
      <c r="CS60" s="49"/>
      <c r="CT60" s="238"/>
      <c r="CU60" s="240"/>
      <c r="CV60" s="47"/>
      <c r="CW60" s="49"/>
      <c r="CX60" s="240"/>
      <c r="CY60" s="239"/>
      <c r="CZ60" s="3"/>
      <c r="DA60" s="4"/>
      <c r="DB60" s="62"/>
      <c r="DC60" s="74"/>
      <c r="DD60" s="214"/>
      <c r="DE60" s="240"/>
      <c r="DF60" s="47"/>
      <c r="DG60" s="49"/>
      <c r="DH60" s="240"/>
      <c r="DI60" s="239"/>
      <c r="DJ60" s="47"/>
      <c r="DK60" s="50"/>
      <c r="DL60" s="62"/>
      <c r="DM60" s="74"/>
      <c r="DN60" s="214"/>
      <c r="DO60" s="240"/>
      <c r="DP60" s="47"/>
      <c r="DQ60" s="49"/>
      <c r="DR60" s="240"/>
      <c r="DS60" s="239"/>
      <c r="DT60" s="333"/>
      <c r="DU60" s="103"/>
      <c r="DV60" s="62"/>
      <c r="DW60" s="74"/>
      <c r="DX60" s="214"/>
      <c r="DY60" s="240"/>
      <c r="DZ60" s="47"/>
      <c r="EA60" s="49"/>
      <c r="EB60" s="240"/>
      <c r="EC60" s="239"/>
      <c r="ED60" s="47"/>
      <c r="EE60" s="50"/>
      <c r="EF60" s="62"/>
      <c r="EG60" s="74"/>
      <c r="EH60" s="214"/>
      <c r="EI60" s="240"/>
      <c r="EJ60" s="47"/>
      <c r="EK60" s="49"/>
      <c r="EL60" s="240"/>
      <c r="EM60" s="239"/>
      <c r="EN60" s="47"/>
      <c r="EO60" s="50"/>
      <c r="EP60" s="62"/>
      <c r="EQ60" s="74"/>
      <c r="ER60" s="214"/>
      <c r="ES60" s="240"/>
      <c r="ET60" s="47"/>
      <c r="EU60" s="49"/>
      <c r="EV60" s="240"/>
      <c r="EW60" s="239"/>
      <c r="EX60" s="47"/>
      <c r="EY60" s="50"/>
      <c r="EZ60" s="62"/>
      <c r="FA60" s="74"/>
      <c r="FB60" s="214"/>
      <c r="FC60" s="240"/>
      <c r="FD60" s="47"/>
      <c r="FE60" s="49"/>
      <c r="FF60" s="240"/>
      <c r="FG60" s="239"/>
      <c r="FH60" s="47"/>
      <c r="FI60" s="50"/>
      <c r="FJ60" s="62"/>
      <c r="FK60" s="74"/>
      <c r="FL60" s="214"/>
      <c r="FM60" s="240"/>
      <c r="FN60" s="47"/>
      <c r="FO60" s="49"/>
      <c r="FP60" s="240"/>
      <c r="FQ60" s="239"/>
      <c r="FR60" s="47"/>
      <c r="FS60" s="50"/>
      <c r="FT60" s="62"/>
      <c r="FU60" s="74"/>
      <c r="FV60" s="214"/>
      <c r="FW60" s="240"/>
      <c r="FX60" s="47"/>
      <c r="FY60" s="49"/>
      <c r="FZ60" s="240"/>
      <c r="GA60" s="239"/>
      <c r="GB60" s="47"/>
      <c r="GC60" s="50"/>
      <c r="GD60" s="62"/>
      <c r="GE60" s="74"/>
      <c r="GF60" s="214"/>
      <c r="GG60" s="240"/>
      <c r="GH60" s="47"/>
      <c r="GI60" s="49"/>
      <c r="GJ60" s="240"/>
      <c r="GK60" s="239"/>
      <c r="GL60" s="47"/>
      <c r="GM60" s="50"/>
      <c r="GN60" s="62"/>
      <c r="GO60" s="74"/>
      <c r="GP60" s="214"/>
      <c r="GQ60" s="240"/>
      <c r="GR60" s="47"/>
      <c r="GS60" s="49"/>
      <c r="GT60" s="240"/>
      <c r="GU60" s="239"/>
      <c r="GV60" s="47"/>
      <c r="GW60" s="50"/>
    </row>
    <row r="61" spans="1:235" x14ac:dyDescent="0.2">
      <c r="A61" s="1"/>
      <c r="B61" s="241" t="s">
        <v>100</v>
      </c>
      <c r="C61" s="51" t="s">
        <v>101</v>
      </c>
      <c r="D61" s="270"/>
      <c r="E61" s="290"/>
      <c r="F61" s="53">
        <v>1430</v>
      </c>
      <c r="G61" s="59">
        <v>1460</v>
      </c>
      <c r="H61" s="208"/>
      <c r="I61" s="209"/>
      <c r="J61" s="56">
        <v>2285</v>
      </c>
      <c r="K61" s="58">
        <v>1310</v>
      </c>
      <c r="L61" s="270"/>
      <c r="M61" s="270"/>
      <c r="N61" s="56">
        <v>2980</v>
      </c>
      <c r="O61" s="65">
        <v>1295</v>
      </c>
      <c r="P61" s="59">
        <v>3420</v>
      </c>
      <c r="Q61" s="58">
        <v>1310</v>
      </c>
      <c r="R61" s="208"/>
      <c r="S61" s="211"/>
      <c r="T61" s="2">
        <v>2605</v>
      </c>
      <c r="U61" s="2">
        <v>1400</v>
      </c>
      <c r="V61" s="214"/>
      <c r="W61" s="211"/>
      <c r="X61" s="2">
        <v>2175</v>
      </c>
      <c r="Y61" s="4">
        <v>1480</v>
      </c>
      <c r="Z61" s="2">
        <v>2690</v>
      </c>
      <c r="AA61" s="28">
        <v>1840</v>
      </c>
      <c r="AB61" s="208"/>
      <c r="AC61" s="209"/>
      <c r="AD61" s="56">
        <v>3195</v>
      </c>
      <c r="AE61" s="58">
        <v>1245</v>
      </c>
      <c r="AF61" s="208"/>
      <c r="AG61" s="209"/>
      <c r="AH61" s="56">
        <v>2185</v>
      </c>
      <c r="AI61" s="65">
        <v>1195</v>
      </c>
      <c r="AJ61" s="2">
        <v>3195</v>
      </c>
      <c r="AK61" s="28">
        <v>1375</v>
      </c>
      <c r="AL61" s="208"/>
      <c r="AM61" s="209"/>
      <c r="AN61" s="56">
        <v>2885</v>
      </c>
      <c r="AO61" s="58">
        <v>1435</v>
      </c>
      <c r="AP61" s="208"/>
      <c r="AQ61" s="209"/>
      <c r="AR61" s="56">
        <v>3415</v>
      </c>
      <c r="AS61" s="65">
        <v>1260</v>
      </c>
      <c r="AT61" s="2">
        <v>3160</v>
      </c>
      <c r="AU61" s="58">
        <v>1170</v>
      </c>
      <c r="AV61" s="210"/>
      <c r="AW61" s="211"/>
      <c r="AX61" s="3">
        <v>3250</v>
      </c>
      <c r="AY61" s="2">
        <v>1140</v>
      </c>
      <c r="AZ61" s="214"/>
      <c r="BA61" s="211"/>
      <c r="BB61" s="56">
        <v>2675</v>
      </c>
      <c r="BC61" s="65">
        <v>1145</v>
      </c>
      <c r="BD61" s="2">
        <v>2905</v>
      </c>
      <c r="BE61" s="58">
        <v>1025</v>
      </c>
      <c r="BF61" s="228">
        <v>2730</v>
      </c>
      <c r="BG61" s="211"/>
      <c r="BH61" s="3">
        <v>2805</v>
      </c>
      <c r="BI61" s="2">
        <v>1615</v>
      </c>
      <c r="BJ61" s="214"/>
      <c r="BK61" s="211"/>
      <c r="BL61" s="56">
        <v>2595</v>
      </c>
      <c r="BM61" s="65">
        <v>1315</v>
      </c>
      <c r="BN61" s="2">
        <v>2775</v>
      </c>
      <c r="BO61" s="58">
        <v>1270</v>
      </c>
      <c r="BP61" s="228"/>
      <c r="BQ61" s="211"/>
      <c r="BR61" s="3">
        <v>3290</v>
      </c>
      <c r="BS61" s="2">
        <v>1225</v>
      </c>
      <c r="BT61" s="214"/>
      <c r="BU61" s="211"/>
      <c r="BV61" s="56">
        <v>3755</v>
      </c>
      <c r="BW61" s="65">
        <v>1215</v>
      </c>
      <c r="BX61" s="2">
        <v>3060</v>
      </c>
      <c r="BY61" s="58">
        <v>1155</v>
      </c>
      <c r="BZ61" s="214"/>
      <c r="CA61" s="211"/>
      <c r="CB61" s="3">
        <v>2950</v>
      </c>
      <c r="CC61" s="2">
        <v>1190</v>
      </c>
      <c r="CD61" s="214"/>
      <c r="CE61" s="211"/>
      <c r="CF61" s="56">
        <v>3065</v>
      </c>
      <c r="CG61" s="65">
        <v>1220</v>
      </c>
      <c r="CH61" s="2">
        <v>4035</v>
      </c>
      <c r="CI61" s="58">
        <v>1455</v>
      </c>
      <c r="CJ61" s="214"/>
      <c r="CK61" s="211"/>
      <c r="CL61" s="3">
        <v>3480</v>
      </c>
      <c r="CM61" s="2"/>
      <c r="CN61" s="214"/>
      <c r="CO61" s="211"/>
      <c r="CP61" s="56">
        <v>3970</v>
      </c>
      <c r="CQ61" s="65"/>
      <c r="CR61" s="2">
        <v>3495</v>
      </c>
      <c r="CS61" s="58"/>
      <c r="CT61" s="214"/>
      <c r="CU61" s="211"/>
      <c r="CV61" s="3">
        <v>4295</v>
      </c>
      <c r="CW61" s="2"/>
      <c r="CX61" s="214"/>
      <c r="CY61" s="211"/>
      <c r="CZ61" s="56">
        <v>3730</v>
      </c>
      <c r="DA61" s="65"/>
      <c r="DB61" s="59">
        <v>5245</v>
      </c>
      <c r="DC61" s="58"/>
      <c r="DD61" s="208"/>
      <c r="DE61" s="211"/>
      <c r="DF61" s="2">
        <v>3710</v>
      </c>
      <c r="DG61" s="2"/>
      <c r="DH61" s="214"/>
      <c r="DI61" s="211"/>
      <c r="DJ61" s="2">
        <v>3900</v>
      </c>
      <c r="DK61" s="4"/>
      <c r="DL61" s="59">
        <v>2570</v>
      </c>
      <c r="DM61" s="58"/>
      <c r="DN61" s="208"/>
      <c r="DO61" s="211"/>
      <c r="DP61" s="2">
        <v>5920</v>
      </c>
      <c r="DQ61" s="2"/>
      <c r="DR61" s="214"/>
      <c r="DS61" s="211"/>
      <c r="DT61" s="2">
        <v>3605</v>
      </c>
      <c r="DU61" s="4"/>
      <c r="DV61" s="59">
        <v>5920</v>
      </c>
      <c r="DW61" s="58"/>
      <c r="DX61" s="208"/>
      <c r="DY61" s="211"/>
      <c r="DZ61" s="2">
        <v>5200</v>
      </c>
      <c r="EA61" s="2"/>
      <c r="EB61" s="214"/>
      <c r="EC61" s="211"/>
      <c r="ED61" s="2">
        <v>4235</v>
      </c>
      <c r="EE61" s="4"/>
      <c r="EF61" s="59">
        <v>4165</v>
      </c>
      <c r="EG61" s="58"/>
      <c r="EH61" s="208"/>
      <c r="EI61" s="211"/>
      <c r="EJ61" s="2">
        <v>6670</v>
      </c>
      <c r="EK61" s="2"/>
      <c r="EL61" s="214"/>
      <c r="EM61" s="211"/>
      <c r="EN61" s="2">
        <v>5815</v>
      </c>
      <c r="EO61" s="4"/>
      <c r="EP61" s="59">
        <v>7255</v>
      </c>
      <c r="EQ61" s="58"/>
      <c r="ER61" s="208"/>
      <c r="ES61" s="211"/>
      <c r="ET61" s="2">
        <v>4510</v>
      </c>
      <c r="EU61" s="2"/>
      <c r="EV61" s="214"/>
      <c r="EW61" s="211"/>
      <c r="EX61" s="2">
        <v>10550</v>
      </c>
      <c r="EY61" s="4"/>
      <c r="EZ61" s="59">
        <v>11685</v>
      </c>
      <c r="FA61" s="58"/>
      <c r="FB61" s="208"/>
      <c r="FC61" s="210"/>
      <c r="FD61" s="3">
        <v>3855</v>
      </c>
      <c r="FE61" s="28"/>
      <c r="FF61" s="210"/>
      <c r="FG61" s="211"/>
      <c r="FH61" s="2">
        <v>5345</v>
      </c>
      <c r="FI61" s="4"/>
      <c r="FJ61" s="59">
        <v>3930</v>
      </c>
      <c r="FK61" s="58"/>
      <c r="FL61" s="208"/>
      <c r="FM61" s="211"/>
      <c r="FN61" s="2">
        <v>5060</v>
      </c>
      <c r="FO61" s="2"/>
      <c r="FP61" s="214"/>
      <c r="FQ61" s="211"/>
      <c r="FR61" s="2">
        <v>5135</v>
      </c>
      <c r="FS61" s="4"/>
      <c r="FT61" s="59">
        <v>11810</v>
      </c>
      <c r="FU61" s="58"/>
      <c r="FV61" s="208"/>
      <c r="FW61" s="211"/>
      <c r="FX61" s="59">
        <v>7255</v>
      </c>
      <c r="FY61" s="2"/>
      <c r="FZ61" s="214"/>
      <c r="GA61" s="211"/>
      <c r="GB61" s="2">
        <v>4595</v>
      </c>
      <c r="GC61" s="4"/>
      <c r="GD61" s="59">
        <v>13085</v>
      </c>
      <c r="GE61" s="58"/>
      <c r="GF61" s="208"/>
      <c r="GG61" s="211"/>
      <c r="GH61" s="2">
        <v>3815</v>
      </c>
      <c r="GI61" s="2"/>
      <c r="GJ61" s="214"/>
      <c r="GK61" s="211"/>
      <c r="GL61" s="2">
        <v>3535</v>
      </c>
      <c r="GM61" s="4"/>
      <c r="GN61" s="59">
        <v>3835</v>
      </c>
      <c r="GO61" s="58"/>
      <c r="GP61" s="334">
        <v>2835</v>
      </c>
      <c r="GQ61" s="211"/>
      <c r="GR61" s="2">
        <v>3255</v>
      </c>
      <c r="GS61" s="2"/>
      <c r="GT61" s="214"/>
      <c r="GU61" s="211"/>
      <c r="GV61" s="2">
        <v>3515</v>
      </c>
      <c r="GW61" s="4"/>
    </row>
    <row r="62" spans="1:235" x14ac:dyDescent="0.2">
      <c r="A62" s="2"/>
      <c r="B62" s="205"/>
      <c r="C62" s="23" t="s">
        <v>102</v>
      </c>
      <c r="D62" s="210"/>
      <c r="E62" s="295"/>
      <c r="F62" s="62">
        <v>1490</v>
      </c>
      <c r="G62" s="2">
        <v>1550</v>
      </c>
      <c r="H62" s="214"/>
      <c r="I62" s="211"/>
      <c r="J62" s="3">
        <v>2505</v>
      </c>
      <c r="K62" s="28">
        <v>1255</v>
      </c>
      <c r="L62" s="210"/>
      <c r="M62" s="210"/>
      <c r="N62" s="3">
        <v>2740</v>
      </c>
      <c r="O62" s="4">
        <v>1385</v>
      </c>
      <c r="P62" s="2">
        <v>2755</v>
      </c>
      <c r="Q62" s="28">
        <v>1420</v>
      </c>
      <c r="R62" s="214"/>
      <c r="S62" s="211"/>
      <c r="T62" s="2">
        <v>2510</v>
      </c>
      <c r="U62" s="2">
        <v>1365</v>
      </c>
      <c r="V62" s="214"/>
      <c r="W62" s="211"/>
      <c r="X62" s="2">
        <v>2155</v>
      </c>
      <c r="Y62" s="4">
        <v>1370</v>
      </c>
      <c r="Z62" s="2">
        <v>2660</v>
      </c>
      <c r="AA62" s="28">
        <v>2040</v>
      </c>
      <c r="AB62" s="214"/>
      <c r="AC62" s="211"/>
      <c r="AD62" s="3">
        <v>2355</v>
      </c>
      <c r="AE62" s="28">
        <v>1350</v>
      </c>
      <c r="AF62" s="214"/>
      <c r="AG62" s="211"/>
      <c r="AH62" s="3">
        <v>2980</v>
      </c>
      <c r="AI62" s="4">
        <v>1635</v>
      </c>
      <c r="AJ62" s="2">
        <v>3375</v>
      </c>
      <c r="AK62" s="28">
        <v>1270</v>
      </c>
      <c r="AL62" s="214"/>
      <c r="AM62" s="211"/>
      <c r="AN62" s="3">
        <v>2910</v>
      </c>
      <c r="AO62" s="28">
        <v>1380</v>
      </c>
      <c r="AP62" s="214"/>
      <c r="AQ62" s="211"/>
      <c r="AR62" s="3">
        <v>3235</v>
      </c>
      <c r="AS62" s="4">
        <v>1330</v>
      </c>
      <c r="AT62" s="2">
        <v>3300</v>
      </c>
      <c r="AU62" s="28">
        <v>2195</v>
      </c>
      <c r="AV62" s="210"/>
      <c r="AW62" s="211"/>
      <c r="AX62" s="3">
        <v>2420</v>
      </c>
      <c r="AY62" s="2">
        <v>1190</v>
      </c>
      <c r="AZ62" s="214"/>
      <c r="BA62" s="211"/>
      <c r="BB62" s="3">
        <v>2425</v>
      </c>
      <c r="BC62" s="4">
        <v>1290</v>
      </c>
      <c r="BD62" s="2">
        <v>2870</v>
      </c>
      <c r="BE62" s="28">
        <v>1020</v>
      </c>
      <c r="BF62" s="228">
        <v>2590</v>
      </c>
      <c r="BG62" s="211"/>
      <c r="BH62" s="3">
        <v>4270</v>
      </c>
      <c r="BI62" s="2">
        <v>1145</v>
      </c>
      <c r="BJ62" s="214"/>
      <c r="BK62" s="211"/>
      <c r="BL62" s="3">
        <v>3835</v>
      </c>
      <c r="BM62" s="4">
        <v>1180</v>
      </c>
      <c r="BN62" s="2">
        <v>2705</v>
      </c>
      <c r="BO62" s="28">
        <v>1240</v>
      </c>
      <c r="BP62" s="228"/>
      <c r="BQ62" s="211"/>
      <c r="BR62" s="3">
        <v>4920</v>
      </c>
      <c r="BS62" s="2">
        <v>1235</v>
      </c>
      <c r="BT62" s="214"/>
      <c r="BU62" s="211"/>
      <c r="BV62" s="3">
        <v>3430</v>
      </c>
      <c r="BW62" s="4">
        <v>1225</v>
      </c>
      <c r="BX62" s="2">
        <v>2525</v>
      </c>
      <c r="BY62" s="28">
        <v>1125</v>
      </c>
      <c r="BZ62" s="214"/>
      <c r="CA62" s="211"/>
      <c r="CB62" s="3">
        <v>2875</v>
      </c>
      <c r="CC62" s="2">
        <v>1145</v>
      </c>
      <c r="CD62" s="214"/>
      <c r="CE62" s="211"/>
      <c r="CF62" s="3">
        <v>3075</v>
      </c>
      <c r="CG62" s="4">
        <v>1275</v>
      </c>
      <c r="CH62" s="2">
        <v>4135</v>
      </c>
      <c r="CI62" s="28">
        <v>1340</v>
      </c>
      <c r="CJ62" s="214"/>
      <c r="CK62" s="211"/>
      <c r="CL62" s="3">
        <v>3680</v>
      </c>
      <c r="CM62" s="2"/>
      <c r="CN62" s="214"/>
      <c r="CO62" s="211"/>
      <c r="CP62" s="3">
        <v>4095</v>
      </c>
      <c r="CQ62" s="4"/>
      <c r="CR62" s="2">
        <v>3475</v>
      </c>
      <c r="CS62" s="28"/>
      <c r="CT62" s="214"/>
      <c r="CU62" s="211"/>
      <c r="CV62" s="3">
        <v>3220</v>
      </c>
      <c r="CW62" s="2"/>
      <c r="CX62" s="214"/>
      <c r="CY62" s="211"/>
      <c r="CZ62" s="3">
        <v>3485</v>
      </c>
      <c r="DA62" s="4"/>
      <c r="DB62" s="2">
        <v>5730</v>
      </c>
      <c r="DC62" s="28"/>
      <c r="DD62" s="214"/>
      <c r="DE62" s="211"/>
      <c r="DF62" s="2">
        <v>3520</v>
      </c>
      <c r="DG62" s="2"/>
      <c r="DH62" s="214"/>
      <c r="DI62" s="211"/>
      <c r="DJ62" s="2">
        <v>4060</v>
      </c>
      <c r="DK62" s="4"/>
      <c r="DL62" s="2">
        <v>2590</v>
      </c>
      <c r="DM62" s="28"/>
      <c r="DN62" s="214"/>
      <c r="DO62" s="211"/>
      <c r="DP62" s="2">
        <v>5605</v>
      </c>
      <c r="DQ62" s="2"/>
      <c r="DR62" s="214"/>
      <c r="DS62" s="211"/>
      <c r="DT62" s="2">
        <v>3340</v>
      </c>
      <c r="DU62" s="4"/>
      <c r="DV62" s="2">
        <v>4810</v>
      </c>
      <c r="DW62" s="28"/>
      <c r="DX62" s="214"/>
      <c r="DY62" s="211"/>
      <c r="DZ62" s="2">
        <v>4985</v>
      </c>
      <c r="EA62" s="2"/>
      <c r="EB62" s="214"/>
      <c r="EC62" s="211"/>
      <c r="ED62" s="2">
        <v>4045</v>
      </c>
      <c r="EE62" s="4"/>
      <c r="EF62" s="2">
        <v>4370</v>
      </c>
      <c r="EG62" s="28"/>
      <c r="EH62" s="214"/>
      <c r="EI62" s="211"/>
      <c r="EJ62" s="2">
        <v>6175</v>
      </c>
      <c r="EK62" s="2"/>
      <c r="EL62" s="214"/>
      <c r="EM62" s="211"/>
      <c r="EN62" s="2">
        <v>5760</v>
      </c>
      <c r="EO62" s="4"/>
      <c r="EP62" s="2">
        <v>7435</v>
      </c>
      <c r="EQ62" s="28"/>
      <c r="ER62" s="214"/>
      <c r="ES62" s="211"/>
      <c r="ET62" s="2">
        <v>4265</v>
      </c>
      <c r="EU62" s="2"/>
      <c r="EV62" s="214"/>
      <c r="EW62" s="211"/>
      <c r="EX62" s="2">
        <v>10165</v>
      </c>
      <c r="EY62" s="4"/>
      <c r="EZ62" s="2">
        <v>11725</v>
      </c>
      <c r="FA62" s="28"/>
      <c r="FB62" s="214"/>
      <c r="FC62" s="210"/>
      <c r="FD62" s="3">
        <v>3755</v>
      </c>
      <c r="FE62" s="28"/>
      <c r="FF62" s="210"/>
      <c r="FG62" s="211"/>
      <c r="FH62" s="2">
        <v>5300</v>
      </c>
      <c r="FI62" s="4"/>
      <c r="FJ62" s="2">
        <v>3875</v>
      </c>
      <c r="FK62" s="28"/>
      <c r="FL62" s="214"/>
      <c r="FM62" s="211"/>
      <c r="FN62" s="2">
        <v>4605</v>
      </c>
      <c r="FO62" s="2"/>
      <c r="FP62" s="214"/>
      <c r="FQ62" s="211"/>
      <c r="FR62" s="2">
        <v>5390</v>
      </c>
      <c r="FS62" s="4"/>
      <c r="FT62" s="2">
        <v>12020</v>
      </c>
      <c r="FU62" s="28"/>
      <c r="FV62" s="214"/>
      <c r="FW62" s="211"/>
      <c r="FX62" s="2">
        <v>7230</v>
      </c>
      <c r="FY62" s="2"/>
      <c r="FZ62" s="214"/>
      <c r="GA62" s="211"/>
      <c r="GB62" s="2">
        <v>5010</v>
      </c>
      <c r="GC62" s="4"/>
      <c r="GD62" s="2">
        <v>12575</v>
      </c>
      <c r="GE62" s="28"/>
      <c r="GF62" s="214"/>
      <c r="GG62" s="211"/>
      <c r="GH62" s="2">
        <v>3970</v>
      </c>
      <c r="GI62" s="2"/>
      <c r="GJ62" s="214"/>
      <c r="GK62" s="211"/>
      <c r="GL62" s="2">
        <v>3560</v>
      </c>
      <c r="GM62" s="4"/>
      <c r="GN62" s="2">
        <v>3560</v>
      </c>
      <c r="GO62" s="28"/>
      <c r="GP62" s="335">
        <v>2560</v>
      </c>
      <c r="GQ62" s="211"/>
      <c r="GR62" s="2">
        <v>3010</v>
      </c>
      <c r="GS62" s="2"/>
      <c r="GT62" s="214"/>
      <c r="GU62" s="211"/>
      <c r="GV62" s="2">
        <v>4410</v>
      </c>
      <c r="GW62" s="4"/>
    </row>
    <row r="63" spans="1:235" x14ac:dyDescent="0.2">
      <c r="A63" s="2"/>
      <c r="B63" s="205"/>
      <c r="C63" s="23" t="s">
        <v>103</v>
      </c>
      <c r="D63" s="210"/>
      <c r="E63" s="295"/>
      <c r="F63" s="62">
        <v>1360</v>
      </c>
      <c r="G63" s="2">
        <v>1560</v>
      </c>
      <c r="H63" s="214"/>
      <c r="I63" s="211"/>
      <c r="J63" s="3">
        <v>2370</v>
      </c>
      <c r="K63" s="28">
        <v>1240</v>
      </c>
      <c r="L63" s="210"/>
      <c r="M63" s="210"/>
      <c r="N63" s="3">
        <v>2850</v>
      </c>
      <c r="O63" s="4">
        <v>1360</v>
      </c>
      <c r="P63" s="2">
        <v>2470</v>
      </c>
      <c r="Q63" s="28">
        <v>1375</v>
      </c>
      <c r="R63" s="214"/>
      <c r="S63" s="211"/>
      <c r="T63" s="2">
        <v>2585</v>
      </c>
      <c r="U63" s="2">
        <v>1340</v>
      </c>
      <c r="V63" s="214"/>
      <c r="W63" s="211"/>
      <c r="X63" s="2">
        <v>2255</v>
      </c>
      <c r="Y63" s="4">
        <v>1390</v>
      </c>
      <c r="Z63" s="2">
        <v>2535</v>
      </c>
      <c r="AA63" s="28">
        <v>2015</v>
      </c>
      <c r="AB63" s="214"/>
      <c r="AC63" s="211"/>
      <c r="AD63" s="3">
        <v>2180</v>
      </c>
      <c r="AE63" s="28">
        <v>1255</v>
      </c>
      <c r="AF63" s="214"/>
      <c r="AG63" s="211"/>
      <c r="AH63" s="3">
        <v>2110</v>
      </c>
      <c r="AI63" s="4">
        <v>1290</v>
      </c>
      <c r="AJ63" s="2">
        <v>3080</v>
      </c>
      <c r="AK63" s="28">
        <v>1330</v>
      </c>
      <c r="AL63" s="214"/>
      <c r="AM63" s="211"/>
      <c r="AN63" s="3">
        <v>2835</v>
      </c>
      <c r="AO63" s="28">
        <v>1410</v>
      </c>
      <c r="AP63" s="214"/>
      <c r="AQ63" s="211"/>
      <c r="AR63" s="3">
        <v>3040</v>
      </c>
      <c r="AS63" s="4">
        <v>1775</v>
      </c>
      <c r="AT63" s="2">
        <v>3260</v>
      </c>
      <c r="AU63" s="28">
        <v>1205</v>
      </c>
      <c r="AV63" s="210"/>
      <c r="AW63" s="211"/>
      <c r="AX63" s="3">
        <v>2515</v>
      </c>
      <c r="AY63" s="2">
        <v>1020</v>
      </c>
      <c r="AZ63" s="214"/>
      <c r="BA63" s="211"/>
      <c r="BB63" s="3">
        <v>2370</v>
      </c>
      <c r="BC63" s="4">
        <v>1460</v>
      </c>
      <c r="BD63" s="2">
        <v>2925</v>
      </c>
      <c r="BE63" s="28">
        <v>995</v>
      </c>
      <c r="BF63" s="228">
        <v>2630</v>
      </c>
      <c r="BG63" s="211"/>
      <c r="BH63" s="3">
        <v>2920</v>
      </c>
      <c r="BI63" s="2">
        <v>1135</v>
      </c>
      <c r="BJ63" s="214"/>
      <c r="BK63" s="211"/>
      <c r="BL63" s="3">
        <v>2720</v>
      </c>
      <c r="BM63" s="4">
        <v>1285</v>
      </c>
      <c r="BN63" s="2">
        <v>2650</v>
      </c>
      <c r="BO63" s="28">
        <v>1165</v>
      </c>
      <c r="BP63" s="228"/>
      <c r="BQ63" s="211"/>
      <c r="BR63" s="3">
        <v>3365</v>
      </c>
      <c r="BS63" s="2">
        <v>1250</v>
      </c>
      <c r="BT63" s="214"/>
      <c r="BU63" s="211"/>
      <c r="BV63" s="3">
        <v>3350</v>
      </c>
      <c r="BW63" s="4">
        <v>1810</v>
      </c>
      <c r="BX63" s="2">
        <v>2820</v>
      </c>
      <c r="BY63" s="28">
        <v>1130</v>
      </c>
      <c r="BZ63" s="214"/>
      <c r="CA63" s="211"/>
      <c r="CB63" s="3">
        <v>2740</v>
      </c>
      <c r="CC63" s="2">
        <v>1185</v>
      </c>
      <c r="CD63" s="214"/>
      <c r="CE63" s="211"/>
      <c r="CF63" s="3"/>
      <c r="CG63" s="4">
        <v>1300</v>
      </c>
      <c r="CH63" s="2">
        <v>4100</v>
      </c>
      <c r="CI63" s="28">
        <v>1215</v>
      </c>
      <c r="CJ63" s="214"/>
      <c r="CK63" s="211"/>
      <c r="CL63" s="3">
        <v>3825</v>
      </c>
      <c r="CM63" s="2"/>
      <c r="CN63" s="214"/>
      <c r="CO63" s="211"/>
      <c r="CP63" s="3">
        <v>3995</v>
      </c>
      <c r="CQ63" s="4"/>
      <c r="CR63" s="2">
        <v>3500</v>
      </c>
      <c r="CS63" s="28"/>
      <c r="CT63" s="214"/>
      <c r="CU63" s="211"/>
      <c r="CV63" s="3">
        <v>3165</v>
      </c>
      <c r="CW63" s="2"/>
      <c r="CX63" s="214"/>
      <c r="CY63" s="211"/>
      <c r="CZ63" s="3">
        <v>3625</v>
      </c>
      <c r="DA63" s="4"/>
      <c r="DB63" s="2">
        <v>5775</v>
      </c>
      <c r="DC63" s="28"/>
      <c r="DD63" s="214"/>
      <c r="DE63" s="211"/>
      <c r="DF63" s="2">
        <v>3585</v>
      </c>
      <c r="DG63" s="2"/>
      <c r="DH63" s="214"/>
      <c r="DI63" s="211"/>
      <c r="DJ63" s="2">
        <v>3730</v>
      </c>
      <c r="DK63" s="4"/>
      <c r="DL63" s="2">
        <v>2390</v>
      </c>
      <c r="DM63" s="28"/>
      <c r="DN63" s="214"/>
      <c r="DO63" s="211"/>
      <c r="DP63" s="2">
        <v>5865</v>
      </c>
      <c r="DQ63" s="2"/>
      <c r="DR63" s="214"/>
      <c r="DS63" s="211"/>
      <c r="DT63" s="2">
        <v>3670</v>
      </c>
      <c r="DU63" s="4"/>
      <c r="DV63" s="2">
        <v>4880</v>
      </c>
      <c r="DW63" s="28"/>
      <c r="DX63" s="214"/>
      <c r="DY63" s="211"/>
      <c r="DZ63" s="2">
        <v>5055</v>
      </c>
      <c r="EA63" s="2"/>
      <c r="EB63" s="214"/>
      <c r="EC63" s="211"/>
      <c r="ED63" s="2">
        <v>4070</v>
      </c>
      <c r="EE63" s="4"/>
      <c r="EF63" s="2">
        <v>4290</v>
      </c>
      <c r="EG63" s="28"/>
      <c r="EH63" s="214"/>
      <c r="EI63" s="211"/>
      <c r="EJ63" s="2">
        <v>6305</v>
      </c>
      <c r="EK63" s="2"/>
      <c r="EL63" s="214"/>
      <c r="EM63" s="211"/>
      <c r="EN63" s="2">
        <v>5595</v>
      </c>
      <c r="EO63" s="4"/>
      <c r="EP63" s="2">
        <v>7070</v>
      </c>
      <c r="EQ63" s="28"/>
      <c r="ER63" s="214"/>
      <c r="ES63" s="211"/>
      <c r="ET63" s="2">
        <v>4240</v>
      </c>
      <c r="EU63" s="2"/>
      <c r="EV63" s="214"/>
      <c r="EW63" s="211"/>
      <c r="EX63" s="2">
        <v>10565</v>
      </c>
      <c r="EY63" s="4"/>
      <c r="EZ63" s="2">
        <v>11715</v>
      </c>
      <c r="FA63" s="28"/>
      <c r="FB63" s="214"/>
      <c r="FC63" s="210"/>
      <c r="FD63" s="3">
        <v>4285</v>
      </c>
      <c r="FE63" s="28"/>
      <c r="FF63" s="210"/>
      <c r="FG63" s="211"/>
      <c r="FH63" s="2">
        <v>5075</v>
      </c>
      <c r="FI63" s="4"/>
      <c r="FJ63" s="2">
        <v>4045</v>
      </c>
      <c r="FK63" s="28"/>
      <c r="FL63" s="214"/>
      <c r="FM63" s="211"/>
      <c r="FN63" s="2">
        <v>4655</v>
      </c>
      <c r="FO63" s="2"/>
      <c r="FP63" s="214"/>
      <c r="FQ63" s="211"/>
      <c r="FR63" s="2">
        <v>5715</v>
      </c>
      <c r="FS63" s="4"/>
      <c r="FT63" s="2">
        <v>12220</v>
      </c>
      <c r="FU63" s="28"/>
      <c r="FV63" s="214"/>
      <c r="FW63" s="211"/>
      <c r="FX63" s="2">
        <v>7515</v>
      </c>
      <c r="FY63" s="2"/>
      <c r="FZ63" s="214"/>
      <c r="GA63" s="211"/>
      <c r="GB63" s="2">
        <v>4805</v>
      </c>
      <c r="GC63" s="4"/>
      <c r="GD63" s="2">
        <v>11810</v>
      </c>
      <c r="GE63" s="28"/>
      <c r="GF63" s="214"/>
      <c r="GG63" s="211"/>
      <c r="GH63" s="2">
        <v>3705</v>
      </c>
      <c r="GI63" s="2"/>
      <c r="GJ63" s="214"/>
      <c r="GK63" s="211"/>
      <c r="GL63" s="2">
        <v>3650</v>
      </c>
      <c r="GM63" s="4"/>
      <c r="GN63" s="2">
        <v>3460</v>
      </c>
      <c r="GO63" s="28"/>
      <c r="GP63" s="335">
        <v>2460</v>
      </c>
      <c r="GQ63" s="211"/>
      <c r="GR63" s="2">
        <v>3060</v>
      </c>
      <c r="GS63" s="2"/>
      <c r="GT63" s="214"/>
      <c r="GU63" s="211"/>
      <c r="GV63" s="2">
        <v>3730</v>
      </c>
      <c r="GW63" s="4"/>
    </row>
    <row r="64" spans="1:235" s="186" customFormat="1" ht="15" x14ac:dyDescent="0.2">
      <c r="A64" s="2"/>
      <c r="B64" s="244"/>
      <c r="C64" s="220" t="s">
        <v>87</v>
      </c>
      <c r="D64" s="228"/>
      <c r="E64" s="233"/>
      <c r="F64" s="253">
        <f>AVERAGE(F61,F62,F63)</f>
        <v>1426.6666666666667</v>
      </c>
      <c r="G64" s="253">
        <f>AVERAGE(G61,G62,G63)</f>
        <v>1523.3333333333333</v>
      </c>
      <c r="H64" s="248"/>
      <c r="I64" s="255"/>
      <c r="J64" s="248">
        <f t="shared" ref="J64:O64" si="79">AVERAGE(J61,J62,J63)</f>
        <v>2386.6666666666665</v>
      </c>
      <c r="K64" s="255">
        <f t="shared" si="79"/>
        <v>1268.3333333333333</v>
      </c>
      <c r="L64" s="253"/>
      <c r="M64" s="253"/>
      <c r="N64" s="248">
        <f t="shared" si="79"/>
        <v>2856.6666666666665</v>
      </c>
      <c r="O64" s="257">
        <f t="shared" si="79"/>
        <v>1346.6666666666667</v>
      </c>
      <c r="P64" s="253">
        <f>AVERAGE(P61,P62,P63)</f>
        <v>2881.6666666666665</v>
      </c>
      <c r="Q64" s="255">
        <f>AVERAGE(Q61,Q62,Q63)</f>
        <v>1368.3333333333333</v>
      </c>
      <c r="R64" s="248"/>
      <c r="S64" s="231"/>
      <c r="T64" s="253">
        <f>AVERAGE(T61,T62,T63)</f>
        <v>2566.6666666666665</v>
      </c>
      <c r="U64" s="253">
        <f>AVERAGE(U61,U62,U63)</f>
        <v>1368.3333333333333</v>
      </c>
      <c r="V64" s="224"/>
      <c r="W64" s="231"/>
      <c r="X64" s="253">
        <f>AVERAGE(X61,X62,X63)</f>
        <v>2195</v>
      </c>
      <c r="Y64" s="257">
        <f>AVERAGE(Y61,Y62,Y63)</f>
        <v>1413.3333333333333</v>
      </c>
      <c r="Z64" s="253">
        <f>AVERAGE(Z61,Z62,Z63)</f>
        <v>2628.3333333333335</v>
      </c>
      <c r="AA64" s="231">
        <f>AVERAGE(AA61,AA62,AA63)</f>
        <v>1965</v>
      </c>
      <c r="AB64" s="224"/>
      <c r="AC64" s="231"/>
      <c r="AD64" s="248">
        <f>AVERAGE(AD61,AD62,AD63)</f>
        <v>2576.6666666666665</v>
      </c>
      <c r="AE64" s="255">
        <f>AVERAGE(AE61,AE62,AE63)</f>
        <v>1283.3333333333333</v>
      </c>
      <c r="AF64" s="224"/>
      <c r="AG64" s="231"/>
      <c r="AH64" s="336">
        <f>AVERAGE(AH61,AH63,AH62)</f>
        <v>2425</v>
      </c>
      <c r="AI64" s="257">
        <f>AVERAGE(AI61,AI62,AI63)</f>
        <v>1373.3333333333333</v>
      </c>
      <c r="AJ64" s="253">
        <f>AVERAGE(AJ61,AJ62,AJ63)</f>
        <v>3216.6666666666665</v>
      </c>
      <c r="AK64" s="231">
        <f>AVERAGE(AK61,AK62,AK63)</f>
        <v>1325</v>
      </c>
      <c r="AL64" s="224"/>
      <c r="AM64" s="231"/>
      <c r="AN64" s="248">
        <f>AVERAGE(AN61,AN62,AN63)</f>
        <v>2876.6666666666665</v>
      </c>
      <c r="AO64" s="255">
        <f>AVERAGE(AO61,AO62,AO63)</f>
        <v>1408.3333333333333</v>
      </c>
      <c r="AP64" s="224"/>
      <c r="AQ64" s="231"/>
      <c r="AR64" s="248">
        <f>AVERAGE(AR61,AR62,AR63)</f>
        <v>3230</v>
      </c>
      <c r="AS64" s="257">
        <f>AVERAGE(AS61,AS62,AS63)</f>
        <v>1455</v>
      </c>
      <c r="AT64" s="248">
        <f>AVERAGE(AT61,AT62,AT63)</f>
        <v>3240</v>
      </c>
      <c r="AU64" s="255">
        <f>AVERAGE(AU61,AU63)</f>
        <v>1187.5</v>
      </c>
      <c r="AV64" s="210"/>
      <c r="AW64" s="211"/>
      <c r="AX64" s="248">
        <f>AVERAGE(AX61,AX62,AX63)</f>
        <v>2728.3333333333335</v>
      </c>
      <c r="AY64" s="253">
        <f>AVERAGE(AY61,AY62,AY63)</f>
        <v>1116.6666666666667</v>
      </c>
      <c r="AZ64" s="214"/>
      <c r="BA64" s="211"/>
      <c r="BB64" s="248">
        <f>AVERAGE(BB61,BB62,BB63)</f>
        <v>2490</v>
      </c>
      <c r="BC64" s="257">
        <f>AVERAGE(BC61,BC62,BC63)</f>
        <v>1298.3333333333333</v>
      </c>
      <c r="BD64" s="336">
        <f>AVERAGE(BD61,BD62,BD63)</f>
        <v>2900</v>
      </c>
      <c r="BE64" s="255">
        <f>AVERAGE(BE61,BE63)</f>
        <v>1010</v>
      </c>
      <c r="BF64" s="228">
        <f>AVERAGE(BF61:BF63)</f>
        <v>2650</v>
      </c>
      <c r="BG64" s="211"/>
      <c r="BH64" s="248">
        <f>AVERAGE(BH61:BH63)</f>
        <v>3331.6666666666665</v>
      </c>
      <c r="BI64" s="253">
        <f>AVERAGE(BI61:BI63)</f>
        <v>1298.3333333333333</v>
      </c>
      <c r="BJ64" s="214"/>
      <c r="BK64" s="211"/>
      <c r="BL64" s="248">
        <f>AVERAGE(BL61,BL62,BL63)</f>
        <v>3050</v>
      </c>
      <c r="BM64" s="257">
        <f>AVERAGE(BM61,BM62,BM63)</f>
        <v>1260</v>
      </c>
      <c r="BN64" s="248">
        <f>AVERAGE(BN61,BN62,BN63)</f>
        <v>2710</v>
      </c>
      <c r="BO64" s="255">
        <f>AVERAGE(BO61,BO63)</f>
        <v>1217.5</v>
      </c>
      <c r="BP64" s="228"/>
      <c r="BQ64" s="211"/>
      <c r="BR64" s="248">
        <f>AVERAGE(BR61:BR63)</f>
        <v>3858.3333333333335</v>
      </c>
      <c r="BS64" s="253">
        <f>AVERAGE(BS61:BS63)</f>
        <v>1236.6666666666667</v>
      </c>
      <c r="BT64" s="214"/>
      <c r="BU64" s="211"/>
      <c r="BV64" s="248">
        <f>AVERAGE(BV61,BV62,BV63)</f>
        <v>3511.6666666666665</v>
      </c>
      <c r="BW64" s="257">
        <f>AVERAGE(BW61,BW62,BW63)</f>
        <v>1416.6666666666667</v>
      </c>
      <c r="BX64" s="248">
        <f>AVERAGE(BX61,BX62,BX63)</f>
        <v>2801.6666666666665</v>
      </c>
      <c r="BY64" s="255">
        <f>AVERAGE(BY61,BY63)</f>
        <v>1142.5</v>
      </c>
      <c r="BZ64" s="214"/>
      <c r="CA64" s="211"/>
      <c r="CB64" s="248">
        <f>AVERAGE(CB61:CB63)</f>
        <v>2855</v>
      </c>
      <c r="CC64" s="253">
        <f>AVERAGE(CC61:CC63)</f>
        <v>1173.3333333333333</v>
      </c>
      <c r="CD64" s="326"/>
      <c r="CE64" s="327"/>
      <c r="CF64" s="248">
        <f>AVERAGE(CF61,CF62,CF63)</f>
        <v>3070</v>
      </c>
      <c r="CG64" s="257">
        <f>AVERAGE(CG61,CG62,CG63)</f>
        <v>1265</v>
      </c>
      <c r="CH64" s="248">
        <f>AVERAGE(CH61,CH62,CH63)</f>
        <v>4090</v>
      </c>
      <c r="CI64" s="255">
        <f>AVERAGE(CI61,CI63)</f>
        <v>1335</v>
      </c>
      <c r="CJ64" s="214"/>
      <c r="CK64" s="211"/>
      <c r="CL64" s="248">
        <f>AVERAGE(CL61:CL63)</f>
        <v>3661.6666666666665</v>
      </c>
      <c r="CM64" s="253" t="e">
        <f>AVERAGE(CM61:CM63)</f>
        <v>#DIV/0!</v>
      </c>
      <c r="CN64" s="214"/>
      <c r="CO64" s="211"/>
      <c r="CP64" s="248">
        <f>AVERAGE(CP61,CP62,CP63)</f>
        <v>4020</v>
      </c>
      <c r="CQ64" s="257" t="e">
        <f>AVERAGE(CQ61,CQ62,CQ63)</f>
        <v>#DIV/0!</v>
      </c>
      <c r="CR64" s="248">
        <f>AVERAGE(CR61,CR62,CR63)</f>
        <v>3490</v>
      </c>
      <c r="CS64" s="255" t="e">
        <f>AVERAGE(CS61,CS63)</f>
        <v>#DIV/0!</v>
      </c>
      <c r="CT64" s="214"/>
      <c r="CU64" s="211"/>
      <c r="CV64" s="248">
        <f>AVERAGE(CV61:CV63)</f>
        <v>3560</v>
      </c>
      <c r="CW64" s="253" t="e">
        <f>AVERAGE(CW61:CW63)</f>
        <v>#DIV/0!</v>
      </c>
      <c r="CX64" s="214"/>
      <c r="CY64" s="211"/>
      <c r="CZ64" s="248">
        <f>AVERAGE(CZ61,CZ62,CZ63)</f>
        <v>3613.3333333333335</v>
      </c>
      <c r="DA64" s="257" t="e">
        <f>AVERAGE(DA61,DA62,DA63)</f>
        <v>#DIV/0!</v>
      </c>
      <c r="DB64" s="253">
        <f>AVERAGE(DB61,DB62,DB63)</f>
        <v>5583.333333333333</v>
      </c>
      <c r="DC64" s="255" t="e">
        <f>AVERAGE(DC61,DC62,DC63)</f>
        <v>#DIV/0!</v>
      </c>
      <c r="DD64" s="248"/>
      <c r="DE64" s="231"/>
      <c r="DF64" s="253">
        <f>AVERAGE(DF61,DF62,DF63)</f>
        <v>3605</v>
      </c>
      <c r="DG64" s="253" t="e">
        <f>AVERAGE(DG61,DG62,DG63)</f>
        <v>#DIV/0!</v>
      </c>
      <c r="DH64" s="224"/>
      <c r="DI64" s="231"/>
      <c r="DJ64" s="253">
        <f>AVERAGE(DJ61,DJ62,DJ63)</f>
        <v>3896.6666666666665</v>
      </c>
      <c r="DK64" s="257" t="e">
        <f>AVERAGE(DK61,DK62,DK63)</f>
        <v>#DIV/0!</v>
      </c>
      <c r="DL64" s="253">
        <f>AVERAGE(DL61,DL62,DL63)</f>
        <v>2516.6666666666665</v>
      </c>
      <c r="DM64" s="255" t="e">
        <f>AVERAGE(DM61,DM62,DM63)</f>
        <v>#DIV/0!</v>
      </c>
      <c r="DN64" s="248"/>
      <c r="DO64" s="231"/>
      <c r="DP64" s="253">
        <f>AVERAGE(DP61,DP62,DP63)</f>
        <v>5796.666666666667</v>
      </c>
      <c r="DQ64" s="253" t="e">
        <f>AVERAGE(DQ61,DQ62,DQ63)</f>
        <v>#DIV/0!</v>
      </c>
      <c r="DR64" s="224"/>
      <c r="DS64" s="231"/>
      <c r="DT64" s="253">
        <f>AVERAGE(DT61,DT62,DT63)</f>
        <v>3538.3333333333335</v>
      </c>
      <c r="DU64" s="257" t="e">
        <f>AVERAGE(DU61,DU62,DU63)</f>
        <v>#DIV/0!</v>
      </c>
      <c r="DV64" s="253">
        <f>AVERAGE(DV61,DV62,DV63)</f>
        <v>5203.333333333333</v>
      </c>
      <c r="DW64" s="255" t="e">
        <f>AVERAGE(DW61,DW62,DW63)</f>
        <v>#DIV/0!</v>
      </c>
      <c r="DX64" s="248"/>
      <c r="DY64" s="231"/>
      <c r="DZ64" s="253">
        <f>AVERAGE(DZ61,DZ62,DZ63)</f>
        <v>5080</v>
      </c>
      <c r="EA64" s="253" t="e">
        <f>AVERAGE(EA61,EA62,EA63)</f>
        <v>#DIV/0!</v>
      </c>
      <c r="EB64" s="224"/>
      <c r="EC64" s="231"/>
      <c r="ED64" s="253">
        <f>AVERAGE(ED61,ED62,ED63)</f>
        <v>4116.666666666667</v>
      </c>
      <c r="EE64" s="257" t="e">
        <f>AVERAGE(EE61,EE62,EE63)</f>
        <v>#DIV/0!</v>
      </c>
      <c r="EF64" s="253">
        <f>AVERAGE(EF61,EF62,EF63)</f>
        <v>4275</v>
      </c>
      <c r="EG64" s="255" t="e">
        <f>AVERAGE(EG61,EG62,EG63)</f>
        <v>#DIV/0!</v>
      </c>
      <c r="EH64" s="248"/>
      <c r="EI64" s="231"/>
      <c r="EJ64" s="253">
        <f>AVERAGE(EJ61,EJ62,EJ63)</f>
        <v>6383.333333333333</v>
      </c>
      <c r="EK64" s="253" t="e">
        <f>AVERAGE(EK61,EK62,EK63)</f>
        <v>#DIV/0!</v>
      </c>
      <c r="EL64" s="224"/>
      <c r="EM64" s="231"/>
      <c r="EN64" s="253">
        <f>AVERAGE(EN61,EN62,EN63)</f>
        <v>5723.333333333333</v>
      </c>
      <c r="EO64" s="257" t="e">
        <f>AVERAGE(EO61,EO62,EO63)</f>
        <v>#DIV/0!</v>
      </c>
      <c r="EP64" s="253">
        <f>AVERAGE(EP61,EP62,EP63)</f>
        <v>7253.333333333333</v>
      </c>
      <c r="EQ64" s="255" t="e">
        <f>AVERAGE(EQ61,EQ62,EQ63)</f>
        <v>#DIV/0!</v>
      </c>
      <c r="ER64" s="248"/>
      <c r="ES64" s="231"/>
      <c r="ET64" s="253">
        <f>AVERAGE(ET61,ET62,ET63)</f>
        <v>4338.333333333333</v>
      </c>
      <c r="EU64" s="253" t="e">
        <f>AVERAGE(EU61,EU62,EU63)</f>
        <v>#DIV/0!</v>
      </c>
      <c r="EV64" s="224"/>
      <c r="EW64" s="231"/>
      <c r="EX64" s="253">
        <f>AVERAGE(EX61,EX62,EX63)</f>
        <v>10426.666666666666</v>
      </c>
      <c r="EY64" s="257" t="e">
        <f>AVERAGE(EY61,EY62,EY63)</f>
        <v>#DIV/0!</v>
      </c>
      <c r="EZ64" s="253">
        <f>AVERAGE(EZ61,EZ62,EZ63)</f>
        <v>11708.333333333334</v>
      </c>
      <c r="FA64" s="255" t="e">
        <f>AVERAGE(FA61,FA62,FA63)</f>
        <v>#DIV/0!</v>
      </c>
      <c r="FB64" s="248"/>
      <c r="FC64" s="228"/>
      <c r="FD64" s="248">
        <f>AVERAGE(FD61,FD62,FD63)</f>
        <v>3965</v>
      </c>
      <c r="FE64" s="255" t="e">
        <f>AVERAGE(FE61,FE62,FE63)</f>
        <v>#DIV/0!</v>
      </c>
      <c r="FF64" s="228"/>
      <c r="FG64" s="231"/>
      <c r="FH64" s="253">
        <f>AVERAGE(FH61,FH62,FH63)</f>
        <v>5240</v>
      </c>
      <c r="FI64" s="257" t="e">
        <f>AVERAGE(FI61,FI62,FI63)</f>
        <v>#DIV/0!</v>
      </c>
      <c r="FJ64" s="253">
        <f>AVERAGE(FJ61,FJ62,FJ63)</f>
        <v>3950</v>
      </c>
      <c r="FK64" s="255" t="e">
        <f>AVERAGE(FK61,FK62,FK63)</f>
        <v>#DIV/0!</v>
      </c>
      <c r="FL64" s="248"/>
      <c r="FM64" s="231"/>
      <c r="FN64" s="253">
        <f>AVERAGE(FN61,FN62,FN63)</f>
        <v>4773.333333333333</v>
      </c>
      <c r="FO64" s="253" t="e">
        <f>AVERAGE(FO61,FO62,FO63)</f>
        <v>#DIV/0!</v>
      </c>
      <c r="FP64" s="224"/>
      <c r="FQ64" s="231"/>
      <c r="FR64" s="253">
        <f>AVERAGE(FR61,FR62,FR63)</f>
        <v>5413.333333333333</v>
      </c>
      <c r="FS64" s="257" t="e">
        <f>AVERAGE(FS61,FS62,FS63)</f>
        <v>#DIV/0!</v>
      </c>
      <c r="FT64" s="253">
        <f>AVERAGE(FT61,FT62,FT63)</f>
        <v>12016.666666666666</v>
      </c>
      <c r="FU64" s="255" t="e">
        <f>AVERAGE(FU61,FU62,FU63)</f>
        <v>#DIV/0!</v>
      </c>
      <c r="FV64" s="248">
        <f>AVERAGE(FT64,FX64,GB64)</f>
        <v>8051.1111111111104</v>
      </c>
      <c r="FW64" s="231"/>
      <c r="FX64" s="253">
        <f>AVERAGE(FX61,FX62,FX63)</f>
        <v>7333.333333333333</v>
      </c>
      <c r="FY64" s="253" t="e">
        <f>AVERAGE(FY61,FY62,FY63)</f>
        <v>#DIV/0!</v>
      </c>
      <c r="FZ64" s="224"/>
      <c r="GA64" s="231"/>
      <c r="GB64" s="253">
        <f>AVERAGE(GB61,GB62,GB63)</f>
        <v>4803.333333333333</v>
      </c>
      <c r="GC64" s="257" t="e">
        <f>AVERAGE(GC61,GC62,GC63)</f>
        <v>#DIV/0!</v>
      </c>
      <c r="GD64" s="253">
        <f>AVERAGE(GD61,GD62,GD63)</f>
        <v>12490</v>
      </c>
      <c r="GE64" s="255" t="e">
        <f>AVERAGE(GE61,GE62,GE63)</f>
        <v>#DIV/0!</v>
      </c>
      <c r="GF64" s="248">
        <f>AVERAGE(GD64,GH64,GL64)</f>
        <v>6633.8888888888896</v>
      </c>
      <c r="GG64" s="231"/>
      <c r="GH64" s="253">
        <f>AVERAGE(GH61,GH62,GH63)</f>
        <v>3830</v>
      </c>
      <c r="GI64" s="253" t="e">
        <f>AVERAGE(GI61,GI62,GI63)</f>
        <v>#DIV/0!</v>
      </c>
      <c r="GJ64" s="224"/>
      <c r="GK64" s="231"/>
      <c r="GL64" s="253">
        <f>AVERAGE(GL61,GL62,GL63)</f>
        <v>3581.6666666666665</v>
      </c>
      <c r="GM64" s="257" t="e">
        <f>AVERAGE(GM61,GM62,GM63)</f>
        <v>#DIV/0!</v>
      </c>
      <c r="GN64" s="253">
        <f>AVERAGE(GN61,GN62,GN63)</f>
        <v>3618.3333333333335</v>
      </c>
      <c r="GO64" s="255" t="e">
        <f>AVERAGE(GO61,GO62,GO63)</f>
        <v>#DIV/0!</v>
      </c>
      <c r="GP64" s="248"/>
      <c r="GQ64" s="231"/>
      <c r="GR64" s="253">
        <f>AVERAGE(GR61,GR63)</f>
        <v>3157.5</v>
      </c>
      <c r="GS64" s="253" t="e">
        <f>AVERAGE(GS61,GS62,GS63)</f>
        <v>#DIV/0!</v>
      </c>
      <c r="GT64" s="224"/>
      <c r="GU64" s="231"/>
      <c r="GV64" s="253">
        <f>AVERAGE(GV61,GV62,GV63)</f>
        <v>3885</v>
      </c>
      <c r="GW64" s="257" t="e">
        <f>AVERAGE(GW61,GW62,GW63)</f>
        <v>#DIV/0!</v>
      </c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</row>
    <row r="65" spans="1:235" x14ac:dyDescent="0.2">
      <c r="A65" s="2"/>
      <c r="B65" s="205"/>
      <c r="C65" s="23" t="s">
        <v>88</v>
      </c>
      <c r="D65" s="210"/>
      <c r="E65" s="295"/>
      <c r="F65" s="62"/>
      <c r="G65" s="2"/>
      <c r="H65" s="214"/>
      <c r="I65" s="211"/>
      <c r="J65" s="105"/>
      <c r="K65" s="28"/>
      <c r="L65" s="210"/>
      <c r="M65" s="210"/>
      <c r="N65" s="105"/>
      <c r="O65" s="4"/>
      <c r="P65" s="2"/>
      <c r="Q65" s="28"/>
      <c r="R65" s="214"/>
      <c r="S65" s="211"/>
      <c r="T65" s="2"/>
      <c r="U65" s="2"/>
      <c r="V65" s="214"/>
      <c r="W65" s="211"/>
      <c r="X65" s="2"/>
      <c r="Y65" s="4"/>
      <c r="Z65" s="2"/>
      <c r="AA65" s="28"/>
      <c r="AB65" s="214"/>
      <c r="AC65" s="211"/>
      <c r="AD65" s="3"/>
      <c r="AE65" s="28"/>
      <c r="AF65" s="214"/>
      <c r="AG65" s="211"/>
      <c r="AH65" s="3"/>
      <c r="AI65" s="4"/>
      <c r="AJ65" s="2"/>
      <c r="AK65" s="28"/>
      <c r="AL65" s="214"/>
      <c r="AM65" s="211"/>
      <c r="AN65" s="3"/>
      <c r="AO65" s="28"/>
      <c r="AP65" s="214"/>
      <c r="AQ65" s="211"/>
      <c r="AR65" s="3"/>
      <c r="AS65" s="4"/>
      <c r="AT65" s="2"/>
      <c r="AU65" s="28"/>
      <c r="AV65" s="210"/>
      <c r="AW65" s="211"/>
      <c r="AX65" s="3"/>
      <c r="AY65" s="2"/>
      <c r="AZ65" s="214"/>
      <c r="BA65" s="211"/>
      <c r="BB65" s="2"/>
      <c r="BC65" s="4"/>
      <c r="BD65" s="2"/>
      <c r="BE65" s="28"/>
      <c r="BF65" s="210"/>
      <c r="BG65" s="211"/>
      <c r="BH65" s="3"/>
      <c r="BI65" s="2"/>
      <c r="BJ65" s="214"/>
      <c r="BK65" s="211"/>
      <c r="BL65" s="2"/>
      <c r="BM65" s="4"/>
      <c r="BN65" s="2"/>
      <c r="BO65" s="28"/>
      <c r="BP65" s="210"/>
      <c r="BQ65" s="211"/>
      <c r="BR65" s="3"/>
      <c r="BS65" s="2"/>
      <c r="BT65" s="214"/>
      <c r="BU65" s="211"/>
      <c r="BV65" s="2"/>
      <c r="BW65" s="4"/>
      <c r="BX65" s="2"/>
      <c r="BY65" s="28"/>
      <c r="BZ65" s="214"/>
      <c r="CA65" s="211"/>
      <c r="CB65" s="3"/>
      <c r="CC65" s="2"/>
      <c r="CD65" s="214"/>
      <c r="CE65" s="211"/>
      <c r="CF65" s="2"/>
      <c r="CG65" s="4"/>
      <c r="CH65" s="2"/>
      <c r="CI65" s="28"/>
      <c r="CJ65" s="214"/>
      <c r="CK65" s="211"/>
      <c r="CL65" s="3"/>
      <c r="CM65" s="2"/>
      <c r="CN65" s="214"/>
      <c r="CO65" s="211"/>
      <c r="CP65" s="2"/>
      <c r="CQ65" s="4"/>
      <c r="CR65" s="2"/>
      <c r="CS65" s="28"/>
      <c r="CT65" s="214"/>
      <c r="CU65" s="211"/>
      <c r="CV65" s="3"/>
      <c r="CW65" s="2"/>
      <c r="CX65" s="214"/>
      <c r="CY65" s="211"/>
      <c r="CZ65" s="2"/>
      <c r="DA65" s="4"/>
      <c r="DB65" s="2"/>
      <c r="DC65" s="28"/>
      <c r="DD65" s="214"/>
      <c r="DE65" s="211"/>
      <c r="DF65" s="2"/>
      <c r="DG65" s="2"/>
      <c r="DH65" s="214"/>
      <c r="DI65" s="211"/>
      <c r="DJ65" s="2"/>
      <c r="DK65" s="4"/>
      <c r="DL65" s="2"/>
      <c r="DM65" s="28"/>
      <c r="DN65" s="214"/>
      <c r="DO65" s="211"/>
      <c r="DP65" s="2"/>
      <c r="DQ65" s="2"/>
      <c r="DR65" s="214"/>
      <c r="DS65" s="211"/>
      <c r="DT65" s="2"/>
      <c r="DU65" s="4"/>
      <c r="DV65" s="2"/>
      <c r="DW65" s="28"/>
      <c r="DX65" s="214"/>
      <c r="DY65" s="211"/>
      <c r="DZ65" s="2"/>
      <c r="EA65" s="2"/>
      <c r="EB65" s="214"/>
      <c r="EC65" s="211"/>
      <c r="ED65" s="2"/>
      <c r="EE65" s="4"/>
      <c r="EF65" s="2"/>
      <c r="EG65" s="28"/>
      <c r="EH65" s="214"/>
      <c r="EI65" s="211"/>
      <c r="EJ65" s="2"/>
      <c r="EK65" s="2"/>
      <c r="EL65" s="214"/>
      <c r="EM65" s="211"/>
      <c r="EN65" s="2"/>
      <c r="EO65" s="4"/>
      <c r="EP65" s="2"/>
      <c r="EQ65" s="28"/>
      <c r="ER65" s="214"/>
      <c r="ES65" s="211"/>
      <c r="ET65" s="2"/>
      <c r="EU65" s="2"/>
      <c r="EV65" s="214"/>
      <c r="EW65" s="211"/>
      <c r="EX65" s="2"/>
      <c r="EY65" s="4"/>
      <c r="EZ65" s="2"/>
      <c r="FA65" s="28"/>
      <c r="FB65" s="214"/>
      <c r="FC65" s="210"/>
      <c r="FD65" s="3"/>
      <c r="FE65" s="28"/>
      <c r="FF65" s="210"/>
      <c r="FG65" s="211"/>
      <c r="FH65" s="2"/>
      <c r="FI65" s="4"/>
      <c r="FJ65" s="2"/>
      <c r="FK65" s="28"/>
      <c r="FL65" s="214"/>
      <c r="FM65" s="211"/>
      <c r="FN65" s="2"/>
      <c r="FO65" s="2"/>
      <c r="FP65" s="214"/>
      <c r="FQ65" s="211"/>
      <c r="FR65" s="2"/>
      <c r="FS65" s="4"/>
      <c r="FT65" s="2"/>
      <c r="FU65" s="28"/>
      <c r="FV65" s="214"/>
      <c r="FW65" s="211"/>
      <c r="FX65" s="2"/>
      <c r="FY65" s="2"/>
      <c r="FZ65" s="214"/>
      <c r="GA65" s="211"/>
      <c r="GB65" s="2"/>
      <c r="GC65" s="4"/>
      <c r="GD65" s="2"/>
      <c r="GE65" s="28"/>
      <c r="GF65" s="214"/>
      <c r="GG65" s="211"/>
      <c r="GH65" s="2"/>
      <c r="GI65" s="2"/>
      <c r="GJ65" s="214"/>
      <c r="GK65" s="211"/>
      <c r="GL65" s="2"/>
      <c r="GM65" s="4"/>
      <c r="GN65" s="2"/>
      <c r="GO65" s="28"/>
      <c r="GP65" s="214"/>
      <c r="GQ65" s="211"/>
      <c r="GR65" s="2"/>
      <c r="GS65" s="2"/>
      <c r="GT65" s="214"/>
      <c r="GU65" s="211"/>
      <c r="GV65" s="2"/>
      <c r="GW65" s="4"/>
    </row>
    <row r="66" spans="1:235" x14ac:dyDescent="0.2">
      <c r="A66" s="2"/>
      <c r="B66" s="205"/>
      <c r="C66" s="23" t="s">
        <v>104</v>
      </c>
      <c r="D66" s="337"/>
      <c r="E66" s="295"/>
      <c r="F66" s="106" t="s">
        <v>105</v>
      </c>
      <c r="G66" s="104">
        <v>731</v>
      </c>
      <c r="H66" s="214"/>
      <c r="I66" s="211"/>
      <c r="J66" s="105" t="s">
        <v>105</v>
      </c>
      <c r="K66" s="28">
        <v>764</v>
      </c>
      <c r="L66" s="210"/>
      <c r="M66" s="210"/>
      <c r="N66" s="105">
        <v>1477</v>
      </c>
      <c r="O66" s="4">
        <v>694</v>
      </c>
      <c r="P66" s="2" t="s">
        <v>105</v>
      </c>
      <c r="Q66" s="28">
        <v>773</v>
      </c>
      <c r="R66" s="214"/>
      <c r="S66" s="211"/>
      <c r="T66" s="2" t="s">
        <v>105</v>
      </c>
      <c r="U66" s="2">
        <v>742</v>
      </c>
      <c r="V66" s="214"/>
      <c r="W66" s="211"/>
      <c r="X66" s="2" t="s">
        <v>105</v>
      </c>
      <c r="Y66" s="4">
        <v>673</v>
      </c>
      <c r="Z66" s="2" t="s">
        <v>105</v>
      </c>
      <c r="AA66" s="28">
        <v>755</v>
      </c>
      <c r="AB66" s="214"/>
      <c r="AC66" s="211"/>
      <c r="AD66" s="3" t="s">
        <v>105</v>
      </c>
      <c r="AE66" s="28">
        <v>786</v>
      </c>
      <c r="AF66" s="214"/>
      <c r="AG66" s="211"/>
      <c r="AH66" s="3" t="s">
        <v>105</v>
      </c>
      <c r="AI66" s="4">
        <v>590</v>
      </c>
      <c r="AJ66" s="2" t="s">
        <v>105</v>
      </c>
      <c r="AK66" s="28">
        <v>619</v>
      </c>
      <c r="AL66" s="214"/>
      <c r="AM66" s="211"/>
      <c r="AN66" s="3" t="s">
        <v>105</v>
      </c>
      <c r="AO66" s="28">
        <v>707</v>
      </c>
      <c r="AP66" s="214"/>
      <c r="AQ66" s="211"/>
      <c r="AR66" s="3" t="s">
        <v>105</v>
      </c>
      <c r="AS66" s="4">
        <v>642</v>
      </c>
      <c r="AT66" s="2" t="s">
        <v>105</v>
      </c>
      <c r="AU66" s="28">
        <v>618</v>
      </c>
      <c r="AV66" s="210"/>
      <c r="AW66" s="211"/>
      <c r="AX66" s="3" t="s">
        <v>105</v>
      </c>
      <c r="AY66" s="2">
        <v>644</v>
      </c>
      <c r="AZ66" s="214"/>
      <c r="BA66" s="211"/>
      <c r="BB66" s="2" t="s">
        <v>105</v>
      </c>
      <c r="BC66" s="4">
        <v>461</v>
      </c>
      <c r="BD66" s="2" t="s">
        <v>105</v>
      </c>
      <c r="BE66" s="28">
        <v>643</v>
      </c>
      <c r="BF66" s="210"/>
      <c r="BG66" s="211"/>
      <c r="BH66" s="3" t="s">
        <v>105</v>
      </c>
      <c r="BI66" s="2">
        <v>684</v>
      </c>
      <c r="BJ66" s="214"/>
      <c r="BK66" s="211"/>
      <c r="BL66" s="2" t="s">
        <v>105</v>
      </c>
      <c r="BM66" s="4">
        <v>660</v>
      </c>
      <c r="BN66" s="2" t="s">
        <v>105</v>
      </c>
      <c r="BO66" s="28">
        <v>733</v>
      </c>
      <c r="BP66" s="210"/>
      <c r="BQ66" s="211"/>
      <c r="BR66" s="3" t="s">
        <v>105</v>
      </c>
      <c r="BS66" s="2">
        <v>766</v>
      </c>
      <c r="BT66" s="214"/>
      <c r="BU66" s="211"/>
      <c r="BV66" s="2" t="s">
        <v>105</v>
      </c>
      <c r="BW66" s="4">
        <v>775</v>
      </c>
      <c r="BX66" s="2" t="s">
        <v>105</v>
      </c>
      <c r="BY66" s="28">
        <v>707</v>
      </c>
      <c r="BZ66" s="214"/>
      <c r="CA66" s="211"/>
      <c r="CB66" s="3" t="s">
        <v>105</v>
      </c>
      <c r="CC66" s="2">
        <v>706</v>
      </c>
      <c r="CD66" s="214"/>
      <c r="CE66" s="211"/>
      <c r="CF66" s="2" t="s">
        <v>105</v>
      </c>
      <c r="CG66" s="4">
        <v>593</v>
      </c>
      <c r="CH66" s="2" t="s">
        <v>105</v>
      </c>
      <c r="CI66" s="28">
        <v>614</v>
      </c>
      <c r="CJ66" s="214"/>
      <c r="CK66" s="211"/>
      <c r="CL66" s="3" t="s">
        <v>105</v>
      </c>
      <c r="CM66" s="2">
        <v>835</v>
      </c>
      <c r="CN66" s="214"/>
      <c r="CO66" s="211"/>
      <c r="CP66" s="2" t="s">
        <v>105</v>
      </c>
      <c r="CQ66" s="4">
        <v>732</v>
      </c>
      <c r="CR66" s="2" t="s">
        <v>105</v>
      </c>
      <c r="CS66" s="28">
        <v>777</v>
      </c>
      <c r="CT66" s="214"/>
      <c r="CU66" s="211"/>
      <c r="CV66" s="3" t="s">
        <v>105</v>
      </c>
      <c r="CW66" s="2">
        <v>822</v>
      </c>
      <c r="CX66" s="214"/>
      <c r="CY66" s="211"/>
      <c r="CZ66" s="2" t="s">
        <v>105</v>
      </c>
      <c r="DA66" s="4">
        <v>699</v>
      </c>
      <c r="DB66" s="2" t="s">
        <v>105</v>
      </c>
      <c r="DC66" s="28">
        <v>933</v>
      </c>
      <c r="DD66" s="214"/>
      <c r="DE66" s="211"/>
      <c r="DF66" s="2" t="s">
        <v>105</v>
      </c>
      <c r="DG66" s="2">
        <v>966</v>
      </c>
      <c r="DH66" s="214"/>
      <c r="DI66" s="211"/>
      <c r="DJ66" s="2" t="s">
        <v>105</v>
      </c>
      <c r="DK66" s="4">
        <v>823</v>
      </c>
      <c r="DL66" s="2" t="s">
        <v>105</v>
      </c>
      <c r="DM66" s="28">
        <v>777</v>
      </c>
      <c r="DN66" s="214"/>
      <c r="DO66" s="211"/>
      <c r="DP66" s="2" t="s">
        <v>105</v>
      </c>
      <c r="DQ66" s="2">
        <v>1036</v>
      </c>
      <c r="DR66" s="214"/>
      <c r="DS66" s="211"/>
      <c r="DT66" s="2" t="s">
        <v>105</v>
      </c>
      <c r="DU66" s="4">
        <v>606</v>
      </c>
      <c r="DV66" s="2" t="s">
        <v>105</v>
      </c>
      <c r="DW66" s="28">
        <v>795</v>
      </c>
      <c r="DX66" s="214"/>
      <c r="DY66" s="211"/>
      <c r="DZ66" s="2" t="s">
        <v>105</v>
      </c>
      <c r="EA66" s="2">
        <v>1042</v>
      </c>
      <c r="EB66" s="214"/>
      <c r="EC66" s="211"/>
      <c r="ED66" s="2" t="s">
        <v>105</v>
      </c>
      <c r="EE66" s="4">
        <v>678</v>
      </c>
      <c r="EF66" s="2" t="s">
        <v>105</v>
      </c>
      <c r="EG66" s="28">
        <v>920</v>
      </c>
      <c r="EH66" s="214"/>
      <c r="EI66" s="211"/>
      <c r="EJ66" s="2" t="s">
        <v>105</v>
      </c>
      <c r="EK66" s="2">
        <v>795</v>
      </c>
      <c r="EL66" s="214"/>
      <c r="EM66" s="211"/>
      <c r="EN66" s="2" t="s">
        <v>105</v>
      </c>
      <c r="EO66" s="4">
        <v>831</v>
      </c>
      <c r="EP66" s="2" t="s">
        <v>105</v>
      </c>
      <c r="EQ66" s="28">
        <v>750</v>
      </c>
      <c r="ER66" s="214"/>
      <c r="ES66" s="211"/>
      <c r="ET66" s="2" t="s">
        <v>105</v>
      </c>
      <c r="EU66" s="2">
        <v>687</v>
      </c>
      <c r="EV66" s="214"/>
      <c r="EW66" s="211"/>
      <c r="EX66" s="2" t="s">
        <v>105</v>
      </c>
      <c r="EY66" s="4">
        <v>643</v>
      </c>
      <c r="EZ66" s="2" t="s">
        <v>105</v>
      </c>
      <c r="FA66" s="28">
        <v>682</v>
      </c>
      <c r="FB66" s="214"/>
      <c r="FC66" s="210"/>
      <c r="FD66" s="3" t="s">
        <v>105</v>
      </c>
      <c r="FE66" s="28">
        <v>983</v>
      </c>
      <c r="FF66" s="210"/>
      <c r="FG66" s="211"/>
      <c r="FH66" s="2" t="s">
        <v>105</v>
      </c>
      <c r="FI66" s="4">
        <v>766</v>
      </c>
      <c r="FJ66" s="2" t="s">
        <v>105</v>
      </c>
      <c r="FK66" s="28">
        <v>555</v>
      </c>
      <c r="FL66" s="214"/>
      <c r="FM66" s="211"/>
      <c r="FN66" s="2" t="s">
        <v>105</v>
      </c>
      <c r="FO66" s="2">
        <v>780</v>
      </c>
      <c r="FP66" s="214"/>
      <c r="FQ66" s="211"/>
      <c r="FR66" s="2" t="s">
        <v>105</v>
      </c>
      <c r="FS66" s="4">
        <v>963</v>
      </c>
      <c r="FT66" s="2" t="s">
        <v>105</v>
      </c>
      <c r="FU66" s="28">
        <v>620</v>
      </c>
      <c r="FV66" s="214"/>
      <c r="FW66" s="211"/>
      <c r="FX66" s="2" t="s">
        <v>105</v>
      </c>
      <c r="FY66" s="28">
        <v>804</v>
      </c>
      <c r="FZ66" s="214"/>
      <c r="GA66" s="211"/>
      <c r="GB66" s="2" t="s">
        <v>105</v>
      </c>
      <c r="GC66" s="4">
        <v>725</v>
      </c>
      <c r="GD66" s="2" t="s">
        <v>105</v>
      </c>
      <c r="GE66" s="28">
        <v>559</v>
      </c>
      <c r="GF66" s="214"/>
      <c r="GG66" s="211"/>
      <c r="GH66" s="2" t="s">
        <v>105</v>
      </c>
      <c r="GI66" s="2">
        <v>753</v>
      </c>
      <c r="GJ66" s="214"/>
      <c r="GK66" s="211"/>
      <c r="GL66" s="2" t="s">
        <v>105</v>
      </c>
      <c r="GM66" s="4">
        <v>614</v>
      </c>
      <c r="GN66" s="2" t="s">
        <v>105</v>
      </c>
      <c r="GO66" s="28">
        <v>737</v>
      </c>
      <c r="GP66" s="214"/>
      <c r="GQ66" s="211"/>
      <c r="GR66" s="2" t="s">
        <v>105</v>
      </c>
      <c r="GS66" s="2">
        <v>690</v>
      </c>
      <c r="GT66" s="214"/>
      <c r="GU66" s="211"/>
      <c r="GV66" s="2" t="s">
        <v>105</v>
      </c>
      <c r="GW66" s="4">
        <v>719</v>
      </c>
    </row>
    <row r="67" spans="1:235" x14ac:dyDescent="0.2">
      <c r="A67" s="2"/>
      <c r="B67" s="205"/>
      <c r="C67" s="23" t="s">
        <v>106</v>
      </c>
      <c r="D67" s="337"/>
      <c r="E67" s="295"/>
      <c r="F67" s="106" t="s">
        <v>105</v>
      </c>
      <c r="G67" s="104">
        <v>663</v>
      </c>
      <c r="H67" s="214"/>
      <c r="I67" s="211"/>
      <c r="J67" s="105" t="s">
        <v>105</v>
      </c>
      <c r="K67" s="28">
        <v>726</v>
      </c>
      <c r="L67" s="210"/>
      <c r="M67" s="210"/>
      <c r="N67" s="105">
        <v>1494</v>
      </c>
      <c r="O67" s="4">
        <v>737</v>
      </c>
      <c r="P67" s="2" t="s">
        <v>105</v>
      </c>
      <c r="Q67" s="28">
        <v>887</v>
      </c>
      <c r="R67" s="214"/>
      <c r="S67" s="211"/>
      <c r="T67" s="2" t="s">
        <v>105</v>
      </c>
      <c r="U67" s="2">
        <v>744</v>
      </c>
      <c r="V67" s="214"/>
      <c r="W67" s="211"/>
      <c r="X67" s="2" t="s">
        <v>105</v>
      </c>
      <c r="Y67" s="4">
        <v>744</v>
      </c>
      <c r="Z67" s="2" t="s">
        <v>105</v>
      </c>
      <c r="AA67" s="28">
        <v>699</v>
      </c>
      <c r="AB67" s="214"/>
      <c r="AC67" s="211"/>
      <c r="AD67" s="3" t="s">
        <v>105</v>
      </c>
      <c r="AE67" s="28">
        <v>754</v>
      </c>
      <c r="AF67" s="214"/>
      <c r="AG67" s="211"/>
      <c r="AH67" s="3" t="s">
        <v>105</v>
      </c>
      <c r="AI67" s="4">
        <v>617</v>
      </c>
      <c r="AJ67" s="2" t="s">
        <v>105</v>
      </c>
      <c r="AK67" s="28">
        <v>580</v>
      </c>
      <c r="AL67" s="214"/>
      <c r="AM67" s="211"/>
      <c r="AN67" s="3" t="s">
        <v>105</v>
      </c>
      <c r="AO67" s="28">
        <v>673</v>
      </c>
      <c r="AP67" s="214"/>
      <c r="AQ67" s="211"/>
      <c r="AR67" s="3" t="s">
        <v>105</v>
      </c>
      <c r="AS67" s="4">
        <v>715</v>
      </c>
      <c r="AT67" s="2" t="s">
        <v>105</v>
      </c>
      <c r="AU67" s="28">
        <v>675</v>
      </c>
      <c r="AV67" s="210"/>
      <c r="AW67" s="211"/>
      <c r="AX67" s="3" t="s">
        <v>105</v>
      </c>
      <c r="AY67" s="2">
        <v>589</v>
      </c>
      <c r="AZ67" s="214"/>
      <c r="BA67" s="211"/>
      <c r="BB67" s="2" t="s">
        <v>105</v>
      </c>
      <c r="BC67" s="4">
        <v>462</v>
      </c>
      <c r="BD67" s="2" t="s">
        <v>105</v>
      </c>
      <c r="BE67" s="28">
        <v>675</v>
      </c>
      <c r="BF67" s="210"/>
      <c r="BG67" s="211"/>
      <c r="BH67" s="3" t="s">
        <v>105</v>
      </c>
      <c r="BI67" s="2">
        <v>927</v>
      </c>
      <c r="BJ67" s="214"/>
      <c r="BK67" s="211"/>
      <c r="BL67" s="2" t="s">
        <v>105</v>
      </c>
      <c r="BM67" s="4">
        <v>788</v>
      </c>
      <c r="BN67" s="2" t="s">
        <v>105</v>
      </c>
      <c r="BO67" s="28">
        <v>749</v>
      </c>
      <c r="BP67" s="210"/>
      <c r="BQ67" s="211"/>
      <c r="BR67" s="3" t="s">
        <v>105</v>
      </c>
      <c r="BS67" s="2">
        <v>660</v>
      </c>
      <c r="BT67" s="214"/>
      <c r="BU67" s="211"/>
      <c r="BV67" s="2" t="s">
        <v>105</v>
      </c>
      <c r="BW67" s="4">
        <v>721</v>
      </c>
      <c r="BX67" s="2" t="s">
        <v>105</v>
      </c>
      <c r="BY67" s="28">
        <v>689</v>
      </c>
      <c r="BZ67" s="214"/>
      <c r="CA67" s="211"/>
      <c r="CB67" s="3" t="s">
        <v>105</v>
      </c>
      <c r="CC67" s="2">
        <v>741</v>
      </c>
      <c r="CD67" s="214"/>
      <c r="CE67" s="211"/>
      <c r="CF67" s="2" t="s">
        <v>105</v>
      </c>
      <c r="CG67" s="4">
        <v>620</v>
      </c>
      <c r="CH67" s="2" t="s">
        <v>105</v>
      </c>
      <c r="CI67" s="28">
        <v>509</v>
      </c>
      <c r="CJ67" s="214"/>
      <c r="CK67" s="211"/>
      <c r="CL67" s="3" t="s">
        <v>105</v>
      </c>
      <c r="CM67" s="2">
        <v>666</v>
      </c>
      <c r="CN67" s="214"/>
      <c r="CO67" s="211"/>
      <c r="CP67" s="2" t="s">
        <v>105</v>
      </c>
      <c r="CQ67" s="4">
        <v>701</v>
      </c>
      <c r="CR67" s="2" t="s">
        <v>105</v>
      </c>
      <c r="CS67" s="28">
        <v>837</v>
      </c>
      <c r="CT67" s="214"/>
      <c r="CU67" s="211"/>
      <c r="CV67" s="3" t="s">
        <v>105</v>
      </c>
      <c r="CW67" s="2">
        <v>740</v>
      </c>
      <c r="CX67" s="214"/>
      <c r="CY67" s="211"/>
      <c r="CZ67" s="2" t="s">
        <v>105</v>
      </c>
      <c r="DA67" s="4">
        <v>647</v>
      </c>
      <c r="DB67" s="2" t="s">
        <v>105</v>
      </c>
      <c r="DC67" s="28">
        <v>849</v>
      </c>
      <c r="DD67" s="214"/>
      <c r="DE67" s="211"/>
      <c r="DF67" s="2" t="s">
        <v>105</v>
      </c>
      <c r="DG67" s="2">
        <v>950</v>
      </c>
      <c r="DH67" s="214"/>
      <c r="DI67" s="211"/>
      <c r="DJ67" s="2" t="s">
        <v>105</v>
      </c>
      <c r="DK67" s="4">
        <v>870</v>
      </c>
      <c r="DL67" s="2" t="s">
        <v>105</v>
      </c>
      <c r="DM67" s="28">
        <v>806</v>
      </c>
      <c r="DN67" s="214"/>
      <c r="DO67" s="211"/>
      <c r="DP67" s="2" t="s">
        <v>105</v>
      </c>
      <c r="DQ67" s="2">
        <v>570</v>
      </c>
      <c r="DR67" s="214"/>
      <c r="DS67" s="211"/>
      <c r="DT67" s="2" t="s">
        <v>105</v>
      </c>
      <c r="DU67" s="4">
        <v>834</v>
      </c>
      <c r="DV67" s="2" t="s">
        <v>105</v>
      </c>
      <c r="DW67" s="28">
        <v>725</v>
      </c>
      <c r="DX67" s="214"/>
      <c r="DY67" s="211"/>
      <c r="DZ67" s="2" t="s">
        <v>105</v>
      </c>
      <c r="EA67" s="2">
        <v>819</v>
      </c>
      <c r="EB67" s="214"/>
      <c r="EC67" s="211"/>
      <c r="ED67" s="2" t="s">
        <v>105</v>
      </c>
      <c r="EE67" s="4">
        <v>768</v>
      </c>
      <c r="EF67" s="2" t="s">
        <v>105</v>
      </c>
      <c r="EG67" s="28">
        <v>789</v>
      </c>
      <c r="EH67" s="214"/>
      <c r="EI67" s="211"/>
      <c r="EJ67" s="2" t="s">
        <v>105</v>
      </c>
      <c r="EK67" s="2">
        <v>789</v>
      </c>
      <c r="EL67" s="214"/>
      <c r="EM67" s="211"/>
      <c r="EN67" s="2" t="s">
        <v>105</v>
      </c>
      <c r="EO67" s="4">
        <v>706</v>
      </c>
      <c r="EP67" s="2" t="s">
        <v>105</v>
      </c>
      <c r="EQ67" s="28">
        <v>692</v>
      </c>
      <c r="ER67" s="214"/>
      <c r="ES67" s="211"/>
      <c r="ET67" s="2" t="s">
        <v>105</v>
      </c>
      <c r="EU67" s="2">
        <v>759</v>
      </c>
      <c r="EV67" s="214"/>
      <c r="EW67" s="211"/>
      <c r="EX67" s="2" t="s">
        <v>105</v>
      </c>
      <c r="EY67" s="4">
        <v>971</v>
      </c>
      <c r="EZ67" s="2" t="s">
        <v>105</v>
      </c>
      <c r="FA67" s="28">
        <v>834</v>
      </c>
      <c r="FB67" s="214"/>
      <c r="FC67" s="210"/>
      <c r="FD67" s="3" t="s">
        <v>105</v>
      </c>
      <c r="FE67" s="28">
        <v>883</v>
      </c>
      <c r="FF67" s="210"/>
      <c r="FG67" s="211"/>
      <c r="FH67" s="2" t="s">
        <v>105</v>
      </c>
      <c r="FI67" s="4">
        <v>706</v>
      </c>
      <c r="FJ67" s="2" t="s">
        <v>105</v>
      </c>
      <c r="FK67" s="28">
        <v>630</v>
      </c>
      <c r="FL67" s="214"/>
      <c r="FM67" s="211"/>
      <c r="FN67" s="2" t="s">
        <v>105</v>
      </c>
      <c r="FO67" s="2">
        <v>743</v>
      </c>
      <c r="FP67" s="214"/>
      <c r="FQ67" s="211"/>
      <c r="FR67" s="2" t="s">
        <v>105</v>
      </c>
      <c r="FS67" s="4">
        <v>920</v>
      </c>
      <c r="FT67" s="2" t="s">
        <v>105</v>
      </c>
      <c r="FU67" s="28">
        <v>479</v>
      </c>
      <c r="FV67" s="214"/>
      <c r="FW67" s="211"/>
      <c r="FX67" s="2" t="s">
        <v>105</v>
      </c>
      <c r="FY67" s="28">
        <v>695</v>
      </c>
      <c r="FZ67" s="214"/>
      <c r="GA67" s="211"/>
      <c r="GB67" s="2" t="s">
        <v>105</v>
      </c>
      <c r="GC67" s="4">
        <v>700</v>
      </c>
      <c r="GD67" s="2" t="s">
        <v>105</v>
      </c>
      <c r="GE67" s="28">
        <v>507</v>
      </c>
      <c r="GF67" s="214"/>
      <c r="GG67" s="211"/>
      <c r="GH67" s="2" t="s">
        <v>105</v>
      </c>
      <c r="GI67" s="2">
        <v>646</v>
      </c>
      <c r="GJ67" s="214"/>
      <c r="GK67" s="211"/>
      <c r="GL67" s="2" t="s">
        <v>105</v>
      </c>
      <c r="GM67" s="4">
        <v>591</v>
      </c>
      <c r="GN67" s="2" t="s">
        <v>105</v>
      </c>
      <c r="GO67" s="28">
        <v>504</v>
      </c>
      <c r="GP67" s="214"/>
      <c r="GQ67" s="211"/>
      <c r="GR67" s="2" t="s">
        <v>105</v>
      </c>
      <c r="GS67" s="2">
        <v>746</v>
      </c>
      <c r="GT67" s="214"/>
      <c r="GU67" s="211"/>
      <c r="GV67" s="2" t="s">
        <v>105</v>
      </c>
      <c r="GW67" s="4">
        <v>557</v>
      </c>
    </row>
    <row r="68" spans="1:235" x14ac:dyDescent="0.2">
      <c r="A68" s="2"/>
      <c r="B68" s="205"/>
      <c r="C68" s="23" t="s">
        <v>107</v>
      </c>
      <c r="D68" s="337"/>
      <c r="E68" s="295"/>
      <c r="F68" s="106" t="s">
        <v>105</v>
      </c>
      <c r="G68" s="104">
        <v>633</v>
      </c>
      <c r="H68" s="214"/>
      <c r="I68" s="211"/>
      <c r="J68" s="105" t="s">
        <v>105</v>
      </c>
      <c r="K68" s="28">
        <v>460</v>
      </c>
      <c r="L68" s="210"/>
      <c r="M68" s="210"/>
      <c r="N68" s="105">
        <v>1549</v>
      </c>
      <c r="O68" s="4">
        <v>596</v>
      </c>
      <c r="P68" s="2" t="s">
        <v>105</v>
      </c>
      <c r="Q68" s="28">
        <v>645</v>
      </c>
      <c r="R68" s="214"/>
      <c r="S68" s="211"/>
      <c r="T68" s="2" t="s">
        <v>105</v>
      </c>
      <c r="U68" s="2">
        <v>706</v>
      </c>
      <c r="V68" s="214"/>
      <c r="W68" s="211"/>
      <c r="X68" s="2" t="s">
        <v>105</v>
      </c>
      <c r="Y68" s="4">
        <v>887</v>
      </c>
      <c r="Z68" s="2" t="s">
        <v>105</v>
      </c>
      <c r="AA68" s="28">
        <v>696</v>
      </c>
      <c r="AB68" s="214"/>
      <c r="AC68" s="211"/>
      <c r="AD68" s="3" t="s">
        <v>105</v>
      </c>
      <c r="AE68" s="28">
        <v>713</v>
      </c>
      <c r="AF68" s="214"/>
      <c r="AG68" s="211"/>
      <c r="AH68" s="3" t="s">
        <v>105</v>
      </c>
      <c r="AI68" s="4">
        <v>581</v>
      </c>
      <c r="AJ68" s="2" t="s">
        <v>105</v>
      </c>
      <c r="AK68" s="28">
        <v>648</v>
      </c>
      <c r="AL68" s="214"/>
      <c r="AM68" s="211"/>
      <c r="AN68" s="3" t="s">
        <v>105</v>
      </c>
      <c r="AO68" s="28">
        <v>1182</v>
      </c>
      <c r="AP68" s="214"/>
      <c r="AQ68" s="211"/>
      <c r="AR68" s="3" t="s">
        <v>105</v>
      </c>
      <c r="AS68" s="4">
        <v>795</v>
      </c>
      <c r="AT68" s="2" t="s">
        <v>105</v>
      </c>
      <c r="AU68" s="28">
        <v>804</v>
      </c>
      <c r="AV68" s="210"/>
      <c r="AW68" s="211"/>
      <c r="AX68" s="3" t="s">
        <v>105</v>
      </c>
      <c r="AY68" s="2">
        <v>538</v>
      </c>
      <c r="AZ68" s="214"/>
      <c r="BA68" s="211"/>
      <c r="BB68" s="2" t="s">
        <v>105</v>
      </c>
      <c r="BC68" s="4">
        <v>523</v>
      </c>
      <c r="BD68" s="2" t="s">
        <v>105</v>
      </c>
      <c r="BE68" s="28">
        <v>555</v>
      </c>
      <c r="BF68" s="210"/>
      <c r="BG68" s="211"/>
      <c r="BH68" s="3" t="s">
        <v>105</v>
      </c>
      <c r="BI68" s="2">
        <v>804</v>
      </c>
      <c r="BJ68" s="214"/>
      <c r="BK68" s="211"/>
      <c r="BL68" s="2" t="s">
        <v>105</v>
      </c>
      <c r="BM68" s="4">
        <v>772</v>
      </c>
      <c r="BN68" s="2" t="s">
        <v>105</v>
      </c>
      <c r="BO68" s="28">
        <v>768</v>
      </c>
      <c r="BP68" s="210"/>
      <c r="BQ68" s="211"/>
      <c r="BR68" s="3" t="s">
        <v>105</v>
      </c>
      <c r="BS68" s="2">
        <v>834</v>
      </c>
      <c r="BT68" s="214"/>
      <c r="BU68" s="211"/>
      <c r="BV68" s="2" t="s">
        <v>105</v>
      </c>
      <c r="BW68" s="4">
        <v>731</v>
      </c>
      <c r="BX68" s="2" t="s">
        <v>105</v>
      </c>
      <c r="BY68" s="28">
        <v>720</v>
      </c>
      <c r="BZ68" s="214"/>
      <c r="CA68" s="211"/>
      <c r="CB68" s="3" t="s">
        <v>105</v>
      </c>
      <c r="CC68" s="2">
        <v>839</v>
      </c>
      <c r="CD68" s="214"/>
      <c r="CE68" s="211"/>
      <c r="CF68" s="2" t="s">
        <v>105</v>
      </c>
      <c r="CG68" s="4">
        <v>694</v>
      </c>
      <c r="CH68" s="2" t="s">
        <v>105</v>
      </c>
      <c r="CI68" s="28">
        <v>570</v>
      </c>
      <c r="CJ68" s="214"/>
      <c r="CK68" s="211"/>
      <c r="CL68" s="3" t="s">
        <v>105</v>
      </c>
      <c r="CM68" s="2">
        <v>702</v>
      </c>
      <c r="CN68" s="214"/>
      <c r="CO68" s="211"/>
      <c r="CP68" s="2" t="s">
        <v>105</v>
      </c>
      <c r="CQ68" s="4">
        <v>872</v>
      </c>
      <c r="CR68" s="2" t="s">
        <v>105</v>
      </c>
      <c r="CS68" s="28">
        <v>919</v>
      </c>
      <c r="CT68" s="214"/>
      <c r="CU68" s="211"/>
      <c r="CV68" s="3" t="s">
        <v>105</v>
      </c>
      <c r="CW68" s="2">
        <v>777</v>
      </c>
      <c r="CX68" s="214"/>
      <c r="CY68" s="211"/>
      <c r="CZ68" s="2" t="s">
        <v>105</v>
      </c>
      <c r="DA68" s="4">
        <v>815</v>
      </c>
      <c r="DB68" s="2" t="s">
        <v>105</v>
      </c>
      <c r="DC68" s="28">
        <v>930</v>
      </c>
      <c r="DD68" s="214"/>
      <c r="DE68" s="211"/>
      <c r="DF68" s="2" t="s">
        <v>105</v>
      </c>
      <c r="DG68" s="2">
        <v>939</v>
      </c>
      <c r="DH68" s="214"/>
      <c r="DI68" s="211"/>
      <c r="DJ68" s="2" t="s">
        <v>105</v>
      </c>
      <c r="DK68" s="4">
        <v>806</v>
      </c>
      <c r="DL68" s="2" t="s">
        <v>105</v>
      </c>
      <c r="DM68" s="28">
        <v>893</v>
      </c>
      <c r="DN68" s="214"/>
      <c r="DO68" s="211"/>
      <c r="DP68" s="2" t="s">
        <v>105</v>
      </c>
      <c r="DQ68" s="2">
        <v>633</v>
      </c>
      <c r="DR68" s="214"/>
      <c r="DS68" s="211"/>
      <c r="DT68" s="2" t="s">
        <v>105</v>
      </c>
      <c r="DU68" s="4">
        <v>804</v>
      </c>
      <c r="DV68" s="2" t="s">
        <v>105</v>
      </c>
      <c r="DW68" s="28"/>
      <c r="DX68" s="214"/>
      <c r="DY68" s="211"/>
      <c r="DZ68" s="2" t="s">
        <v>105</v>
      </c>
      <c r="EA68" s="2"/>
      <c r="EB68" s="214"/>
      <c r="EC68" s="211"/>
      <c r="ED68" s="2" t="s">
        <v>105</v>
      </c>
      <c r="EE68" s="4">
        <v>894</v>
      </c>
      <c r="EF68" s="2" t="s">
        <v>105</v>
      </c>
      <c r="EG68" s="28">
        <v>674</v>
      </c>
      <c r="EH68" s="214"/>
      <c r="EI68" s="211"/>
      <c r="EJ68" s="2" t="s">
        <v>105</v>
      </c>
      <c r="EK68" s="2">
        <v>714</v>
      </c>
      <c r="EL68" s="214"/>
      <c r="EM68" s="211"/>
      <c r="EN68" s="2" t="s">
        <v>105</v>
      </c>
      <c r="EO68" s="4">
        <v>807</v>
      </c>
      <c r="EP68" s="2" t="s">
        <v>105</v>
      </c>
      <c r="EQ68" s="28">
        <v>635</v>
      </c>
      <c r="ER68" s="214"/>
      <c r="ES68" s="211"/>
      <c r="ET68" s="2" t="s">
        <v>105</v>
      </c>
      <c r="EU68" s="2">
        <v>732</v>
      </c>
      <c r="EV68" s="214"/>
      <c r="EW68" s="211"/>
      <c r="EX68" s="2" t="s">
        <v>105</v>
      </c>
      <c r="EY68" s="4">
        <v>1307</v>
      </c>
      <c r="EZ68" s="2" t="s">
        <v>105</v>
      </c>
      <c r="FA68" s="28">
        <v>748</v>
      </c>
      <c r="FB68" s="214"/>
      <c r="FC68" s="210"/>
      <c r="FD68" s="3" t="s">
        <v>105</v>
      </c>
      <c r="FE68" s="28">
        <v>740</v>
      </c>
      <c r="FF68" s="210"/>
      <c r="FG68" s="211"/>
      <c r="FH68" s="2" t="s">
        <v>105</v>
      </c>
      <c r="FI68" s="4">
        <v>666</v>
      </c>
      <c r="FJ68" s="2" t="s">
        <v>105</v>
      </c>
      <c r="FK68" s="28">
        <v>630</v>
      </c>
      <c r="FL68" s="214"/>
      <c r="FM68" s="211"/>
      <c r="FN68" s="2" t="s">
        <v>105</v>
      </c>
      <c r="FO68" s="2">
        <v>844</v>
      </c>
      <c r="FP68" s="214"/>
      <c r="FQ68" s="211"/>
      <c r="FR68" s="2" t="s">
        <v>105</v>
      </c>
      <c r="FS68" s="4">
        <v>857</v>
      </c>
      <c r="FT68" s="2" t="s">
        <v>105</v>
      </c>
      <c r="FU68" s="28">
        <v>576</v>
      </c>
      <c r="FV68" s="214"/>
      <c r="FW68" s="211"/>
      <c r="FX68" s="2" t="s">
        <v>105</v>
      </c>
      <c r="FY68" s="28">
        <v>603</v>
      </c>
      <c r="FZ68" s="214"/>
      <c r="GA68" s="211"/>
      <c r="GB68" s="2" t="s">
        <v>105</v>
      </c>
      <c r="GC68" s="4">
        <v>913</v>
      </c>
      <c r="GD68" s="2" t="s">
        <v>105</v>
      </c>
      <c r="GE68" s="28">
        <v>725</v>
      </c>
      <c r="GF68" s="214"/>
      <c r="GG68" s="211"/>
      <c r="GH68" s="2" t="s">
        <v>105</v>
      </c>
      <c r="GI68" s="2">
        <v>679</v>
      </c>
      <c r="GJ68" s="214"/>
      <c r="GK68" s="211"/>
      <c r="GL68" s="2" t="s">
        <v>105</v>
      </c>
      <c r="GM68" s="4">
        <v>691</v>
      </c>
      <c r="GN68" s="2" t="s">
        <v>105</v>
      </c>
      <c r="GO68" s="28">
        <v>636</v>
      </c>
      <c r="GP68" s="214"/>
      <c r="GQ68" s="211"/>
      <c r="GR68" s="2" t="s">
        <v>105</v>
      </c>
      <c r="GS68" s="2">
        <v>622</v>
      </c>
      <c r="GT68" s="214"/>
      <c r="GU68" s="211"/>
      <c r="GV68" s="2" t="s">
        <v>105</v>
      </c>
      <c r="GW68" s="4">
        <v>741</v>
      </c>
    </row>
    <row r="69" spans="1:235" s="186" customFormat="1" ht="15" x14ac:dyDescent="0.2">
      <c r="A69" s="1"/>
      <c r="B69" s="244"/>
      <c r="C69" s="220" t="s">
        <v>87</v>
      </c>
      <c r="D69" s="338"/>
      <c r="E69" s="233"/>
      <c r="F69" s="339" t="s">
        <v>105</v>
      </c>
      <c r="G69" s="339">
        <f>AVERAGE(G66,G67,G68)</f>
        <v>675.66666666666663</v>
      </c>
      <c r="H69" s="224"/>
      <c r="I69" s="231"/>
      <c r="J69" s="340" t="s">
        <v>105</v>
      </c>
      <c r="K69" s="231">
        <f>AVERAGE(K66,K67,K68)</f>
        <v>650</v>
      </c>
      <c r="L69" s="228"/>
      <c r="M69" s="228"/>
      <c r="N69" s="341">
        <f>AVERAGE(N66:N68)</f>
        <v>1506.6666666666667</v>
      </c>
      <c r="O69" s="257">
        <f>AVERAGE(O66:O68)</f>
        <v>675.66666666666663</v>
      </c>
      <c r="P69" s="228" t="s">
        <v>105</v>
      </c>
      <c r="Q69" s="255">
        <f>AVERAGE(Q66,Q67,Q68)</f>
        <v>768.33333333333337</v>
      </c>
      <c r="R69" s="224"/>
      <c r="S69" s="231"/>
      <c r="T69" s="228" t="s">
        <v>105</v>
      </c>
      <c r="U69" s="253">
        <f>AVERAGE(U66,U67,U68)</f>
        <v>730.66666666666663</v>
      </c>
      <c r="V69" s="224"/>
      <c r="W69" s="231"/>
      <c r="X69" s="228" t="s">
        <v>105</v>
      </c>
      <c r="Y69" s="257">
        <f>AVERAGE(Y66,Y67)</f>
        <v>708.5</v>
      </c>
      <c r="Z69" s="228"/>
      <c r="AA69" s="255">
        <f>AVERAGE(AA66,AA67,AA68)</f>
        <v>716.66666666666663</v>
      </c>
      <c r="AB69" s="224"/>
      <c r="AC69" s="231"/>
      <c r="AD69" s="224"/>
      <c r="AE69" s="231">
        <f>AVERAGE(AE66,AE67,AE68)</f>
        <v>751</v>
      </c>
      <c r="AF69" s="224"/>
      <c r="AG69" s="231"/>
      <c r="AH69" s="224"/>
      <c r="AI69" s="257">
        <f>AVERAGE(AI66,AI67,AI68)</f>
        <v>596</v>
      </c>
      <c r="AJ69" s="228"/>
      <c r="AK69" s="255">
        <f>AVERAGE(AK66,AK67,AK68)</f>
        <v>615.66666666666663</v>
      </c>
      <c r="AL69" s="224"/>
      <c r="AM69" s="231"/>
      <c r="AN69" s="224" t="s">
        <v>105</v>
      </c>
      <c r="AO69" s="342">
        <f>AVERAGE(AO66,AO67)</f>
        <v>690</v>
      </c>
      <c r="AP69" s="224"/>
      <c r="AQ69" s="231"/>
      <c r="AR69" s="224" t="s">
        <v>105</v>
      </c>
      <c r="AS69" s="257">
        <f>AVERAGE(AS66,AS67,AS68)</f>
        <v>717.33333333333337</v>
      </c>
      <c r="AT69" s="224" t="s">
        <v>105</v>
      </c>
      <c r="AU69" s="231">
        <f>AVERAGE(AU66,AU67,AU68)</f>
        <v>699</v>
      </c>
      <c r="AV69" s="228"/>
      <c r="AW69" s="231"/>
      <c r="AX69" s="224" t="s">
        <v>105</v>
      </c>
      <c r="AY69" s="253">
        <f>AVERAGE(AY66,AY67,AY68)</f>
        <v>590.33333333333337</v>
      </c>
      <c r="AZ69" s="224"/>
      <c r="BA69" s="231"/>
      <c r="BB69" s="224" t="s">
        <v>105</v>
      </c>
      <c r="BC69" s="233">
        <f>AVERAGE(BC66,BC67,BC68)</f>
        <v>482</v>
      </c>
      <c r="BD69" s="224" t="s">
        <v>105</v>
      </c>
      <c r="BE69" s="255">
        <f>AVERAGE(BE66,BE67,BE68)</f>
        <v>624.33333333333337</v>
      </c>
      <c r="BF69" s="228"/>
      <c r="BG69" s="231"/>
      <c r="BH69" s="224" t="s">
        <v>105</v>
      </c>
      <c r="BI69" s="228">
        <f>AVERAGE(BI66:BI68)</f>
        <v>805</v>
      </c>
      <c r="BJ69" s="224"/>
      <c r="BK69" s="231"/>
      <c r="BL69" s="224" t="s">
        <v>105</v>
      </c>
      <c r="BM69" s="233">
        <f>AVERAGE(BM66:BM68)</f>
        <v>740</v>
      </c>
      <c r="BN69" s="224" t="s">
        <v>105</v>
      </c>
      <c r="BO69" s="255">
        <f>AVERAGE(BO66,BO67,BO68)</f>
        <v>750</v>
      </c>
      <c r="BP69" s="228"/>
      <c r="BQ69" s="231"/>
      <c r="BR69" s="224" t="s">
        <v>105</v>
      </c>
      <c r="BS69" s="253">
        <f>AVERAGE(BS66:BS68)</f>
        <v>753.33333333333337</v>
      </c>
      <c r="BT69" s="224"/>
      <c r="BU69" s="231"/>
      <c r="BV69" s="224" t="s">
        <v>105</v>
      </c>
      <c r="BW69" s="257">
        <f>AVERAGE(BW66:BW68)</f>
        <v>742.33333333333337</v>
      </c>
      <c r="BX69" s="224" t="s">
        <v>105</v>
      </c>
      <c r="BY69" s="255">
        <f>AVERAGE(BY66,BY67,BY68)</f>
        <v>705.33333333333337</v>
      </c>
      <c r="BZ69" s="224"/>
      <c r="CA69" s="231"/>
      <c r="CB69" s="224" t="s">
        <v>105</v>
      </c>
      <c r="CC69" s="253">
        <f>AVERAGE(CC66:CC67)</f>
        <v>723.5</v>
      </c>
      <c r="CD69" s="224"/>
      <c r="CE69" s="231"/>
      <c r="CF69" s="224" t="s">
        <v>105</v>
      </c>
      <c r="CG69" s="257">
        <f>AVERAGE(CG66:CG68)</f>
        <v>635.66666666666663</v>
      </c>
      <c r="CH69" s="224" t="s">
        <v>105</v>
      </c>
      <c r="CI69" s="255">
        <f>AVERAGE(CI66,CI67,CI68)</f>
        <v>564.33333333333337</v>
      </c>
      <c r="CJ69" s="224"/>
      <c r="CK69" s="231"/>
      <c r="CL69" s="224" t="s">
        <v>105</v>
      </c>
      <c r="CM69" s="253">
        <f>AVERAGE(CM66:CM68)</f>
        <v>734.33333333333337</v>
      </c>
      <c r="CN69" s="224"/>
      <c r="CO69" s="231"/>
      <c r="CP69" s="224" t="s">
        <v>105</v>
      </c>
      <c r="CQ69" s="257">
        <f>AVERAGE(CQ66:CQ68)</f>
        <v>768.33333333333337</v>
      </c>
      <c r="CR69" s="224" t="s">
        <v>105</v>
      </c>
      <c r="CS69" s="255">
        <f>AVERAGE(CS66,CS67)</f>
        <v>807</v>
      </c>
      <c r="CT69" s="224"/>
      <c r="CU69" s="231"/>
      <c r="CV69" s="224" t="s">
        <v>105</v>
      </c>
      <c r="CW69" s="253">
        <f>AVERAGE(CW66:CW68)</f>
        <v>779.66666666666663</v>
      </c>
      <c r="CX69" s="224"/>
      <c r="CY69" s="231"/>
      <c r="CZ69" s="224" t="s">
        <v>105</v>
      </c>
      <c r="DA69" s="257">
        <f>AVERAGE(DA66:DA68)</f>
        <v>720.33333333333337</v>
      </c>
      <c r="DB69" s="228" t="s">
        <v>105</v>
      </c>
      <c r="DC69" s="255">
        <f>AVERAGE(DC66,DC67,DC68)</f>
        <v>904</v>
      </c>
      <c r="DD69" s="224"/>
      <c r="DE69" s="231"/>
      <c r="DF69" s="228" t="s">
        <v>105</v>
      </c>
      <c r="DG69" s="253">
        <f>AVERAGE(DG66,DG67,DG68)</f>
        <v>951.66666666666663</v>
      </c>
      <c r="DH69" s="224"/>
      <c r="DI69" s="231"/>
      <c r="DJ69" s="228" t="s">
        <v>105</v>
      </c>
      <c r="DK69" s="257">
        <f>AVERAGE(DK66,DK67,DK68)</f>
        <v>833</v>
      </c>
      <c r="DL69" s="228" t="s">
        <v>105</v>
      </c>
      <c r="DM69" s="255">
        <f>AVERAGE(DM66,DM67,DM68)</f>
        <v>825.33333333333337</v>
      </c>
      <c r="DN69" s="224"/>
      <c r="DO69" s="231"/>
      <c r="DP69" s="228" t="s">
        <v>105</v>
      </c>
      <c r="DQ69" s="253">
        <f>AVERAGE(DQ66,DQ67,DQ68)</f>
        <v>746.33333333333337</v>
      </c>
      <c r="DR69" s="224"/>
      <c r="DS69" s="231"/>
      <c r="DT69" s="228" t="s">
        <v>105</v>
      </c>
      <c r="DU69" s="257">
        <f>AVERAGE(DU66,DU67,DU68)</f>
        <v>748</v>
      </c>
      <c r="DV69" s="228" t="s">
        <v>105</v>
      </c>
      <c r="DW69" s="255">
        <f>AVERAGE(DW66,DW67,DW68)</f>
        <v>760</v>
      </c>
      <c r="DX69" s="224"/>
      <c r="DY69" s="231"/>
      <c r="DZ69" s="228" t="s">
        <v>105</v>
      </c>
      <c r="EA69" s="253">
        <f>AVERAGE(EA66,EA67,EA68)</f>
        <v>930.5</v>
      </c>
      <c r="EB69" s="224"/>
      <c r="EC69" s="231"/>
      <c r="ED69" s="228" t="s">
        <v>105</v>
      </c>
      <c r="EE69" s="257">
        <f>AVERAGE(EE66,EE67,EE68)</f>
        <v>780</v>
      </c>
      <c r="EF69" s="228" t="s">
        <v>105</v>
      </c>
      <c r="EG69" s="255">
        <f>AVERAGE(EG66,EG67,EG68)</f>
        <v>794.33333333333337</v>
      </c>
      <c r="EH69" s="224"/>
      <c r="EI69" s="231"/>
      <c r="EJ69" s="228" t="s">
        <v>105</v>
      </c>
      <c r="EK69" s="253">
        <f>AVERAGE(EK66,EK67,EK68)</f>
        <v>766</v>
      </c>
      <c r="EL69" s="224"/>
      <c r="EM69" s="231"/>
      <c r="EN69" s="228" t="s">
        <v>105</v>
      </c>
      <c r="EO69" s="257">
        <f>AVERAGE(EO66,EO67,EO68)</f>
        <v>781.33333333333337</v>
      </c>
      <c r="EP69" s="228" t="s">
        <v>105</v>
      </c>
      <c r="EQ69" s="255">
        <f>AVERAGE(EQ66,EQ67,EQ68)</f>
        <v>692.33333333333337</v>
      </c>
      <c r="ER69" s="224"/>
      <c r="ES69" s="231"/>
      <c r="ET69" s="228" t="s">
        <v>105</v>
      </c>
      <c r="EU69" s="253">
        <f>AVERAGE(EU66,EU67,EU68)</f>
        <v>726</v>
      </c>
      <c r="EV69" s="224"/>
      <c r="EW69" s="231"/>
      <c r="EX69" s="228" t="s">
        <v>105</v>
      </c>
      <c r="EY69" s="257">
        <f>AVERAGE(EY66,EY67,EY68)</f>
        <v>973.66666666666663</v>
      </c>
      <c r="EZ69" s="228" t="s">
        <v>105</v>
      </c>
      <c r="FA69" s="255">
        <v>754.66666666666663</v>
      </c>
      <c r="FB69" s="224"/>
      <c r="FC69" s="228"/>
      <c r="FD69" s="224" t="s">
        <v>105</v>
      </c>
      <c r="FE69" s="255">
        <v>868.66666666666663</v>
      </c>
      <c r="FF69" s="228"/>
      <c r="FG69" s="231"/>
      <c r="FH69" s="228" t="s">
        <v>105</v>
      </c>
      <c r="FI69" s="257">
        <v>712.66666666666663</v>
      </c>
      <c r="FJ69" s="228" t="s">
        <v>105</v>
      </c>
      <c r="FK69" s="255">
        <v>605</v>
      </c>
      <c r="FL69" s="224"/>
      <c r="FM69" s="231"/>
      <c r="FN69" s="228" t="s">
        <v>105</v>
      </c>
      <c r="FO69" s="253">
        <v>789</v>
      </c>
      <c r="FP69" s="224"/>
      <c r="FQ69" s="231"/>
      <c r="FR69" s="228" t="s">
        <v>105</v>
      </c>
      <c r="FS69" s="257">
        <f>AVERAGE(FS66,FS67,FS68)</f>
        <v>913.33333333333337</v>
      </c>
      <c r="FT69" s="228" t="s">
        <v>105</v>
      </c>
      <c r="FU69" s="255">
        <f>AVERAGE(FU66,FU67,FU68)</f>
        <v>558.33333333333337</v>
      </c>
      <c r="FV69" s="224"/>
      <c r="FW69" s="231"/>
      <c r="FX69" s="228" t="s">
        <v>105</v>
      </c>
      <c r="FY69" s="253">
        <f>AVERAGE(FY66,FY67,FY68)</f>
        <v>700.66666666666663</v>
      </c>
      <c r="FZ69" s="224"/>
      <c r="GA69" s="231"/>
      <c r="GB69" s="228" t="s">
        <v>105</v>
      </c>
      <c r="GC69" s="257">
        <f>AVERAGE(GC66,GC67,GC68)</f>
        <v>779.33333333333337</v>
      </c>
      <c r="GD69" s="228" t="s">
        <v>105</v>
      </c>
      <c r="GE69" s="255">
        <f>AVERAGE(GE66,GE67,GE68)</f>
        <v>597</v>
      </c>
      <c r="GF69" s="224"/>
      <c r="GG69" s="231"/>
      <c r="GH69" s="228" t="s">
        <v>105</v>
      </c>
      <c r="GI69" s="253">
        <f>AVERAGE(GI66,GI67,GI68)</f>
        <v>692.66666666666663</v>
      </c>
      <c r="GJ69" s="224"/>
      <c r="GK69" s="231"/>
      <c r="GL69" s="228" t="s">
        <v>105</v>
      </c>
      <c r="GM69" s="257">
        <f>AVERAGE(GM66,GM67,GM68)</f>
        <v>632</v>
      </c>
      <c r="GN69" s="228" t="s">
        <v>105</v>
      </c>
      <c r="GO69" s="255">
        <f>AVERAGE(GO66,GO67,GO68)</f>
        <v>625.66666666666663</v>
      </c>
      <c r="GP69" s="224"/>
      <c r="GQ69" s="231"/>
      <c r="GR69" s="228" t="s">
        <v>105</v>
      </c>
      <c r="GS69" s="253">
        <f>AVERAGE(GS66,GS68)</f>
        <v>656</v>
      </c>
      <c r="GT69" s="224"/>
      <c r="GU69" s="231"/>
      <c r="GV69" s="228" t="s">
        <v>105</v>
      </c>
      <c r="GW69" s="257">
        <f>AVERAGE(GW66,GW67,GW68)</f>
        <v>672.33333333333337</v>
      </c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</row>
    <row r="70" spans="1:235" x14ac:dyDescent="0.2">
      <c r="A70" s="2"/>
      <c r="B70" s="3"/>
      <c r="C70" s="23" t="s">
        <v>88</v>
      </c>
      <c r="D70" s="210"/>
      <c r="E70" s="295"/>
      <c r="F70" s="106"/>
      <c r="G70" s="104"/>
      <c r="H70" s="326"/>
      <c r="I70" s="211"/>
      <c r="J70" s="105"/>
      <c r="K70" s="28"/>
      <c r="L70" s="210"/>
      <c r="M70" s="210"/>
      <c r="N70" s="105"/>
      <c r="O70" s="4"/>
      <c r="P70" s="2"/>
      <c r="Q70" s="28"/>
      <c r="R70" s="214"/>
      <c r="S70" s="211"/>
      <c r="T70" s="2"/>
      <c r="U70" s="2"/>
      <c r="V70" s="214"/>
      <c r="W70" s="211"/>
      <c r="X70" s="2"/>
      <c r="Y70" s="4"/>
      <c r="Z70" s="2"/>
      <c r="AA70" s="28"/>
      <c r="AB70" s="214"/>
      <c r="AC70" s="211"/>
      <c r="AD70" s="3"/>
      <c r="AE70" s="28"/>
      <c r="AF70" s="214"/>
      <c r="AG70" s="211"/>
      <c r="AH70" s="3"/>
      <c r="AI70" s="4"/>
      <c r="AJ70" s="2"/>
      <c r="AK70" s="28"/>
      <c r="AL70" s="214"/>
      <c r="AM70" s="211"/>
      <c r="AN70" s="3"/>
      <c r="AO70" s="28"/>
      <c r="AP70" s="214"/>
      <c r="AQ70" s="211"/>
      <c r="AR70" s="3"/>
      <c r="AS70" s="4"/>
      <c r="AT70" s="2"/>
      <c r="AU70" s="28"/>
      <c r="AV70" s="210"/>
      <c r="AW70" s="211"/>
      <c r="AX70" s="3"/>
      <c r="AY70" s="2"/>
      <c r="AZ70" s="214"/>
      <c r="BA70" s="211"/>
      <c r="BB70" s="2"/>
      <c r="BC70" s="4"/>
      <c r="BD70" s="2"/>
      <c r="BE70" s="28"/>
      <c r="BF70" s="210"/>
      <c r="BG70" s="211"/>
      <c r="BH70" s="3"/>
      <c r="BI70" s="2"/>
      <c r="BJ70" s="214"/>
      <c r="BK70" s="211"/>
      <c r="BL70" s="2"/>
      <c r="BM70" s="4"/>
      <c r="BN70" s="2"/>
      <c r="BO70" s="28"/>
      <c r="BP70" s="210"/>
      <c r="BQ70" s="211"/>
      <c r="BR70" s="3"/>
      <c r="BS70" s="2"/>
      <c r="BT70" s="214"/>
      <c r="BU70" s="211"/>
      <c r="BV70" s="2"/>
      <c r="BW70" s="4"/>
      <c r="BX70" s="2"/>
      <c r="BY70" s="28"/>
      <c r="BZ70" s="214"/>
      <c r="CA70" s="211"/>
      <c r="CB70" s="3"/>
      <c r="CC70" s="2"/>
      <c r="CD70" s="277">
        <f>AVERAGE(BX71,CB71)</f>
        <v>74.741501545552381</v>
      </c>
      <c r="CE70" s="211"/>
      <c r="CF70" s="2"/>
      <c r="CG70" s="4"/>
      <c r="CH70" s="2"/>
      <c r="CI70" s="28"/>
      <c r="CJ70" s="214"/>
      <c r="CK70" s="211"/>
      <c r="CL70" s="3"/>
      <c r="CM70" s="2"/>
      <c r="CN70" s="214"/>
      <c r="CO70" s="211"/>
      <c r="CP70" s="2"/>
      <c r="CQ70" s="4"/>
      <c r="CR70" s="2"/>
      <c r="CS70" s="28"/>
      <c r="CT70" s="214"/>
      <c r="CU70" s="211"/>
      <c r="CV70" s="3"/>
      <c r="CW70" s="2"/>
      <c r="CX70" s="214"/>
      <c r="CY70" s="211"/>
      <c r="CZ70" s="2"/>
      <c r="DA70" s="4"/>
      <c r="DB70" s="2"/>
      <c r="DC70" s="28"/>
      <c r="DD70" s="214"/>
      <c r="DE70" s="211"/>
      <c r="DF70" s="2"/>
      <c r="DG70" s="2"/>
      <c r="DH70" s="214"/>
      <c r="DI70" s="211"/>
      <c r="DJ70" s="2"/>
      <c r="DK70" s="4"/>
      <c r="DL70" s="2"/>
      <c r="DM70" s="28"/>
      <c r="DN70" s="214"/>
      <c r="DO70" s="211"/>
      <c r="DP70" s="2"/>
      <c r="DQ70" s="2"/>
      <c r="DR70" s="214"/>
      <c r="DS70" s="211"/>
      <c r="DT70" s="2"/>
      <c r="DU70" s="4"/>
      <c r="DV70" s="2"/>
      <c r="DW70" s="28"/>
      <c r="DX70" s="214"/>
      <c r="DY70" s="211"/>
      <c r="DZ70" s="2"/>
      <c r="EA70" s="2"/>
      <c r="EB70" s="214"/>
      <c r="EC70" s="211"/>
      <c r="ED70" s="2"/>
      <c r="EE70" s="4"/>
      <c r="EF70" s="2"/>
      <c r="EG70" s="28"/>
      <c r="EH70" s="214"/>
      <c r="EI70" s="211"/>
      <c r="EJ70" s="2"/>
      <c r="EK70" s="2"/>
      <c r="EL70" s="214"/>
      <c r="EM70" s="211"/>
      <c r="EN70" s="2"/>
      <c r="EO70" s="4"/>
      <c r="EP70" s="2"/>
      <c r="EQ70" s="28"/>
      <c r="ER70" s="214"/>
      <c r="ES70" s="211"/>
      <c r="ET70" s="2"/>
      <c r="EU70" s="2"/>
      <c r="EV70" s="214"/>
      <c r="EW70" s="211"/>
      <c r="EX70" s="2"/>
      <c r="EY70" s="4"/>
      <c r="EZ70" s="2"/>
      <c r="FA70" s="28"/>
      <c r="FB70" s="214"/>
      <c r="FC70" s="210"/>
      <c r="FD70" s="3"/>
      <c r="FE70" s="28"/>
      <c r="FF70" s="210"/>
      <c r="FG70" s="211"/>
      <c r="FH70" s="2"/>
      <c r="FI70" s="4"/>
      <c r="FJ70" s="2"/>
      <c r="FK70" s="28"/>
      <c r="FL70" s="214"/>
      <c r="FM70" s="211"/>
      <c r="FN70" s="2"/>
      <c r="FO70" s="2"/>
      <c r="FP70" s="214"/>
      <c r="FQ70" s="211"/>
      <c r="FR70" s="2"/>
      <c r="FS70" s="4"/>
      <c r="FT70" s="2"/>
      <c r="FU70" s="28"/>
      <c r="FV70" s="214"/>
      <c r="FW70" s="211"/>
      <c r="FX70" s="2"/>
      <c r="FY70" s="2"/>
      <c r="FZ70" s="214"/>
      <c r="GA70" s="211"/>
      <c r="GB70" s="2"/>
      <c r="GC70" s="4"/>
      <c r="GD70" s="2"/>
      <c r="GE70" s="28"/>
      <c r="GF70" s="214"/>
      <c r="GG70" s="211"/>
      <c r="GH70" s="2"/>
      <c r="GI70" s="2"/>
      <c r="GJ70" s="214"/>
      <c r="GK70" s="211"/>
      <c r="GL70" s="2"/>
      <c r="GM70" s="4"/>
      <c r="GN70" s="2"/>
      <c r="GO70" s="28"/>
      <c r="GP70" s="214"/>
      <c r="GQ70" s="211"/>
      <c r="GR70" s="2"/>
      <c r="GS70" s="2"/>
      <c r="GT70" s="214"/>
      <c r="GU70" s="211"/>
      <c r="GV70" s="2"/>
      <c r="GW70" s="4"/>
    </row>
    <row r="71" spans="1:235" x14ac:dyDescent="0.2">
      <c r="A71" s="2"/>
      <c r="B71" s="3"/>
      <c r="C71" s="318" t="s">
        <v>108</v>
      </c>
      <c r="D71" s="1028"/>
      <c r="E71" s="1029"/>
      <c r="F71" s="1021">
        <f>((F64-G69)/(F64))*100</f>
        <v>52.640186915887853</v>
      </c>
      <c r="G71" s="1022"/>
      <c r="H71" s="229"/>
      <c r="I71" s="225"/>
      <c r="J71" s="1025">
        <f>((J64-K69)/(J64))*100</f>
        <v>72.765363128491629</v>
      </c>
      <c r="K71" s="1022"/>
      <c r="L71" s="223"/>
      <c r="M71" s="223"/>
      <c r="N71" s="1025">
        <f>((N64-O69)/(N64))*100</f>
        <v>76.347724620770123</v>
      </c>
      <c r="O71" s="1026"/>
      <c r="P71" s="1021">
        <f>((P64-Q69)/(P64))*100</f>
        <v>73.337189126662807</v>
      </c>
      <c r="Q71" s="1022"/>
      <c r="R71" s="321"/>
      <c r="S71" s="239"/>
      <c r="T71" s="1025">
        <f>((T64-U69)/(T64))*100</f>
        <v>71.532467532467535</v>
      </c>
      <c r="U71" s="1022"/>
      <c r="V71" s="238"/>
      <c r="W71" s="239"/>
      <c r="X71" s="1025">
        <f>((X64-Y69)/(X64))*100</f>
        <v>67.722095671981776</v>
      </c>
      <c r="Y71" s="1026"/>
      <c r="Z71" s="1027">
        <f>((Z64-AA69)/(Z64))*100</f>
        <v>72.733037412809139</v>
      </c>
      <c r="AA71" s="1022"/>
      <c r="AB71" s="238"/>
      <c r="AC71" s="239"/>
      <c r="AD71" s="1025">
        <f>((AD64-AE69)/(Z64))*100</f>
        <v>69.461001902346226</v>
      </c>
      <c r="AE71" s="1022"/>
      <c r="AF71" s="214"/>
      <c r="AG71" s="211"/>
      <c r="AH71" s="1025">
        <f>((AH64-AI69)/(AD64))*100</f>
        <v>70.983182406209579</v>
      </c>
      <c r="AI71" s="1026"/>
      <c r="AJ71" s="1027">
        <f>((AJ64-AK69)/(AJ64))*100</f>
        <v>80.860103626943015</v>
      </c>
      <c r="AK71" s="1022"/>
      <c r="AL71" s="238"/>
      <c r="AM71" s="239"/>
      <c r="AN71" s="1034">
        <f>((AN64-AO69)/(AJ64))*100</f>
        <v>67.979274611398964</v>
      </c>
      <c r="AO71" s="1035"/>
      <c r="AP71" s="214"/>
      <c r="AQ71" s="211"/>
      <c r="AR71" s="1025">
        <f>((AR64-AS69)/(AR64))*100</f>
        <v>77.791537667698648</v>
      </c>
      <c r="AS71" s="1026"/>
      <c r="AT71" s="1027">
        <f>((AT64-AU69)/(AT64))*100</f>
        <v>78.425925925925924</v>
      </c>
      <c r="AU71" s="1022"/>
      <c r="AV71" s="319"/>
      <c r="AW71" s="320"/>
      <c r="AX71" s="1025">
        <f>((AX64-AY69)/(AX64))*100</f>
        <v>78.362858888210141</v>
      </c>
      <c r="AY71" s="1022"/>
      <c r="AZ71" s="321"/>
      <c r="BA71" s="320"/>
      <c r="BB71" s="1025">
        <f>((BB64-BC69)/(BB64))*100</f>
        <v>80.642570281124492</v>
      </c>
      <c r="BC71" s="1026"/>
      <c r="BD71" s="1042">
        <f>((BD64-BE69)/(BD64))*100</f>
        <v>78.47126436781609</v>
      </c>
      <c r="BE71" s="1043"/>
      <c r="BF71" s="319"/>
      <c r="BG71" s="320"/>
      <c r="BH71" s="1025">
        <f>((BH64-BI69)/(BH64))*100</f>
        <v>75.837918959479751</v>
      </c>
      <c r="BI71" s="1022"/>
      <c r="BJ71" s="321"/>
      <c r="BK71" s="320"/>
      <c r="BL71" s="1025">
        <f>((BL64-BM69)/(BL64))*100</f>
        <v>75.73770491803279</v>
      </c>
      <c r="BM71" s="1026"/>
      <c r="BN71" s="1027">
        <f>((BN64-BO69)/(BN64))*100</f>
        <v>72.32472324723247</v>
      </c>
      <c r="BO71" s="1022"/>
      <c r="BP71" s="319"/>
      <c r="BQ71" s="320"/>
      <c r="BR71" s="1025">
        <f>((BR64-BS69)/(BR64))*100</f>
        <v>80.475161987041034</v>
      </c>
      <c r="BS71" s="1022"/>
      <c r="BT71" s="321"/>
      <c r="BU71" s="320"/>
      <c r="BV71" s="1025">
        <f>((BV64-BW69)/(BV64))*100</f>
        <v>78.860939724727103</v>
      </c>
      <c r="BW71" s="1026"/>
      <c r="BX71" s="1027">
        <f>((BX64-BY69)/(BX64))*100</f>
        <v>74.824509220701955</v>
      </c>
      <c r="BY71" s="1022"/>
      <c r="BZ71" s="321"/>
      <c r="CA71" s="320"/>
      <c r="CB71" s="1025">
        <f>((CB64-CC69)/(CB64))*100</f>
        <v>74.658493870402793</v>
      </c>
      <c r="CC71" s="1022"/>
      <c r="CD71" s="343">
        <f>AVERAGE(BX71,CB71,CF71)</f>
        <v>76.259082825518462</v>
      </c>
      <c r="CE71" s="320"/>
      <c r="CF71" s="1025">
        <f>((CF64-CG69)/(CF64))*100</f>
        <v>79.294245385450608</v>
      </c>
      <c r="CG71" s="1026"/>
      <c r="CH71" s="1027">
        <f>((CH64-CI69)/(CH64))*100</f>
        <v>86.202118989405051</v>
      </c>
      <c r="CI71" s="1022"/>
      <c r="CJ71" s="321"/>
      <c r="CK71" s="320"/>
      <c r="CL71" s="1025">
        <f>((CL64-CM69)/(CL64))*100</f>
        <v>79.945380063723263</v>
      </c>
      <c r="CM71" s="1022"/>
      <c r="CN71" s="321"/>
      <c r="CO71" s="320"/>
      <c r="CP71" s="1025">
        <f>((CP64-CQ69)/(CP64))*100</f>
        <v>80.887230514096188</v>
      </c>
      <c r="CQ71" s="1026"/>
      <c r="CR71" s="1027">
        <f>((CR64-CS69)/(CR64))*100</f>
        <v>76.876790830945566</v>
      </c>
      <c r="CS71" s="1022"/>
      <c r="CT71" s="321"/>
      <c r="CU71" s="320"/>
      <c r="CV71" s="1025">
        <f>((CV64-CW69)/(CV64))*100</f>
        <v>78.099250936329582</v>
      </c>
      <c r="CW71" s="1022"/>
      <c r="CX71" s="321"/>
      <c r="CY71" s="320"/>
      <c r="CZ71" s="1025">
        <f>((CZ64-DA69)/(CZ64))*100</f>
        <v>80.064575645756449</v>
      </c>
      <c r="DA71" s="1026"/>
      <c r="DB71" s="1021">
        <f>((DB64-DC69)/(DB64))*100</f>
        <v>83.808955223880602</v>
      </c>
      <c r="DC71" s="1022"/>
      <c r="DD71" s="321"/>
      <c r="DE71" s="239"/>
      <c r="DF71" s="1025">
        <f>((DF64-DG69)/(DF64))*100</f>
        <v>73.60147942672215</v>
      </c>
      <c r="DG71" s="1022"/>
      <c r="DH71" s="238"/>
      <c r="DI71" s="239"/>
      <c r="DJ71" s="1025">
        <f>((DJ64-DK69)/(DJ64))*100</f>
        <v>78.622754491017972</v>
      </c>
      <c r="DK71" s="1026"/>
      <c r="DL71" s="1021">
        <f>((DL64-DM69)/(DL64))*100</f>
        <v>67.205298013245027</v>
      </c>
      <c r="DM71" s="1022"/>
      <c r="DN71" s="321"/>
      <c r="DO71" s="239"/>
      <c r="DP71" s="1025">
        <f>((DP64-DQ69)/(DP64))*100</f>
        <v>87.124784358826929</v>
      </c>
      <c r="DQ71" s="1022"/>
      <c r="DR71" s="238"/>
      <c r="DS71" s="239"/>
      <c r="DT71" s="1025">
        <f>((DT64-DU69)/(DT64))*100</f>
        <v>78.860103626943001</v>
      </c>
      <c r="DU71" s="1026"/>
      <c r="DV71" s="1021">
        <f>((DV64-DW69)/(DV64))*100</f>
        <v>85.393978219090329</v>
      </c>
      <c r="DW71" s="1022"/>
      <c r="DX71" s="321"/>
      <c r="DY71" s="239"/>
      <c r="DZ71" s="1025">
        <f>((DZ64-EA69)/(DZ64))*100</f>
        <v>81.683070866141733</v>
      </c>
      <c r="EA71" s="1022"/>
      <c r="EB71" s="238"/>
      <c r="EC71" s="239"/>
      <c r="ED71" s="1025">
        <f>((ED64-EE69)/(ED64))*100</f>
        <v>81.05263157894737</v>
      </c>
      <c r="EE71" s="1026"/>
      <c r="EF71" s="1021">
        <f>((EF64-EG69)/(EF64))*100</f>
        <v>81.419103313840154</v>
      </c>
      <c r="EG71" s="1022"/>
      <c r="EH71" s="321"/>
      <c r="EI71" s="239"/>
      <c r="EJ71" s="1025">
        <f>((EJ64-EK69)/(EJ64))*100</f>
        <v>88</v>
      </c>
      <c r="EK71" s="1022"/>
      <c r="EL71" s="238"/>
      <c r="EM71" s="239"/>
      <c r="EN71" s="1025">
        <f>((EN64-EO69)/(EN64))*100</f>
        <v>86.348281887012234</v>
      </c>
      <c r="EO71" s="1026"/>
      <c r="EP71" s="1021">
        <f>((EP64-EQ69)/(EP64))*100</f>
        <v>90.454963235294116</v>
      </c>
      <c r="EQ71" s="1022"/>
      <c r="ER71" s="321"/>
      <c r="ES71" s="239"/>
      <c r="ET71" s="1025">
        <f>((ET64-EU69)/(ET64))*100</f>
        <v>83.265462927391468</v>
      </c>
      <c r="EU71" s="1022"/>
      <c r="EV71" s="238"/>
      <c r="EW71" s="239"/>
      <c r="EX71" s="1025">
        <f>((EX64-EY69)/(EX64))*100</f>
        <v>90.661764705882348</v>
      </c>
      <c r="EY71" s="1026"/>
      <c r="EZ71" s="1021">
        <f>((EZ64-FA69)/(EZ64))*100</f>
        <v>93.554448398576511</v>
      </c>
      <c r="FA71" s="1022"/>
      <c r="FB71" s="321"/>
      <c r="FC71" s="240"/>
      <c r="FD71" s="1025">
        <f>((FD64-FE69)/(FD64))*100</f>
        <v>78.09163514081547</v>
      </c>
      <c r="FE71" s="1022"/>
      <c r="FF71" s="240"/>
      <c r="FG71" s="239"/>
      <c r="FH71" s="1025">
        <f>((FH64-FI69)/(FH64))*100</f>
        <v>86.399491094147578</v>
      </c>
      <c r="FI71" s="1026"/>
      <c r="FJ71" s="1021">
        <f>((FJ64-FK69)/(FJ64))*100</f>
        <v>84.683544303797461</v>
      </c>
      <c r="FK71" s="1022"/>
      <c r="FL71" s="321"/>
      <c r="FM71" s="239"/>
      <c r="FN71" s="1025">
        <f>((FN64-FO69)/(FN64))*100</f>
        <v>83.470670391061446</v>
      </c>
      <c r="FO71" s="1022"/>
      <c r="FP71" s="238"/>
      <c r="FQ71" s="239"/>
      <c r="FR71" s="1025">
        <f>((FR64-FS69)/(FR64))*100</f>
        <v>83.128078817733993</v>
      </c>
      <c r="FS71" s="1026"/>
      <c r="FT71" s="1021">
        <f>((FT64-FU69)/(FT64))*100</f>
        <v>95.353675450762822</v>
      </c>
      <c r="FU71" s="1022"/>
      <c r="FV71" s="321"/>
      <c r="FW71" s="239"/>
      <c r="FX71" s="1025">
        <f>((FX64-FY69)/(FX64))*100</f>
        <v>90.445454545454538</v>
      </c>
      <c r="FY71" s="1022"/>
      <c r="FZ71" s="238"/>
      <c r="GA71" s="239"/>
      <c r="GB71" s="1025">
        <f>((GB64-GC69)/(GB64))*100</f>
        <v>83.775156141568345</v>
      </c>
      <c r="GC71" s="1026"/>
      <c r="GD71" s="1021">
        <f>((GD64-GE69)/(GD64))*100</f>
        <v>95.220176140912727</v>
      </c>
      <c r="GE71" s="1022"/>
      <c r="GF71" s="321"/>
      <c r="GG71" s="239"/>
      <c r="GH71" s="1025">
        <f>((GH64-GI69)/(GH64))*100</f>
        <v>81.914708442123583</v>
      </c>
      <c r="GI71" s="1022"/>
      <c r="GJ71" s="238"/>
      <c r="GK71" s="239"/>
      <c r="GL71" s="1025">
        <f>((GL64-GM69)/(GL64))*100</f>
        <v>82.354583527221962</v>
      </c>
      <c r="GM71" s="1026"/>
      <c r="GN71" s="1021">
        <f>((GN64-GO69)/(GN64))*100</f>
        <v>82.708429295255641</v>
      </c>
      <c r="GO71" s="1022"/>
      <c r="GP71" s="321"/>
      <c r="GQ71" s="239"/>
      <c r="GR71" s="1025">
        <f>((GR64-GS69)/(GR64))*100</f>
        <v>79.224069675376086</v>
      </c>
      <c r="GS71" s="1022"/>
      <c r="GT71" s="238"/>
      <c r="GU71" s="239"/>
      <c r="GV71" s="1025">
        <f>((GV64-GW69)/(GV64))*100</f>
        <v>82.694122694122683</v>
      </c>
      <c r="GW71" s="1026"/>
    </row>
    <row r="72" spans="1:235" ht="17" x14ac:dyDescent="0.25">
      <c r="A72" s="1"/>
      <c r="B72" s="241" t="s">
        <v>109</v>
      </c>
      <c r="C72" s="51">
        <v>1</v>
      </c>
      <c r="D72" s="270"/>
      <c r="E72" s="290"/>
      <c r="F72" s="344">
        <v>47</v>
      </c>
      <c r="G72" s="345">
        <v>227</v>
      </c>
      <c r="H72" s="208"/>
      <c r="I72" s="209"/>
      <c r="J72" s="56">
        <v>76</v>
      </c>
      <c r="K72" s="58">
        <v>230</v>
      </c>
      <c r="L72" s="270"/>
      <c r="M72" s="270"/>
      <c r="N72" s="56">
        <v>79</v>
      </c>
      <c r="O72" s="65">
        <v>151</v>
      </c>
      <c r="P72" s="59">
        <v>108</v>
      </c>
      <c r="Q72" s="58">
        <v>153</v>
      </c>
      <c r="R72" s="214"/>
      <c r="S72" s="211"/>
      <c r="T72" s="2">
        <v>95</v>
      </c>
      <c r="U72" s="2">
        <v>149</v>
      </c>
      <c r="V72" s="214"/>
      <c r="W72" s="211"/>
      <c r="X72" s="2">
        <v>92</v>
      </c>
      <c r="Y72" s="4">
        <v>147</v>
      </c>
      <c r="Z72" s="2">
        <v>116</v>
      </c>
      <c r="AA72" s="28">
        <v>163</v>
      </c>
      <c r="AB72" s="208"/>
      <c r="AC72" s="209"/>
      <c r="AD72" s="36">
        <v>115</v>
      </c>
      <c r="AE72" s="28">
        <v>200</v>
      </c>
      <c r="AF72" s="214"/>
      <c r="AG72" s="211"/>
      <c r="AH72" s="36">
        <v>148</v>
      </c>
      <c r="AI72" s="67">
        <v>203</v>
      </c>
      <c r="AJ72" s="2">
        <v>132</v>
      </c>
      <c r="AK72" s="28">
        <v>165</v>
      </c>
      <c r="AL72" s="208"/>
      <c r="AM72" s="209"/>
      <c r="AN72" s="36">
        <v>157</v>
      </c>
      <c r="AO72" s="33">
        <v>171</v>
      </c>
      <c r="AP72" s="214"/>
      <c r="AQ72" s="211"/>
      <c r="AR72" s="3">
        <v>114</v>
      </c>
      <c r="AS72" s="4">
        <v>152</v>
      </c>
      <c r="AT72" s="217">
        <v>163</v>
      </c>
      <c r="AU72" s="33">
        <v>151</v>
      </c>
      <c r="AV72" s="214"/>
      <c r="AW72" s="211"/>
      <c r="AX72" s="3">
        <v>113</v>
      </c>
      <c r="AY72" s="28">
        <v>137</v>
      </c>
      <c r="AZ72" s="214"/>
      <c r="BA72" s="211"/>
      <c r="BB72" s="36">
        <v>102</v>
      </c>
      <c r="BC72" s="67">
        <v>113</v>
      </c>
      <c r="BD72" s="2">
        <v>110</v>
      </c>
      <c r="BE72" s="28">
        <v>107</v>
      </c>
      <c r="BF72" s="214"/>
      <c r="BG72" s="211"/>
      <c r="BH72" s="36">
        <v>131</v>
      </c>
      <c r="BI72" s="33">
        <v>163</v>
      </c>
      <c r="BJ72" s="214"/>
      <c r="BK72" s="211"/>
      <c r="BL72" s="3">
        <v>138</v>
      </c>
      <c r="BM72" s="4">
        <v>96</v>
      </c>
      <c r="BN72" s="2">
        <v>92</v>
      </c>
      <c r="BO72" s="28">
        <v>110</v>
      </c>
      <c r="BP72" s="214"/>
      <c r="BQ72" s="211"/>
      <c r="BR72" s="36">
        <v>151</v>
      </c>
      <c r="BS72" s="33">
        <v>184</v>
      </c>
      <c r="BT72" s="214"/>
      <c r="BU72" s="211"/>
      <c r="BV72" s="3">
        <v>176</v>
      </c>
      <c r="BW72" s="4">
        <v>213</v>
      </c>
      <c r="BX72" s="2">
        <v>176</v>
      </c>
      <c r="BY72" s="28">
        <v>199</v>
      </c>
      <c r="BZ72" s="214"/>
      <c r="CA72" s="211"/>
      <c r="CB72" s="3">
        <v>157</v>
      </c>
      <c r="CC72" s="33">
        <v>170</v>
      </c>
      <c r="CD72" s="214"/>
      <c r="CE72" s="211"/>
      <c r="CF72" s="36">
        <v>171</v>
      </c>
      <c r="CG72" s="346">
        <v>255</v>
      </c>
      <c r="CH72" s="2">
        <v>239</v>
      </c>
      <c r="CI72" s="28">
        <v>174</v>
      </c>
      <c r="CJ72" s="214"/>
      <c r="CK72" s="211"/>
      <c r="CL72" s="36">
        <v>256</v>
      </c>
      <c r="CM72" s="33">
        <v>203</v>
      </c>
      <c r="CN72" s="214"/>
      <c r="CO72" s="211"/>
      <c r="CP72" s="36">
        <v>204</v>
      </c>
      <c r="CQ72" s="67">
        <v>309</v>
      </c>
      <c r="CR72" s="217">
        <v>166</v>
      </c>
      <c r="CS72" s="33">
        <v>152</v>
      </c>
      <c r="CT72" s="214"/>
      <c r="CU72" s="211"/>
      <c r="CV72" s="36">
        <v>159</v>
      </c>
      <c r="CW72" s="33">
        <v>242</v>
      </c>
      <c r="CX72" s="214"/>
      <c r="CY72" s="211"/>
      <c r="CZ72" s="3">
        <v>164</v>
      </c>
      <c r="DA72" s="4">
        <v>155</v>
      </c>
      <c r="DB72" s="59">
        <v>185</v>
      </c>
      <c r="DC72" s="58">
        <v>121</v>
      </c>
      <c r="DD72" s="214"/>
      <c r="DE72" s="211"/>
      <c r="DF72" s="2">
        <v>285</v>
      </c>
      <c r="DG72" s="217">
        <v>201</v>
      </c>
      <c r="DH72" s="214"/>
      <c r="DI72" s="211"/>
      <c r="DJ72" s="217">
        <v>230</v>
      </c>
      <c r="DK72" s="67">
        <v>206</v>
      </c>
      <c r="DL72" s="54">
        <v>174</v>
      </c>
      <c r="DM72" s="58">
        <v>168</v>
      </c>
      <c r="DN72" s="214"/>
      <c r="DO72" s="211"/>
      <c r="DP72" s="2">
        <v>271</v>
      </c>
      <c r="DQ72" s="217">
        <v>197</v>
      </c>
      <c r="DR72" s="214"/>
      <c r="DS72" s="211"/>
      <c r="DT72" s="2">
        <v>305</v>
      </c>
      <c r="DU72" s="4">
        <v>266</v>
      </c>
      <c r="DV72" s="59">
        <v>221</v>
      </c>
      <c r="DW72" s="66">
        <v>171</v>
      </c>
      <c r="DX72" s="214"/>
      <c r="DY72" s="211"/>
      <c r="DZ72" s="2">
        <v>420</v>
      </c>
      <c r="EA72" s="2">
        <v>185</v>
      </c>
      <c r="EB72" s="214"/>
      <c r="EC72" s="211"/>
      <c r="ED72" s="217">
        <v>198</v>
      </c>
      <c r="EE72" s="67">
        <v>168</v>
      </c>
      <c r="EF72" s="54">
        <v>216</v>
      </c>
      <c r="EG72" s="66">
        <v>151</v>
      </c>
      <c r="EH72" s="214"/>
      <c r="EI72" s="211"/>
      <c r="EJ72" s="217">
        <v>211</v>
      </c>
      <c r="EK72" s="217">
        <v>192</v>
      </c>
      <c r="EL72" s="214"/>
      <c r="EM72" s="211"/>
      <c r="EN72" s="2">
        <v>214</v>
      </c>
      <c r="EO72" s="4">
        <v>174</v>
      </c>
      <c r="EP72" s="54">
        <v>240</v>
      </c>
      <c r="EQ72" s="66">
        <v>223</v>
      </c>
      <c r="ER72" s="214"/>
      <c r="ES72" s="211"/>
      <c r="ET72" s="217">
        <v>215</v>
      </c>
      <c r="EU72" s="2">
        <v>253</v>
      </c>
      <c r="EV72" s="214"/>
      <c r="EW72" s="211"/>
      <c r="EX72" s="217">
        <v>286</v>
      </c>
      <c r="EY72" s="67">
        <v>199</v>
      </c>
      <c r="EZ72" s="54">
        <v>339</v>
      </c>
      <c r="FA72" s="66">
        <v>173</v>
      </c>
      <c r="FB72" s="214"/>
      <c r="FC72" s="210"/>
      <c r="FD72" s="3">
        <v>133</v>
      </c>
      <c r="FE72" s="33">
        <v>103</v>
      </c>
      <c r="FF72" s="210"/>
      <c r="FG72" s="211"/>
      <c r="FH72" s="217">
        <v>138</v>
      </c>
      <c r="FI72" s="4">
        <v>210</v>
      </c>
      <c r="FJ72" s="54">
        <v>191</v>
      </c>
      <c r="FK72" s="58">
        <v>216</v>
      </c>
      <c r="FL72" s="214"/>
      <c r="FM72" s="211"/>
      <c r="FN72" s="2">
        <v>200</v>
      </c>
      <c r="FO72" s="217">
        <v>191</v>
      </c>
      <c r="FP72" s="214"/>
      <c r="FQ72" s="211"/>
      <c r="FR72" s="2">
        <v>208</v>
      </c>
      <c r="FS72" s="67">
        <v>195</v>
      </c>
      <c r="FT72" s="54">
        <v>220</v>
      </c>
      <c r="FU72" s="66">
        <v>182</v>
      </c>
      <c r="FV72" s="214"/>
      <c r="FW72" s="211">
        <v>193</v>
      </c>
      <c r="FX72" s="217">
        <v>177</v>
      </c>
      <c r="FY72" s="217">
        <v>174</v>
      </c>
      <c r="FZ72" s="214"/>
      <c r="GA72" s="211">
        <v>202</v>
      </c>
      <c r="GB72" s="2">
        <v>177</v>
      </c>
      <c r="GC72" s="4">
        <v>187</v>
      </c>
      <c r="GD72" s="59">
        <v>440</v>
      </c>
      <c r="GE72" s="66">
        <v>204</v>
      </c>
      <c r="GF72" s="214"/>
      <c r="GG72" s="211"/>
      <c r="GH72" s="2">
        <v>230</v>
      </c>
      <c r="GI72" s="217">
        <v>159</v>
      </c>
      <c r="GJ72" s="214"/>
      <c r="GK72" s="211"/>
      <c r="GL72" s="217">
        <v>220</v>
      </c>
      <c r="GM72" s="67">
        <v>179</v>
      </c>
      <c r="GN72" s="54">
        <v>266</v>
      </c>
      <c r="GO72" s="58">
        <v>213</v>
      </c>
      <c r="GP72" s="214"/>
      <c r="GQ72" s="211"/>
      <c r="GR72" s="2">
        <v>221</v>
      </c>
      <c r="GS72" s="2">
        <v>176</v>
      </c>
      <c r="GT72" s="214"/>
      <c r="GU72" s="211"/>
      <c r="GV72" s="2">
        <v>210</v>
      </c>
      <c r="GW72" s="4">
        <v>207</v>
      </c>
    </row>
    <row r="73" spans="1:235" x14ac:dyDescent="0.2">
      <c r="A73" s="2"/>
      <c r="B73" s="205"/>
      <c r="C73" s="23">
        <v>2</v>
      </c>
      <c r="D73" s="210"/>
      <c r="E73" s="295"/>
      <c r="F73" s="347">
        <v>96</v>
      </c>
      <c r="G73" s="104">
        <v>240</v>
      </c>
      <c r="H73" s="214"/>
      <c r="I73" s="211"/>
      <c r="J73" s="36">
        <v>142</v>
      </c>
      <c r="K73" s="33">
        <v>182</v>
      </c>
      <c r="L73" s="210"/>
      <c r="M73" s="210"/>
      <c r="N73" s="3">
        <v>76</v>
      </c>
      <c r="O73" s="4">
        <v>147</v>
      </c>
      <c r="P73" s="2">
        <v>107</v>
      </c>
      <c r="Q73" s="28">
        <v>155</v>
      </c>
      <c r="R73" s="214"/>
      <c r="S73" s="211"/>
      <c r="T73" s="2">
        <v>90</v>
      </c>
      <c r="U73" s="2">
        <v>139</v>
      </c>
      <c r="V73" s="214"/>
      <c r="W73" s="211"/>
      <c r="X73" s="2">
        <v>91</v>
      </c>
      <c r="Y73" s="4">
        <v>137</v>
      </c>
      <c r="Z73" s="2">
        <v>123</v>
      </c>
      <c r="AA73" s="28">
        <v>150</v>
      </c>
      <c r="AB73" s="214"/>
      <c r="AC73" s="211"/>
      <c r="AD73" s="3">
        <v>104</v>
      </c>
      <c r="AE73" s="33">
        <v>159</v>
      </c>
      <c r="AF73" s="214"/>
      <c r="AG73" s="211"/>
      <c r="AH73" s="3">
        <v>110</v>
      </c>
      <c r="AI73" s="67">
        <v>202</v>
      </c>
      <c r="AJ73" s="2">
        <v>136</v>
      </c>
      <c r="AK73" s="28">
        <v>180</v>
      </c>
      <c r="AL73" s="214"/>
      <c r="AM73" s="211"/>
      <c r="AN73" s="36">
        <v>123</v>
      </c>
      <c r="AO73" s="33">
        <v>169</v>
      </c>
      <c r="AP73" s="214"/>
      <c r="AQ73" s="211"/>
      <c r="AR73" s="3">
        <v>104</v>
      </c>
      <c r="AS73" s="4">
        <v>137</v>
      </c>
      <c r="AT73" s="2">
        <v>121</v>
      </c>
      <c r="AU73" s="28">
        <v>143</v>
      </c>
      <c r="AV73" s="214"/>
      <c r="AW73" s="211"/>
      <c r="AX73" s="3">
        <v>104</v>
      </c>
      <c r="AY73" s="28">
        <v>135</v>
      </c>
      <c r="AZ73" s="214"/>
      <c r="BA73" s="211"/>
      <c r="BB73" s="36">
        <v>95</v>
      </c>
      <c r="BC73" s="67">
        <v>125</v>
      </c>
      <c r="BD73" s="2">
        <v>122</v>
      </c>
      <c r="BE73" s="28">
        <v>118</v>
      </c>
      <c r="BF73" s="214"/>
      <c r="BG73" s="211"/>
      <c r="BH73" s="3">
        <v>124</v>
      </c>
      <c r="BI73" s="28">
        <v>119</v>
      </c>
      <c r="BJ73" s="214"/>
      <c r="BK73" s="211"/>
      <c r="BL73" s="36">
        <v>109</v>
      </c>
      <c r="BM73" s="67">
        <v>124</v>
      </c>
      <c r="BN73" s="2">
        <v>111</v>
      </c>
      <c r="BO73" s="28">
        <v>113</v>
      </c>
      <c r="BP73" s="214"/>
      <c r="BQ73" s="211"/>
      <c r="BR73" s="3">
        <v>168</v>
      </c>
      <c r="BS73" s="33">
        <v>189</v>
      </c>
      <c r="BT73" s="214"/>
      <c r="BU73" s="211"/>
      <c r="BV73" s="3">
        <v>166</v>
      </c>
      <c r="BW73" s="4">
        <v>205</v>
      </c>
      <c r="BX73" s="2">
        <v>166</v>
      </c>
      <c r="BY73" s="28">
        <v>193</v>
      </c>
      <c r="BZ73" s="214"/>
      <c r="CA73" s="211"/>
      <c r="CB73" s="36">
        <v>175</v>
      </c>
      <c r="CC73" s="28">
        <v>217</v>
      </c>
      <c r="CD73" s="214"/>
      <c r="CE73" s="211"/>
      <c r="CF73" s="3">
        <v>137</v>
      </c>
      <c r="CG73" s="348">
        <v>223</v>
      </c>
      <c r="CH73" s="2">
        <v>235</v>
      </c>
      <c r="CI73" s="28">
        <v>169</v>
      </c>
      <c r="CJ73" s="214"/>
      <c r="CK73" s="211"/>
      <c r="CL73" s="36">
        <v>248</v>
      </c>
      <c r="CM73" s="28">
        <v>186</v>
      </c>
      <c r="CN73" s="214"/>
      <c r="CO73" s="211"/>
      <c r="CP73" s="36">
        <v>197</v>
      </c>
      <c r="CQ73" s="4">
        <v>240</v>
      </c>
      <c r="CR73" s="2">
        <v>137</v>
      </c>
      <c r="CS73" s="28">
        <v>233</v>
      </c>
      <c r="CT73" s="214"/>
      <c r="CU73" s="211"/>
      <c r="CV73" s="3">
        <v>231</v>
      </c>
      <c r="CW73" s="33">
        <v>302</v>
      </c>
      <c r="CX73" s="214"/>
      <c r="CY73" s="211"/>
      <c r="CZ73" s="3">
        <v>168</v>
      </c>
      <c r="DA73" s="4">
        <v>133</v>
      </c>
      <c r="DB73" s="2">
        <v>190</v>
      </c>
      <c r="DC73" s="28">
        <v>113</v>
      </c>
      <c r="DD73" s="214"/>
      <c r="DE73" s="211"/>
      <c r="DF73" s="217">
        <v>189</v>
      </c>
      <c r="DG73" s="2">
        <v>140</v>
      </c>
      <c r="DH73" s="214"/>
      <c r="DI73" s="211"/>
      <c r="DJ73" s="2">
        <v>264</v>
      </c>
      <c r="DK73" s="67">
        <v>210</v>
      </c>
      <c r="DL73" s="217">
        <v>173</v>
      </c>
      <c r="DM73" s="33">
        <v>192</v>
      </c>
      <c r="DN73" s="214"/>
      <c r="DO73" s="211"/>
      <c r="DP73" s="217">
        <v>252</v>
      </c>
      <c r="DQ73" s="217">
        <v>202</v>
      </c>
      <c r="DR73" s="214"/>
      <c r="DS73" s="211"/>
      <c r="DT73" s="217">
        <v>250</v>
      </c>
      <c r="DU73" s="67">
        <v>230</v>
      </c>
      <c r="DV73" s="217">
        <v>251</v>
      </c>
      <c r="DW73" s="28">
        <v>179</v>
      </c>
      <c r="DX73" s="214"/>
      <c r="DY73" s="211"/>
      <c r="DZ73" s="217">
        <v>228</v>
      </c>
      <c r="EA73" s="217">
        <v>211</v>
      </c>
      <c r="EB73" s="214"/>
      <c r="EC73" s="211"/>
      <c r="ED73" s="217">
        <v>196</v>
      </c>
      <c r="EE73" s="67">
        <v>168</v>
      </c>
      <c r="EF73" s="2">
        <v>303</v>
      </c>
      <c r="EG73" s="33">
        <v>159</v>
      </c>
      <c r="EH73" s="214"/>
      <c r="EI73" s="211"/>
      <c r="EJ73" s="217">
        <v>214</v>
      </c>
      <c r="EK73" s="217">
        <v>183</v>
      </c>
      <c r="EL73" s="214"/>
      <c r="EM73" s="211"/>
      <c r="EN73" s="2">
        <v>231</v>
      </c>
      <c r="EO73" s="4">
        <v>184</v>
      </c>
      <c r="EP73" s="217">
        <v>238</v>
      </c>
      <c r="EQ73" s="33">
        <v>200</v>
      </c>
      <c r="ER73" s="214"/>
      <c r="ES73" s="211"/>
      <c r="ET73" s="217">
        <v>213</v>
      </c>
      <c r="EU73" s="217">
        <v>187</v>
      </c>
      <c r="EV73" s="214"/>
      <c r="EW73" s="211"/>
      <c r="EX73" s="2">
        <v>297</v>
      </c>
      <c r="EY73" s="4">
        <v>272</v>
      </c>
      <c r="EZ73" s="2">
        <v>358</v>
      </c>
      <c r="FA73" s="33">
        <v>174</v>
      </c>
      <c r="FB73" s="214"/>
      <c r="FC73" s="210"/>
      <c r="FD73" s="36">
        <v>144</v>
      </c>
      <c r="FE73" s="33">
        <v>102</v>
      </c>
      <c r="FF73" s="210"/>
      <c r="FG73" s="211"/>
      <c r="FH73" s="217">
        <v>131</v>
      </c>
      <c r="FI73" s="67">
        <v>170</v>
      </c>
      <c r="FJ73" s="217">
        <v>178</v>
      </c>
      <c r="FK73" s="33">
        <v>193</v>
      </c>
      <c r="FL73" s="214"/>
      <c r="FM73" s="211"/>
      <c r="FN73" s="217">
        <v>168</v>
      </c>
      <c r="FO73" s="217">
        <v>190</v>
      </c>
      <c r="FP73" s="214"/>
      <c r="FQ73" s="211"/>
      <c r="FR73" s="217">
        <v>188</v>
      </c>
      <c r="FS73" s="67">
        <v>190</v>
      </c>
      <c r="FT73" s="217">
        <v>218</v>
      </c>
      <c r="FU73" s="28">
        <v>198</v>
      </c>
      <c r="FV73" s="214"/>
      <c r="FW73" s="211">
        <v>199</v>
      </c>
      <c r="FX73" s="217">
        <v>170</v>
      </c>
      <c r="FY73" s="2">
        <v>134</v>
      </c>
      <c r="FZ73" s="214"/>
      <c r="GA73" s="211">
        <v>200</v>
      </c>
      <c r="GB73" s="2">
        <v>166</v>
      </c>
      <c r="GC73" s="4">
        <v>187</v>
      </c>
      <c r="GD73" s="217">
        <v>445</v>
      </c>
      <c r="GE73" s="33">
        <v>204</v>
      </c>
      <c r="GF73" s="214"/>
      <c r="GG73" s="211"/>
      <c r="GH73" s="217">
        <v>226</v>
      </c>
      <c r="GI73" s="2">
        <v>190</v>
      </c>
      <c r="GJ73" s="214"/>
      <c r="GK73" s="211"/>
      <c r="GL73" s="217">
        <v>235</v>
      </c>
      <c r="GM73" s="67">
        <v>185</v>
      </c>
      <c r="GN73" s="217">
        <v>267</v>
      </c>
      <c r="GO73" s="33">
        <v>243</v>
      </c>
      <c r="GP73" s="214"/>
      <c r="GQ73" s="211"/>
      <c r="GR73" s="2">
        <v>231</v>
      </c>
      <c r="GS73" s="2">
        <v>177</v>
      </c>
      <c r="GT73" s="214"/>
      <c r="GU73" s="211"/>
      <c r="GV73" s="2">
        <v>201</v>
      </c>
      <c r="GW73" s="4">
        <v>226</v>
      </c>
    </row>
    <row r="74" spans="1:235" x14ac:dyDescent="0.2">
      <c r="A74" s="2"/>
      <c r="B74" s="205"/>
      <c r="C74" s="23">
        <v>3</v>
      </c>
      <c r="D74" s="210"/>
      <c r="E74" s="295"/>
      <c r="F74" s="347">
        <v>111</v>
      </c>
      <c r="G74" s="349">
        <v>225</v>
      </c>
      <c r="H74" s="214"/>
      <c r="I74" s="211"/>
      <c r="J74" s="36">
        <v>110</v>
      </c>
      <c r="K74" s="33">
        <v>192</v>
      </c>
      <c r="L74" s="210"/>
      <c r="M74" s="210"/>
      <c r="N74" s="3">
        <v>81</v>
      </c>
      <c r="O74" s="4">
        <v>151</v>
      </c>
      <c r="P74" s="2">
        <v>122</v>
      </c>
      <c r="Q74" s="28">
        <v>156</v>
      </c>
      <c r="R74" s="214"/>
      <c r="S74" s="211"/>
      <c r="T74" s="2">
        <v>88</v>
      </c>
      <c r="U74" s="2">
        <v>164</v>
      </c>
      <c r="V74" s="214"/>
      <c r="W74" s="211"/>
      <c r="X74" s="2">
        <v>84</v>
      </c>
      <c r="Y74" s="4">
        <v>129</v>
      </c>
      <c r="Z74" s="2">
        <v>125</v>
      </c>
      <c r="AA74" s="28">
        <v>149</v>
      </c>
      <c r="AB74" s="214"/>
      <c r="AC74" s="211"/>
      <c r="AD74" s="36">
        <v>119</v>
      </c>
      <c r="AE74" s="33">
        <v>160</v>
      </c>
      <c r="AF74" s="214"/>
      <c r="AG74" s="211"/>
      <c r="AH74" s="36">
        <v>181</v>
      </c>
      <c r="AI74" s="4">
        <v>227</v>
      </c>
      <c r="AJ74" s="2">
        <v>124</v>
      </c>
      <c r="AK74" s="28">
        <v>175</v>
      </c>
      <c r="AL74" s="214"/>
      <c r="AM74" s="211"/>
      <c r="AN74" s="350">
        <v>235</v>
      </c>
      <c r="AO74" s="28">
        <v>153</v>
      </c>
      <c r="AP74" s="214"/>
      <c r="AQ74" s="211"/>
      <c r="AR74" s="3">
        <v>109</v>
      </c>
      <c r="AS74" s="4">
        <v>144</v>
      </c>
      <c r="AT74" s="217">
        <v>154</v>
      </c>
      <c r="AU74" s="33">
        <v>151</v>
      </c>
      <c r="AV74" s="214"/>
      <c r="AW74" s="211"/>
      <c r="AX74" s="3">
        <v>113</v>
      </c>
      <c r="AY74" s="28">
        <v>142</v>
      </c>
      <c r="AZ74" s="214"/>
      <c r="BA74" s="211"/>
      <c r="BB74" s="3">
        <v>125</v>
      </c>
      <c r="BC74" s="4">
        <v>138</v>
      </c>
      <c r="BD74" s="2">
        <v>111</v>
      </c>
      <c r="BE74" s="28">
        <v>127</v>
      </c>
      <c r="BF74" s="214"/>
      <c r="BG74" s="211"/>
      <c r="BH74" s="36">
        <v>135</v>
      </c>
      <c r="BI74" s="33">
        <v>145</v>
      </c>
      <c r="BJ74" s="214"/>
      <c r="BK74" s="211"/>
      <c r="BL74" s="36">
        <v>121</v>
      </c>
      <c r="BM74" s="67">
        <v>124</v>
      </c>
      <c r="BN74" s="2">
        <v>108</v>
      </c>
      <c r="BO74" s="28">
        <v>110</v>
      </c>
      <c r="BP74" s="214"/>
      <c r="BQ74" s="211"/>
      <c r="BR74" s="36">
        <v>135</v>
      </c>
      <c r="BS74" s="28">
        <v>171</v>
      </c>
      <c r="BT74" s="214"/>
      <c r="BU74" s="211"/>
      <c r="BV74" s="3">
        <v>167</v>
      </c>
      <c r="BW74" s="4">
        <v>220</v>
      </c>
      <c r="BX74" s="2">
        <v>175</v>
      </c>
      <c r="BY74" s="28">
        <v>194</v>
      </c>
      <c r="BZ74" s="214"/>
      <c r="CA74" s="211"/>
      <c r="CB74" s="36">
        <v>191</v>
      </c>
      <c r="CC74" s="33">
        <v>180</v>
      </c>
      <c r="CD74" s="214"/>
      <c r="CE74" s="211"/>
      <c r="CF74" s="36">
        <v>202</v>
      </c>
      <c r="CG74" s="348">
        <v>233</v>
      </c>
      <c r="CH74" s="2">
        <v>247</v>
      </c>
      <c r="CI74" s="28">
        <v>170</v>
      </c>
      <c r="CJ74" s="214"/>
      <c r="CK74" s="211"/>
      <c r="CL74" s="3">
        <v>278</v>
      </c>
      <c r="CM74" s="33">
        <v>206</v>
      </c>
      <c r="CN74" s="214"/>
      <c r="CO74" s="211"/>
      <c r="CP74" s="3">
        <v>172</v>
      </c>
      <c r="CQ74" s="67">
        <v>301</v>
      </c>
      <c r="CR74" s="217">
        <v>164</v>
      </c>
      <c r="CS74" s="33">
        <v>169</v>
      </c>
      <c r="CT74" s="214"/>
      <c r="CU74" s="211"/>
      <c r="CV74" s="36">
        <v>161</v>
      </c>
      <c r="CW74" s="28">
        <v>121</v>
      </c>
      <c r="CX74" s="214"/>
      <c r="CY74" s="211"/>
      <c r="CZ74" s="3">
        <v>174</v>
      </c>
      <c r="DA74" s="4">
        <v>145</v>
      </c>
      <c r="DB74" s="2">
        <v>205</v>
      </c>
      <c r="DC74" s="28">
        <v>131</v>
      </c>
      <c r="DD74" s="214"/>
      <c r="DE74" s="211"/>
      <c r="DF74" s="217">
        <v>203</v>
      </c>
      <c r="DG74" s="217">
        <v>195</v>
      </c>
      <c r="DH74" s="214"/>
      <c r="DI74" s="211"/>
      <c r="DJ74" s="217">
        <v>221</v>
      </c>
      <c r="DK74" s="4">
        <v>231</v>
      </c>
      <c r="DL74" s="217">
        <v>175</v>
      </c>
      <c r="DM74" s="33">
        <v>192</v>
      </c>
      <c r="DN74" s="214"/>
      <c r="DO74" s="211"/>
      <c r="DP74" s="217">
        <v>251</v>
      </c>
      <c r="DQ74" s="2">
        <v>211</v>
      </c>
      <c r="DR74" s="214"/>
      <c r="DS74" s="211"/>
      <c r="DT74" s="217">
        <v>224</v>
      </c>
      <c r="DU74" s="67">
        <v>211</v>
      </c>
      <c r="DV74" s="217">
        <v>249</v>
      </c>
      <c r="DW74" s="33">
        <v>172</v>
      </c>
      <c r="DX74" s="214"/>
      <c r="DY74" s="211"/>
      <c r="DZ74" s="217">
        <v>210</v>
      </c>
      <c r="EA74" s="217">
        <v>206</v>
      </c>
      <c r="EB74" s="214"/>
      <c r="EC74" s="211"/>
      <c r="ED74" s="2">
        <v>165</v>
      </c>
      <c r="EE74" s="67"/>
      <c r="EF74" s="217">
        <v>189</v>
      </c>
      <c r="EG74" s="28">
        <v>172</v>
      </c>
      <c r="EH74" s="214"/>
      <c r="EI74" s="211"/>
      <c r="EJ74" s="2">
        <v>247</v>
      </c>
      <c r="EK74" s="2">
        <v>171</v>
      </c>
      <c r="EL74" s="214"/>
      <c r="EM74" s="211"/>
      <c r="EN74" s="2">
        <v>222</v>
      </c>
      <c r="EO74" s="4">
        <v>170</v>
      </c>
      <c r="EP74" s="2">
        <v>213</v>
      </c>
      <c r="EQ74" s="28">
        <v>170</v>
      </c>
      <c r="ER74" s="214"/>
      <c r="ES74" s="211"/>
      <c r="ET74" s="217">
        <v>218</v>
      </c>
      <c r="EU74" s="217">
        <v>187</v>
      </c>
      <c r="EV74" s="214"/>
      <c r="EW74" s="211"/>
      <c r="EX74" s="217">
        <v>284</v>
      </c>
      <c r="EY74" s="67">
        <v>209</v>
      </c>
      <c r="EZ74" s="217">
        <v>325</v>
      </c>
      <c r="FA74" s="33">
        <v>174</v>
      </c>
      <c r="FB74" s="214"/>
      <c r="FC74" s="210"/>
      <c r="FD74" s="36">
        <v>154</v>
      </c>
      <c r="FE74" s="28">
        <v>149</v>
      </c>
      <c r="FF74" s="210"/>
      <c r="FG74" s="211"/>
      <c r="FH74" s="2">
        <v>155</v>
      </c>
      <c r="FI74" s="67">
        <v>136</v>
      </c>
      <c r="FJ74" s="2">
        <v>255</v>
      </c>
      <c r="FK74" s="33">
        <v>178</v>
      </c>
      <c r="FL74" s="214"/>
      <c r="FM74" s="211"/>
      <c r="FN74" s="217">
        <v>146</v>
      </c>
      <c r="FO74" s="2">
        <v>181</v>
      </c>
      <c r="FP74" s="214"/>
      <c r="FQ74" s="211"/>
      <c r="FR74" s="217">
        <v>194</v>
      </c>
      <c r="FS74" s="4">
        <v>231</v>
      </c>
      <c r="FT74" s="2">
        <v>227</v>
      </c>
      <c r="FU74" s="33">
        <v>169</v>
      </c>
      <c r="FV74" s="214"/>
      <c r="FW74" s="211">
        <v>197</v>
      </c>
      <c r="FX74" s="2">
        <v>161</v>
      </c>
      <c r="FY74" s="217">
        <v>156</v>
      </c>
      <c r="FZ74" s="214"/>
      <c r="GA74" s="211">
        <v>218</v>
      </c>
      <c r="GB74" s="2">
        <v>175</v>
      </c>
      <c r="GC74" s="4">
        <v>192</v>
      </c>
      <c r="GD74" s="217">
        <v>448</v>
      </c>
      <c r="GE74" s="28">
        <v>180</v>
      </c>
      <c r="GF74" s="214"/>
      <c r="GG74" s="211"/>
      <c r="GH74" s="217">
        <v>226</v>
      </c>
      <c r="GI74" s="217">
        <v>157</v>
      </c>
      <c r="GJ74" s="214"/>
      <c r="GK74" s="211"/>
      <c r="GL74" s="2">
        <v>265</v>
      </c>
      <c r="GM74" s="4">
        <v>194</v>
      </c>
      <c r="GN74" s="217">
        <v>263</v>
      </c>
      <c r="GO74" s="33">
        <v>241</v>
      </c>
      <c r="GP74" s="214"/>
      <c r="GQ74" s="211"/>
      <c r="GR74" s="2">
        <v>217</v>
      </c>
      <c r="GS74" s="2">
        <v>195</v>
      </c>
      <c r="GT74" s="214"/>
      <c r="GU74" s="211"/>
      <c r="GV74" s="2">
        <v>189</v>
      </c>
      <c r="GW74" s="4">
        <v>222</v>
      </c>
    </row>
    <row r="75" spans="1:235" s="186" customFormat="1" ht="15" x14ac:dyDescent="0.2">
      <c r="A75" s="2"/>
      <c r="B75" s="78"/>
      <c r="C75" s="220" t="s">
        <v>87</v>
      </c>
      <c r="D75" s="228"/>
      <c r="E75" s="233"/>
      <c r="F75" s="351">
        <f>AVERAGE(F73,F74)</f>
        <v>103.5</v>
      </c>
      <c r="G75" s="351">
        <f>AVERAGE(G72,G74)</f>
        <v>226</v>
      </c>
      <c r="H75" s="224"/>
      <c r="I75" s="231"/>
      <c r="J75" s="250">
        <f>AVERAGE(J73,J74)</f>
        <v>126</v>
      </c>
      <c r="K75" s="249">
        <f>AVERAGE(K73,K74)</f>
        <v>187</v>
      </c>
      <c r="L75" s="228"/>
      <c r="M75" s="228"/>
      <c r="N75" s="248">
        <f>AVERAGE(N72,N73,N74)</f>
        <v>78.666666666666671</v>
      </c>
      <c r="O75" s="257">
        <f>AVERAGE(O72,O73,O74)</f>
        <v>149.66666666666666</v>
      </c>
      <c r="P75" s="253">
        <f>AVERAGE(P72,P73,P74)</f>
        <v>112.33333333333333</v>
      </c>
      <c r="Q75" s="255">
        <f>AVERAGE(Q72,Q73,Q74)</f>
        <v>154.66666666666666</v>
      </c>
      <c r="R75" s="224"/>
      <c r="S75" s="231"/>
      <c r="T75" s="228">
        <f>AVERAGE(T72,T73,T74)</f>
        <v>91</v>
      </c>
      <c r="U75" s="253">
        <f>AVERAGE(U72,U73,U74)</f>
        <v>150.66666666666666</v>
      </c>
      <c r="V75" s="224"/>
      <c r="W75" s="231"/>
      <c r="X75" s="228">
        <f>AVERAGE(X72,X73,X74)</f>
        <v>89</v>
      </c>
      <c r="Y75" s="257">
        <f>AVERAGE(Y72,Y73,Y74)</f>
        <v>137.66666666666666</v>
      </c>
      <c r="Z75" s="253">
        <f>AVERAGE(Z72,Z73,Z74)</f>
        <v>121.33333333333333</v>
      </c>
      <c r="AA75" s="231">
        <f>AVERAGE(AA72,AA73,AA74)</f>
        <v>154</v>
      </c>
      <c r="AB75" s="224"/>
      <c r="AC75" s="231"/>
      <c r="AD75" s="250">
        <f>AVERAGE(AD72,AD74)</f>
        <v>117</v>
      </c>
      <c r="AE75" s="249">
        <f>AVERAGE(AE73,AE74)</f>
        <v>159.5</v>
      </c>
      <c r="AF75" s="224"/>
      <c r="AG75" s="231"/>
      <c r="AH75" s="250">
        <f>AVERAGE(AH72,AH74)</f>
        <v>164.5</v>
      </c>
      <c r="AI75" s="254">
        <f>AVERAGE(AI72,AI73)</f>
        <v>202.5</v>
      </c>
      <c r="AJ75" s="253">
        <f>AVERAGE(AJ72,AJ73,AJ74)</f>
        <v>130.66666666666666</v>
      </c>
      <c r="AK75" s="284">
        <f>AVERAGE(AK72,AK73,AK74)</f>
        <v>173.33333333333334</v>
      </c>
      <c r="AL75" s="224"/>
      <c r="AM75" s="231"/>
      <c r="AN75" s="250">
        <f>AVERAGE(AN72:AN73)</f>
        <v>140</v>
      </c>
      <c r="AO75" s="249">
        <f>AVERAGE(AO72,AO73)</f>
        <v>170</v>
      </c>
      <c r="AP75" s="224"/>
      <c r="AQ75" s="231"/>
      <c r="AR75" s="248">
        <f>AVERAGE(AR72,AR73,AR74)</f>
        <v>109</v>
      </c>
      <c r="AS75" s="257">
        <f>AVERAGE(AS72,AS73,AS74)</f>
        <v>144.33333333333334</v>
      </c>
      <c r="AT75" s="247">
        <f>AVERAGE(AT72,AT74)</f>
        <v>158.5</v>
      </c>
      <c r="AU75" s="249">
        <f>AVERAGE(AU72,AU73,AU74)</f>
        <v>148.33333333333334</v>
      </c>
      <c r="AV75" s="224"/>
      <c r="AW75" s="231"/>
      <c r="AX75" s="248">
        <f>AVERAGE(AX72,AX73)</f>
        <v>108.5</v>
      </c>
      <c r="AY75" s="255">
        <f>AVERAGE(AY72,AY73,AY74)</f>
        <v>138</v>
      </c>
      <c r="AZ75" s="224"/>
      <c r="BA75" s="231"/>
      <c r="BB75" s="250">
        <f>AVERAGE(BB72,BB73)</f>
        <v>98.5</v>
      </c>
      <c r="BC75" s="254">
        <f>AVERAGE(BC72,BC73)</f>
        <v>119</v>
      </c>
      <c r="BD75" s="253">
        <f>AVERAGE(BD72,BD73,BD74)</f>
        <v>114.33333333333333</v>
      </c>
      <c r="BE75" s="255">
        <f>AVERAGE(BE72,BE73,BE74)</f>
        <v>117.33333333333333</v>
      </c>
      <c r="BF75" s="224"/>
      <c r="BG75" s="231"/>
      <c r="BH75" s="250">
        <f>AVERAGE(BH72,BH74)</f>
        <v>133</v>
      </c>
      <c r="BI75" s="249">
        <f>AVERAGE(BI72,BI74)</f>
        <v>154</v>
      </c>
      <c r="BJ75" s="224"/>
      <c r="BK75" s="231"/>
      <c r="BL75" s="250">
        <f>AVERAGE(BL72,BL73,BL74)</f>
        <v>122.66666666666667</v>
      </c>
      <c r="BM75" s="254">
        <f>AVERAGE(BM73,BM74)</f>
        <v>124</v>
      </c>
      <c r="BN75" s="253">
        <f>AVERAGE(BN72,BN73,BN74)</f>
        <v>103.66666666666667</v>
      </c>
      <c r="BO75" s="255">
        <f>AVERAGE(BO72,BO73,BO74)</f>
        <v>111</v>
      </c>
      <c r="BP75" s="224"/>
      <c r="BQ75" s="231"/>
      <c r="BR75" s="250">
        <f>AVERAGE(BR72,BR74)</f>
        <v>143</v>
      </c>
      <c r="BS75" s="249">
        <f>AVERAGE(BS72,BS73)</f>
        <v>186.5</v>
      </c>
      <c r="BT75" s="224"/>
      <c r="BU75" s="231"/>
      <c r="BV75" s="248">
        <f>AVERAGE(BV72,BV73,BV74)</f>
        <v>169.66666666666666</v>
      </c>
      <c r="BW75" s="257">
        <f>AVERAGE(BW72,BW73,BW74)</f>
        <v>212.66666666666666</v>
      </c>
      <c r="BX75" s="253">
        <f>AVERAGE(BX72,BX73,BX74)</f>
        <v>172.33333333333334</v>
      </c>
      <c r="BY75" s="255">
        <f>AVERAGE(BY72,BY73,BY74)</f>
        <v>195.33333333333334</v>
      </c>
      <c r="BZ75" s="224"/>
      <c r="CA75" s="231"/>
      <c r="CB75" s="250">
        <f>AVERAGE(CB73,CB74)</f>
        <v>183</v>
      </c>
      <c r="CC75" s="249">
        <f>AVERAGE(CC72,CC74)</f>
        <v>175</v>
      </c>
      <c r="CD75" s="224"/>
      <c r="CE75" s="231"/>
      <c r="CF75" s="250">
        <f>AVERAGE(CF72,CF74)</f>
        <v>186.5</v>
      </c>
      <c r="CG75" s="254">
        <f>AVERAGE(CG73,CG74)</f>
        <v>228</v>
      </c>
      <c r="CH75" s="253">
        <f>AVERAGE(CH72,CH73,CH74)</f>
        <v>240.33333333333334</v>
      </c>
      <c r="CI75" s="255">
        <f>AVERAGE(CI72,CI73,CI74)</f>
        <v>171</v>
      </c>
      <c r="CJ75" s="224"/>
      <c r="CK75" s="231"/>
      <c r="CL75" s="250">
        <f>AVERAGE(CL72,CL73)</f>
        <v>252</v>
      </c>
      <c r="CM75" s="249">
        <f>AVERAGE(CM72,CM74)</f>
        <v>204.5</v>
      </c>
      <c r="CN75" s="224"/>
      <c r="CO75" s="231"/>
      <c r="CP75" s="250">
        <f>AVERAGE(CP72,CP74)</f>
        <v>188</v>
      </c>
      <c r="CQ75" s="254">
        <f>AVERAGE(CQ72,CQ73,CQ74)</f>
        <v>283.33333333333331</v>
      </c>
      <c r="CR75" s="247">
        <f>AVERAGE(CR72,CR74)</f>
        <v>165</v>
      </c>
      <c r="CS75" s="249">
        <f>AVERAGE(CS72,CS74)</f>
        <v>160.5</v>
      </c>
      <c r="CT75" s="224"/>
      <c r="CU75" s="231"/>
      <c r="CV75" s="250">
        <f>AVERAGE(CV72,CV74)</f>
        <v>160</v>
      </c>
      <c r="CW75" s="249">
        <f>AVERAGE(CW72,CW73)</f>
        <v>272</v>
      </c>
      <c r="CX75" s="224"/>
      <c r="CY75" s="231"/>
      <c r="CZ75" s="248">
        <f>AVERAGE(CZ72,CZ73,CZ74)</f>
        <v>168.66666666666666</v>
      </c>
      <c r="DA75" s="257">
        <f>AVERAGE(DA72,DA73,DA74)</f>
        <v>144.33333333333334</v>
      </c>
      <c r="DB75" s="253">
        <f>AVERAGE(DB72,DB73,DB74)</f>
        <v>193.33333333333334</v>
      </c>
      <c r="DC75" s="255">
        <f>AVERAGE(DC72,DC73,DC74)</f>
        <v>121.66666666666667</v>
      </c>
      <c r="DD75" s="224"/>
      <c r="DE75" s="231"/>
      <c r="DF75" s="247">
        <f>AVERAGE(DF73,DF74)</f>
        <v>196</v>
      </c>
      <c r="DG75" s="247">
        <f>AVERAGE(DG72,DG74)</f>
        <v>198</v>
      </c>
      <c r="DH75" s="224"/>
      <c r="DI75" s="231"/>
      <c r="DJ75" s="247">
        <f>AVERAGE(DJ72,DJ74)</f>
        <v>225.5</v>
      </c>
      <c r="DK75" s="254">
        <f>AVERAGE(DK72,DK73)</f>
        <v>208</v>
      </c>
      <c r="DL75" s="247">
        <f>AVERAGE(DL72,DL73,DL74)</f>
        <v>174</v>
      </c>
      <c r="DM75" s="249">
        <f>AVERAGE(DM73,DM74)</f>
        <v>192</v>
      </c>
      <c r="DN75" s="224"/>
      <c r="DO75" s="231"/>
      <c r="DP75" s="247">
        <f>AVERAGE(DP73,DP74)</f>
        <v>251.5</v>
      </c>
      <c r="DQ75" s="247">
        <f>AVERAGE(DQ72,DQ73)</f>
        <v>199.5</v>
      </c>
      <c r="DR75" s="224"/>
      <c r="DS75" s="231"/>
      <c r="DT75" s="247">
        <f>AVERAGE(DT73,DT74)</f>
        <v>237</v>
      </c>
      <c r="DU75" s="254">
        <f>AVERAGE(DU73,DU74)</f>
        <v>220.5</v>
      </c>
      <c r="DV75" s="247">
        <f>AVERAGE(DV73,DV74)</f>
        <v>250</v>
      </c>
      <c r="DW75" s="249">
        <f>AVERAGE(DW72,DW74)</f>
        <v>171.5</v>
      </c>
      <c r="DX75" s="224"/>
      <c r="DY75" s="231"/>
      <c r="DZ75" s="252">
        <f>AVERAGE(DZ73,DZ74)</f>
        <v>219</v>
      </c>
      <c r="EA75" s="247">
        <f>AVERAGE(EA73,EA74)</f>
        <v>208.5</v>
      </c>
      <c r="EB75" s="224"/>
      <c r="EC75" s="231"/>
      <c r="ED75" s="247">
        <f>AVERAGE(ED72,ED73)</f>
        <v>197</v>
      </c>
      <c r="EE75" s="254">
        <f>AVERAGE(EE72,EE73)</f>
        <v>168</v>
      </c>
      <c r="EF75" s="247">
        <f>AVERAGE(EF72,EF74)</f>
        <v>202.5</v>
      </c>
      <c r="EG75" s="249">
        <f>AVERAGE(EG72,EG73)</f>
        <v>155</v>
      </c>
      <c r="EH75" s="224"/>
      <c r="EI75" s="231"/>
      <c r="EJ75" s="252">
        <f>AVERAGE(EJ72,EJ73)</f>
        <v>212.5</v>
      </c>
      <c r="EK75" s="247">
        <f>AVERAGE(EK72,EK73)</f>
        <v>187.5</v>
      </c>
      <c r="EL75" s="224"/>
      <c r="EM75" s="231"/>
      <c r="EN75" s="253">
        <f>AVERAGE(EN72,EN73,EN74)</f>
        <v>222.33333333333334</v>
      </c>
      <c r="EO75" s="257">
        <f>AVERAGE(EO72,EO73,EO74)</f>
        <v>176</v>
      </c>
      <c r="EP75" s="247">
        <f>AVERAGE(EP72,EP73)</f>
        <v>239</v>
      </c>
      <c r="EQ75" s="249">
        <f>AVERAGE(EQ72,EQ73)</f>
        <v>211.5</v>
      </c>
      <c r="ER75" s="224"/>
      <c r="ES75" s="231"/>
      <c r="ET75" s="247">
        <f>AVERAGE(ET72,ET73,ET74)</f>
        <v>215.33333333333334</v>
      </c>
      <c r="EU75" s="247">
        <f>AVERAGE(EU73,EU74)</f>
        <v>187</v>
      </c>
      <c r="EV75" s="224"/>
      <c r="EW75" s="231"/>
      <c r="EX75" s="247">
        <f>AVERAGE(EX72,EX74)</f>
        <v>285</v>
      </c>
      <c r="EY75" s="254">
        <f>AVERAGE(EY72,EY74)</f>
        <v>204</v>
      </c>
      <c r="EZ75" s="247">
        <f>AVERAGE(EZ72,EZ74)</f>
        <v>332</v>
      </c>
      <c r="FA75" s="249">
        <f>AVERAGE(FA72,FA73,FA74)</f>
        <v>173.66666666666666</v>
      </c>
      <c r="FB75" s="224"/>
      <c r="FC75" s="228"/>
      <c r="FD75" s="250">
        <f>AVERAGE(FD73,FD74)</f>
        <v>149</v>
      </c>
      <c r="FE75" s="249">
        <f>AVERAGE(FE72,FE73)</f>
        <v>102.5</v>
      </c>
      <c r="FF75" s="228"/>
      <c r="FG75" s="231"/>
      <c r="FH75" s="247">
        <f>AVERAGE(FH72,FH73)</f>
        <v>134.5</v>
      </c>
      <c r="FI75" s="254">
        <f>AVERAGE(FI73,FI74)</f>
        <v>153</v>
      </c>
      <c r="FJ75" s="247">
        <f>AVERAGE(FJ72,FJ73)</f>
        <v>184.5</v>
      </c>
      <c r="FK75" s="249">
        <f>AVERAGE(FK73,FK74)</f>
        <v>185.5</v>
      </c>
      <c r="FL75" s="224"/>
      <c r="FM75" s="231"/>
      <c r="FN75" s="247">
        <f>AVERAGE(FN73,FN74)</f>
        <v>157</v>
      </c>
      <c r="FO75" s="247">
        <f>AVERAGE(FO72,FO73)</f>
        <v>190.5</v>
      </c>
      <c r="FP75" s="224"/>
      <c r="FQ75" s="231"/>
      <c r="FR75" s="247">
        <f>AVERAGE(FR73,FR74)</f>
        <v>191</v>
      </c>
      <c r="FS75" s="254">
        <f>AVERAGE(FS72,FS73)</f>
        <v>192.5</v>
      </c>
      <c r="FT75" s="247">
        <f>AVERAGE(FT72,FT73)</f>
        <v>219</v>
      </c>
      <c r="FU75" s="249">
        <f>AVERAGE(FU72,FU74)</f>
        <v>175.5</v>
      </c>
      <c r="FV75" s="224"/>
      <c r="FW75" s="231"/>
      <c r="FX75" s="247">
        <f>AVERAGE(FX72,FX73)</f>
        <v>173.5</v>
      </c>
      <c r="FY75" s="247">
        <f>AVERAGE(FY72,FY74)</f>
        <v>165</v>
      </c>
      <c r="FZ75" s="224"/>
      <c r="GA75" s="231"/>
      <c r="GB75" s="253">
        <f>AVERAGE(GB72,GB73,GB74)</f>
        <v>172.66666666666666</v>
      </c>
      <c r="GC75" s="257">
        <f>AVERAGE(GC72,GC73,GC74)</f>
        <v>188.66666666666666</v>
      </c>
      <c r="GD75" s="247">
        <f>AVERAGE(GD73,GD72)</f>
        <v>442.5</v>
      </c>
      <c r="GE75" s="249">
        <f>AVERAGE(GE72,GE73)</f>
        <v>204</v>
      </c>
      <c r="GF75" s="224"/>
      <c r="GG75" s="231"/>
      <c r="GH75" s="247">
        <f>AVERAGE(GH73,GH74)</f>
        <v>226</v>
      </c>
      <c r="GI75" s="247">
        <f>AVERAGE(GI72,GI74)</f>
        <v>158</v>
      </c>
      <c r="GJ75" s="224"/>
      <c r="GK75" s="231"/>
      <c r="GL75" s="247">
        <f>AVERAGE(GL72,GL73)</f>
        <v>227.5</v>
      </c>
      <c r="GM75" s="254">
        <f>AVERAGE(GM72,GM73)</f>
        <v>182</v>
      </c>
      <c r="GN75" s="247">
        <f>AVERAGE(GN72,GN73,GN74)</f>
        <v>265.33333333333331</v>
      </c>
      <c r="GO75" s="249">
        <f>AVERAGE(GO73,GO74)</f>
        <v>242</v>
      </c>
      <c r="GP75" s="224"/>
      <c r="GQ75" s="231"/>
      <c r="GR75" s="253">
        <f>AVERAGE(GR72,GR73,GR74)</f>
        <v>223</v>
      </c>
      <c r="GS75" s="253">
        <f>AVERAGE(GS72,GS73,GS74)</f>
        <v>182.66666666666666</v>
      </c>
      <c r="GT75" s="224"/>
      <c r="GU75" s="231"/>
      <c r="GV75" s="253">
        <f>AVERAGE(GV72,GV73)</f>
        <v>205.5</v>
      </c>
      <c r="GW75" s="257">
        <f>AVERAGE(GW73,GW74)</f>
        <v>224</v>
      </c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</row>
    <row r="76" spans="1:235" x14ac:dyDescent="0.2">
      <c r="A76" s="2"/>
      <c r="B76" s="3"/>
      <c r="C76" s="23" t="s">
        <v>88</v>
      </c>
      <c r="D76" s="210"/>
      <c r="E76" s="295"/>
      <c r="F76" s="106">
        <f>STDEV(F73:F74)</f>
        <v>10.606601717798213</v>
      </c>
      <c r="G76" s="106">
        <f>STDEV(G72,G74)</f>
        <v>1.4142135623730951</v>
      </c>
      <c r="H76" s="214"/>
      <c r="I76" s="211"/>
      <c r="J76" s="82">
        <f>STDEV(J73:J74)</f>
        <v>22.627416997969522</v>
      </c>
      <c r="K76" s="74">
        <f>STDEV(K73:K74)</f>
        <v>7.0710678118654755</v>
      </c>
      <c r="L76" s="210"/>
      <c r="M76" s="210"/>
      <c r="N76" s="82">
        <f>STDEV(N72:N74)</f>
        <v>2.5166114784235836</v>
      </c>
      <c r="O76" s="83">
        <f>STDEV(O72:O74)</f>
        <v>2.3094010767585034</v>
      </c>
      <c r="P76" s="62">
        <f>STDEV(P72:P74)</f>
        <v>8.3864970836060841</v>
      </c>
      <c r="Q76" s="74">
        <f>STDEV(Q72:Q74)</f>
        <v>1.5275252316519465</v>
      </c>
      <c r="R76" s="238"/>
      <c r="S76" s="239"/>
      <c r="T76" s="71">
        <f>STDEV(T72:T74)</f>
        <v>3.6055512754639891</v>
      </c>
      <c r="U76" s="71">
        <f>STDEV(U72:U74)</f>
        <v>12.583057392117915</v>
      </c>
      <c r="V76" s="261"/>
      <c r="W76" s="262"/>
      <c r="X76" s="71">
        <f>STDEV(X72:X74)</f>
        <v>4.358898943540674</v>
      </c>
      <c r="Y76" s="107">
        <f>STDEV(Y72:Y74)</f>
        <v>9.0184995056457886</v>
      </c>
      <c r="Z76" s="352">
        <f>STDEV(Z72:Z74)</f>
        <v>4.7258156262526079</v>
      </c>
      <c r="AA76" s="109">
        <f>STDEV(AA72:AA74)</f>
        <v>7.810249675906654</v>
      </c>
      <c r="AB76" s="353"/>
      <c r="AC76" s="354"/>
      <c r="AD76" s="333">
        <f>STDEV(AD72,AD74)</f>
        <v>2.8284271247461903</v>
      </c>
      <c r="AE76" s="76">
        <f>STDEV(AE73:AE74)</f>
        <v>0.70710678118654757</v>
      </c>
      <c r="AF76" s="353"/>
      <c r="AG76" s="354"/>
      <c r="AH76" s="333">
        <f>STDEV(AH72,AH74)</f>
        <v>23.334523779156068</v>
      </c>
      <c r="AI76" s="103">
        <f>STDEV(AI72:AI73)</f>
        <v>0.70710678118654757</v>
      </c>
      <c r="AJ76" s="352">
        <f>STDEV(AJ72:AJ74)</f>
        <v>6.1101009266077861</v>
      </c>
      <c r="AK76" s="109">
        <f>STDEV(AK72:AK74)</f>
        <v>7.6376261582597333</v>
      </c>
      <c r="AL76" s="238"/>
      <c r="AM76" s="239"/>
      <c r="AN76" s="112">
        <f>STDEV(AN72:AN73)</f>
        <v>24.041630560342615</v>
      </c>
      <c r="AO76" s="109">
        <f>STDEV(AO72:AO73)</f>
        <v>1.4142135623730951</v>
      </c>
      <c r="AP76" s="355"/>
      <c r="AQ76" s="356"/>
      <c r="AR76" s="112">
        <f>STDEV(AR72:AR74)</f>
        <v>5</v>
      </c>
      <c r="AS76" s="107">
        <f>STDEV(AS72:AS74)</f>
        <v>7.5055534994651349</v>
      </c>
      <c r="AT76" s="71">
        <f>STDEV(AT72,AT74)</f>
        <v>6.3639610306789276</v>
      </c>
      <c r="AU76" s="109">
        <f>STDEV(AU72,AU74)</f>
        <v>0</v>
      </c>
      <c r="AV76" s="355"/>
      <c r="AW76" s="356"/>
      <c r="AX76" s="112">
        <f>STDEV(AX72:AX74)</f>
        <v>5.196152422706632</v>
      </c>
      <c r="AY76" s="71">
        <f>STDEV(AY72:AY74)</f>
        <v>3.6055512754639891</v>
      </c>
      <c r="AZ76" s="355"/>
      <c r="BA76" s="356"/>
      <c r="BB76" s="71">
        <f>STDEV(BB72:BB73)</f>
        <v>4.9497474683058327</v>
      </c>
      <c r="BC76" s="107">
        <f>STDEV(BC72:BC73)</f>
        <v>8.4852813742385695</v>
      </c>
      <c r="BD76" s="71">
        <f>STDEV(BD72:BD74)</f>
        <v>6.6583281184793925</v>
      </c>
      <c r="BE76" s="109">
        <f>STDEV(BE72:BE74)</f>
        <v>10.016652800877813</v>
      </c>
      <c r="BF76" s="355"/>
      <c r="BG76" s="356"/>
      <c r="BH76" s="112">
        <f>STDEV(BH72,BH74)</f>
        <v>2.8284271247461903</v>
      </c>
      <c r="BI76" s="71">
        <f>STDEV(BI72,BI74)</f>
        <v>12.727922061357855</v>
      </c>
      <c r="BJ76" s="355"/>
      <c r="BK76" s="356"/>
      <c r="BL76" s="71">
        <f>STDEV(BL73:BL74)</f>
        <v>8.4852813742385695</v>
      </c>
      <c r="BM76" s="107">
        <f>STDEV(BM73:BM74)</f>
        <v>0</v>
      </c>
      <c r="BN76" s="71">
        <f>STDEV(BN72:BN74)</f>
        <v>10.214368964029708</v>
      </c>
      <c r="BO76" s="109">
        <f>STDEV(BO72:BO74)</f>
        <v>1.7320508075688772</v>
      </c>
      <c r="BP76" s="355"/>
      <c r="BQ76" s="356"/>
      <c r="BR76" s="112">
        <f>STDEV(BR72,BR74)</f>
        <v>11.313708498984761</v>
      </c>
      <c r="BS76" s="71">
        <f>STDEV(BS72:BS73)</f>
        <v>3.5355339059327378</v>
      </c>
      <c r="BT76" s="355"/>
      <c r="BU76" s="356"/>
      <c r="BV76" s="71">
        <f>STDEV(BV72:BV74)</f>
        <v>5.5075705472861012</v>
      </c>
      <c r="BW76" s="107">
        <f>STDEV(BW72:BW74)</f>
        <v>7.5055534994651349</v>
      </c>
      <c r="BX76" s="71">
        <f>STDEV(BX72:BX74)</f>
        <v>5.5075705472861012</v>
      </c>
      <c r="BY76" s="109">
        <f>STDEV(BY72:BY74)</f>
        <v>3.2145502536643185</v>
      </c>
      <c r="BZ76" s="326"/>
      <c r="CA76" s="327"/>
      <c r="CB76" s="112">
        <f>STDEV(CB73:CB74)</f>
        <v>11.313708498984761</v>
      </c>
      <c r="CC76" s="71">
        <f>STDEV(CC72,CC74)</f>
        <v>7.0710678118654755</v>
      </c>
      <c r="CD76" s="355"/>
      <c r="CE76" s="356"/>
      <c r="CF76" s="71">
        <f>STDEV(CF72,CF74)</f>
        <v>21.920310216782973</v>
      </c>
      <c r="CG76" s="107">
        <f>STDEV(CG73:CG74)</f>
        <v>7.0710678118654755</v>
      </c>
      <c r="CH76" s="71">
        <f>STDEV(CH72:CH74)</f>
        <v>6.1101009266077861</v>
      </c>
      <c r="CI76" s="109">
        <f>STDEV(CI72:CI74)</f>
        <v>2.6457513110645907</v>
      </c>
      <c r="CJ76" s="238"/>
      <c r="CK76" s="239"/>
      <c r="CL76" s="112">
        <f>STDEV(CL72:CL73)</f>
        <v>5.6568542494923806</v>
      </c>
      <c r="CM76" s="71">
        <f>STDEV(CM72,CM74)</f>
        <v>2.1213203435596424</v>
      </c>
      <c r="CN76" s="355"/>
      <c r="CO76" s="356"/>
      <c r="CP76" s="71">
        <f>STDEV(CP73,CP72)</f>
        <v>4.9497474683058327</v>
      </c>
      <c r="CQ76" s="107">
        <f>STDEV(CQ72,CQ74)</f>
        <v>5.6568542494923806</v>
      </c>
      <c r="CR76" s="71">
        <f>STDEV(CR72,CR74)</f>
        <v>1.4142135623730951</v>
      </c>
      <c r="CS76" s="109">
        <f>STDEV(CS72,CS74)</f>
        <v>12.020815280171307</v>
      </c>
      <c r="CT76" s="355"/>
      <c r="CU76" s="356"/>
      <c r="CV76" s="112">
        <f>STDEV(CV72,CV74)</f>
        <v>1.4142135623730951</v>
      </c>
      <c r="CW76" s="71">
        <f>STDEV(CW72,CW73)</f>
        <v>42.426406871192853</v>
      </c>
      <c r="CX76" s="355"/>
      <c r="CY76" s="356"/>
      <c r="CZ76" s="71">
        <f>STDEV(CZ72:CZ74)</f>
        <v>5.0332229568471671</v>
      </c>
      <c r="DA76" s="107">
        <f>STDEV(DA72:DA74)</f>
        <v>11.015141094572204</v>
      </c>
      <c r="DB76" s="62">
        <f>STDEV(DB72:DB74)</f>
        <v>10.408329997330663</v>
      </c>
      <c r="DC76" s="74">
        <f>STDEV(DC72:DC74)</f>
        <v>9.0184995056457886</v>
      </c>
      <c r="DD76" s="238"/>
      <c r="DE76" s="239"/>
      <c r="DF76" s="71">
        <f>STDEV(DF73:DF74)</f>
        <v>9.8994949366116654</v>
      </c>
      <c r="DG76" s="71">
        <f>STDEV(DG72,DG74)</f>
        <v>4.2426406871192848</v>
      </c>
      <c r="DH76" s="238"/>
      <c r="DI76" s="239"/>
      <c r="DJ76" s="71">
        <f>STDEV(DJ72,DJ74)</f>
        <v>6.3639610306789276</v>
      </c>
      <c r="DK76" s="107">
        <f>STDEV(DK72:DK73)</f>
        <v>2.8284271247461903</v>
      </c>
      <c r="DL76" s="62">
        <f>STDEV(DL72:DL74)</f>
        <v>1</v>
      </c>
      <c r="DM76" s="74">
        <f>STDEV(DM73:DM74)</f>
        <v>0</v>
      </c>
      <c r="DN76" s="238"/>
      <c r="DO76" s="239"/>
      <c r="DP76" s="71">
        <f>STDEV(DP73:DP74)</f>
        <v>0.70710678118654757</v>
      </c>
      <c r="DQ76" s="71">
        <f>STDEV(DQ72:DQ73)</f>
        <v>3.5355339059327378</v>
      </c>
      <c r="DR76" s="238"/>
      <c r="DS76" s="239"/>
      <c r="DT76" s="71">
        <f>STDEV(DT73:DT74)</f>
        <v>18.384776310850235</v>
      </c>
      <c r="DU76" s="107">
        <f>STDEV(DU73:DU74)</f>
        <v>13.435028842544403</v>
      </c>
      <c r="DV76" s="62">
        <f>STDEV(DV73:DV74)</f>
        <v>1.4142135623730951</v>
      </c>
      <c r="DW76" s="74">
        <f>STDEV(DW72,DW74)</f>
        <v>0.70710678118654757</v>
      </c>
      <c r="DX76" s="238"/>
      <c r="DY76" s="239"/>
      <c r="DZ76" s="71">
        <f>STDEV(DZ73:DZ74)</f>
        <v>12.727922061357855</v>
      </c>
      <c r="EA76" s="71">
        <f>STDEV(EA73:EA74)</f>
        <v>3.5355339059327378</v>
      </c>
      <c r="EB76" s="238"/>
      <c r="EC76" s="239"/>
      <c r="ED76" s="71">
        <f>STDEV(ED72:ED73)</f>
        <v>1.4142135623730951</v>
      </c>
      <c r="EE76" s="107">
        <f>STDEV(EE72:EE73)</f>
        <v>0</v>
      </c>
      <c r="EF76" s="62">
        <f>STDEV(EF72,EF74)</f>
        <v>19.091883092036785</v>
      </c>
      <c r="EG76" s="74">
        <f>STDEV(EG72:EG73)</f>
        <v>5.6568542494923806</v>
      </c>
      <c r="EH76" s="238"/>
      <c r="EI76" s="239"/>
      <c r="EJ76" s="71">
        <f>STDEV(EJ72:EJ73)</f>
        <v>2.1213203435596424</v>
      </c>
      <c r="EK76" s="71">
        <f>STDEV(EK72:EK73)</f>
        <v>6.3639610306789276</v>
      </c>
      <c r="EL76" s="238"/>
      <c r="EM76" s="239"/>
      <c r="EN76" s="71">
        <f>STDEV(EN72:EN74)</f>
        <v>8.5049005481153817</v>
      </c>
      <c r="EO76" s="107">
        <f>STDEV(EO72:EO74)</f>
        <v>7.2111025509279782</v>
      </c>
      <c r="EP76" s="62">
        <f>STDEV(EP72:EP73)</f>
        <v>1.4142135623730951</v>
      </c>
      <c r="EQ76" s="74">
        <f>STDEV(EQ72:EQ73)</f>
        <v>16.263455967290593</v>
      </c>
      <c r="ER76" s="238"/>
      <c r="ES76" s="239"/>
      <c r="ET76" s="71">
        <f>STDEV(ET72:ET74)</f>
        <v>2.5166114784235836</v>
      </c>
      <c r="EU76" s="71">
        <f>STDEV(EU73:EU74)</f>
        <v>0</v>
      </c>
      <c r="EV76" s="238"/>
      <c r="EW76" s="239"/>
      <c r="EX76" s="71">
        <f>STDEV(EX72,EX74)</f>
        <v>1.4142135623730951</v>
      </c>
      <c r="EY76" s="107">
        <f>STDEV(EY72,EY74)</f>
        <v>7.0710678118654755</v>
      </c>
      <c r="EZ76" s="62">
        <f>STDEV(EZ72,EZ74)</f>
        <v>9.8994949366116654</v>
      </c>
      <c r="FA76" s="74">
        <f>STDEV(FA72,FA74)</f>
        <v>0.70710678118654757</v>
      </c>
      <c r="FB76" s="238"/>
      <c r="FC76" s="240"/>
      <c r="FD76" s="112">
        <f>STDEV(FD73:FD74)</f>
        <v>7.0710678118654755</v>
      </c>
      <c r="FE76" s="109">
        <f>STDEV(FE72,FE73)</f>
        <v>0.70710678118654757</v>
      </c>
      <c r="FF76" s="240"/>
      <c r="FG76" s="239"/>
      <c r="FH76" s="71">
        <f>STDEV(FH72:FH73)</f>
        <v>4.9497474683058327</v>
      </c>
      <c r="FI76" s="107">
        <f>STDEV(FI73:FI74)</f>
        <v>24.041630560342615</v>
      </c>
      <c r="FJ76" s="62">
        <f>STDEV(FJ72:FJ73)</f>
        <v>9.1923881554251174</v>
      </c>
      <c r="FK76" s="74">
        <f>STDEV(FK73:FK74)</f>
        <v>10.606601717798213</v>
      </c>
      <c r="FL76" s="238"/>
      <c r="FM76" s="239"/>
      <c r="FN76" s="71">
        <f>STDEV(FN73:FN74)</f>
        <v>15.556349186104045</v>
      </c>
      <c r="FO76" s="71">
        <f>STDEV(FO72:FO73)</f>
        <v>0.70710678118654757</v>
      </c>
      <c r="FP76" s="238"/>
      <c r="FQ76" s="239"/>
      <c r="FR76" s="71">
        <f>STDEV(FR73:FR74)</f>
        <v>4.2426406871192848</v>
      </c>
      <c r="FS76" s="107">
        <f>STDEV(FS72:FS73)</f>
        <v>3.5355339059327378</v>
      </c>
      <c r="FT76" s="62">
        <f>STDEV(FT72:FT73)</f>
        <v>1.4142135623730951</v>
      </c>
      <c r="FU76" s="74">
        <f>STDEV(FU72,FU74)</f>
        <v>9.1923881554251174</v>
      </c>
      <c r="FV76" s="238"/>
      <c r="FW76" s="239"/>
      <c r="FX76" s="71">
        <f>STDEV(FX72:FX73)</f>
        <v>4.9497474683058327</v>
      </c>
      <c r="FY76" s="71">
        <f>STDEV(FY72,FY74)</f>
        <v>12.727922061357855</v>
      </c>
      <c r="FZ76" s="238"/>
      <c r="GA76" s="239"/>
      <c r="GB76" s="71">
        <f>STDEV(GB72:GB74)</f>
        <v>5.8594652770823146</v>
      </c>
      <c r="GC76" s="107">
        <f>STDEV(GC72:GC74)</f>
        <v>2.8867513459481291</v>
      </c>
      <c r="GD76" s="62">
        <f>STDEV(GD73:GD74)</f>
        <v>2.1213203435596424</v>
      </c>
      <c r="GE76" s="74">
        <f>STDEV(GE72:GE73)</f>
        <v>0</v>
      </c>
      <c r="GF76" s="238"/>
      <c r="GG76" s="239"/>
      <c r="GH76" s="71">
        <f>STDEV(GH73:GH74)</f>
        <v>0</v>
      </c>
      <c r="GI76" s="71">
        <f>STDEV(GI72,GI74)</f>
        <v>1.4142135623730951</v>
      </c>
      <c r="GJ76" s="238"/>
      <c r="GK76" s="239"/>
      <c r="GL76" s="71">
        <f>STDEV(GL72:GL73)</f>
        <v>10.606601717798213</v>
      </c>
      <c r="GM76" s="107">
        <f>STDEV(GM72:GM73)</f>
        <v>4.2426406871192848</v>
      </c>
      <c r="GN76" s="62">
        <f>STDEV(GN72:GN74)</f>
        <v>2.0816659994661326</v>
      </c>
      <c r="GO76" s="74">
        <f>STDEV(GO73:GO74)</f>
        <v>1.4142135623730951</v>
      </c>
      <c r="GP76" s="238"/>
      <c r="GQ76" s="239"/>
      <c r="GR76" s="71">
        <f>STDEV(GR72:GR74)</f>
        <v>7.2111025509279782</v>
      </c>
      <c r="GS76" s="71">
        <f>STDEV(GS72:GS74)</f>
        <v>10.692676621563626</v>
      </c>
      <c r="GT76" s="238"/>
      <c r="GU76" s="239"/>
      <c r="GV76" s="71">
        <f>STDEV(GV72:GV74)</f>
        <v>10.535653752852738</v>
      </c>
      <c r="GW76" s="107">
        <f>STDEV(GW72:GW74)</f>
        <v>10.016652800877813</v>
      </c>
    </row>
    <row r="77" spans="1:235" x14ac:dyDescent="0.2">
      <c r="A77" s="1"/>
      <c r="B77" s="241" t="s">
        <v>110</v>
      </c>
      <c r="C77" s="51">
        <v>1</v>
      </c>
      <c r="D77" s="270"/>
      <c r="E77" s="290"/>
      <c r="F77" s="113">
        <v>0.1</v>
      </c>
      <c r="G77" s="114">
        <v>1.7</v>
      </c>
      <c r="H77" s="208"/>
      <c r="I77" s="209"/>
      <c r="J77" s="56">
        <v>0.2</v>
      </c>
      <c r="K77" s="58">
        <v>1.1000000000000001</v>
      </c>
      <c r="L77" s="270"/>
      <c r="M77" s="270"/>
      <c r="N77" s="86">
        <v>1</v>
      </c>
      <c r="O77" s="60">
        <v>1.3</v>
      </c>
      <c r="P77" s="59">
        <v>0</v>
      </c>
      <c r="Q77" s="58">
        <v>3.4</v>
      </c>
      <c r="R77" s="214"/>
      <c r="S77" s="211"/>
      <c r="T77" s="2">
        <v>0.1</v>
      </c>
      <c r="U77" s="2">
        <v>4.3</v>
      </c>
      <c r="V77" s="208"/>
      <c r="W77" s="209"/>
      <c r="X77" s="2">
        <v>0.3</v>
      </c>
      <c r="Y77" s="4">
        <v>3.6</v>
      </c>
      <c r="Z77" s="2">
        <v>0.1</v>
      </c>
      <c r="AA77" s="28">
        <v>3.5</v>
      </c>
      <c r="AB77" s="214"/>
      <c r="AC77" s="211"/>
      <c r="AD77" s="3">
        <v>0.4</v>
      </c>
      <c r="AE77" s="28">
        <v>2.6</v>
      </c>
      <c r="AF77" s="214"/>
      <c r="AG77" s="211"/>
      <c r="AH77" s="3">
        <v>0.1</v>
      </c>
      <c r="AI77" s="4">
        <v>2.7</v>
      </c>
      <c r="AJ77" s="2">
        <v>1.5</v>
      </c>
      <c r="AK77" s="28">
        <v>4.7</v>
      </c>
      <c r="AL77" s="214"/>
      <c r="AM77" s="211"/>
      <c r="AN77" s="3">
        <v>0.7</v>
      </c>
      <c r="AO77" s="28">
        <v>5</v>
      </c>
      <c r="AP77" s="214"/>
      <c r="AQ77" s="211"/>
      <c r="AR77" s="3">
        <v>1.4</v>
      </c>
      <c r="AS77" s="67">
        <v>4.7</v>
      </c>
      <c r="AT77" s="2">
        <v>0.8</v>
      </c>
      <c r="AU77" s="26">
        <v>3.3</v>
      </c>
      <c r="AV77" s="214"/>
      <c r="AW77" s="211"/>
      <c r="AX77" s="3">
        <v>0.5</v>
      </c>
      <c r="AY77" s="28">
        <v>6.4</v>
      </c>
      <c r="AZ77" s="214"/>
      <c r="BA77" s="211"/>
      <c r="BB77" s="36">
        <v>0.2</v>
      </c>
      <c r="BC77" s="4">
        <v>6.9</v>
      </c>
      <c r="BD77" s="357">
        <v>0.1</v>
      </c>
      <c r="BE77" s="115">
        <v>5.5</v>
      </c>
      <c r="BF77" s="358" t="s">
        <v>111</v>
      </c>
      <c r="BG77" s="359" t="s">
        <v>112</v>
      </c>
      <c r="BH77" s="3">
        <v>0.2</v>
      </c>
      <c r="BI77" s="28">
        <v>6.3</v>
      </c>
      <c r="BJ77" s="208"/>
      <c r="BK77" s="209"/>
      <c r="BL77" s="3">
        <v>0.8</v>
      </c>
      <c r="BM77" s="67">
        <v>8.9</v>
      </c>
      <c r="BN77" s="2"/>
      <c r="BO77" s="115">
        <v>13.1</v>
      </c>
      <c r="BP77" s="208"/>
      <c r="BQ77" s="209"/>
      <c r="BR77" s="3">
        <v>1.3</v>
      </c>
      <c r="BS77" s="28">
        <v>4.2</v>
      </c>
      <c r="BT77" s="214"/>
      <c r="BU77" s="211"/>
      <c r="BV77" s="2">
        <v>1.5</v>
      </c>
      <c r="BW77" s="360">
        <v>7.8</v>
      </c>
      <c r="BX77" s="2">
        <v>0.3</v>
      </c>
      <c r="BY77" s="116">
        <v>10.8</v>
      </c>
      <c r="BZ77" s="208"/>
      <c r="CA77" s="209"/>
      <c r="CB77" s="2">
        <v>0.1</v>
      </c>
      <c r="CC77" s="28">
        <v>7.8</v>
      </c>
      <c r="CD77" s="358" t="s">
        <v>113</v>
      </c>
      <c r="CE77" s="211"/>
      <c r="CF77" s="3">
        <v>1.3</v>
      </c>
      <c r="CG77" s="4">
        <v>20.3</v>
      </c>
      <c r="CH77" s="2">
        <v>1.9</v>
      </c>
      <c r="CI77" s="115">
        <v>19.7</v>
      </c>
      <c r="CJ77" s="292"/>
      <c r="CK77" s="209"/>
      <c r="CL77" s="3">
        <v>1.7</v>
      </c>
      <c r="CM77" s="28">
        <v>11.3</v>
      </c>
      <c r="CN77" s="208"/>
      <c r="CO77" s="209"/>
      <c r="CP77" s="3">
        <v>1.8</v>
      </c>
      <c r="CQ77" s="4">
        <v>16.899999999999999</v>
      </c>
      <c r="CR77" s="2">
        <v>2.4</v>
      </c>
      <c r="CS77" s="115">
        <v>23</v>
      </c>
      <c r="CT77" s="208"/>
      <c r="CU77" s="209"/>
      <c r="CV77" s="3">
        <v>4.2</v>
      </c>
      <c r="CW77" s="28">
        <v>16.5</v>
      </c>
      <c r="CX77" s="214"/>
      <c r="CY77" s="211"/>
      <c r="CZ77" s="3">
        <v>1.3</v>
      </c>
      <c r="DA77" s="4">
        <v>9.94</v>
      </c>
      <c r="DB77" s="59">
        <v>5.4</v>
      </c>
      <c r="DC77" s="66">
        <v>20.399999999999999</v>
      </c>
      <c r="DD77" s="214"/>
      <c r="DE77" s="211"/>
      <c r="DF77" s="2">
        <v>3.5</v>
      </c>
      <c r="DG77" s="2">
        <v>16.100000000000001</v>
      </c>
      <c r="DH77" s="208"/>
      <c r="DI77" s="209"/>
      <c r="DJ77" s="2">
        <v>2.4</v>
      </c>
      <c r="DK77" s="4">
        <v>10.6</v>
      </c>
      <c r="DL77" s="59">
        <v>2.2000000000000002</v>
      </c>
      <c r="DM77" s="66">
        <v>17.899999999999999</v>
      </c>
      <c r="DN77" s="208"/>
      <c r="DO77" s="209"/>
      <c r="DP77" s="2">
        <v>1</v>
      </c>
      <c r="DQ77" s="217">
        <v>11.9</v>
      </c>
      <c r="DR77" s="208"/>
      <c r="DS77" s="209"/>
      <c r="DT77" s="2">
        <v>0.6</v>
      </c>
      <c r="DU77" s="4">
        <v>15.3</v>
      </c>
      <c r="DV77" s="59">
        <v>1.59</v>
      </c>
      <c r="DW77" s="58">
        <v>11.8</v>
      </c>
      <c r="DX77" s="214"/>
      <c r="DY77" s="211"/>
      <c r="DZ77" s="2">
        <v>5</v>
      </c>
      <c r="EA77" s="217">
        <v>17.399999999999999</v>
      </c>
      <c r="EB77" s="208"/>
      <c r="EC77" s="209"/>
      <c r="ED77" s="2">
        <v>1.9</v>
      </c>
      <c r="EE77" s="67">
        <v>16.600000000000001</v>
      </c>
      <c r="EF77" s="59">
        <v>2.5</v>
      </c>
      <c r="EG77" s="66">
        <v>13.3</v>
      </c>
      <c r="EH77" s="214"/>
      <c r="EI77" s="211"/>
      <c r="EJ77" s="2">
        <v>7.5</v>
      </c>
      <c r="EK77" s="217">
        <v>18.7</v>
      </c>
      <c r="EL77" s="208"/>
      <c r="EM77" s="209"/>
      <c r="EN77" s="2">
        <v>4.0999999999999996</v>
      </c>
      <c r="EO77" s="67">
        <v>12.2</v>
      </c>
      <c r="EP77" s="54">
        <v>6.5</v>
      </c>
      <c r="EQ77" s="66">
        <v>12.9</v>
      </c>
      <c r="ER77" s="208"/>
      <c r="ES77" s="209"/>
      <c r="ET77" s="2">
        <v>1.9</v>
      </c>
      <c r="EU77" s="2">
        <v>20.5</v>
      </c>
      <c r="EV77" s="208"/>
      <c r="EW77" s="209"/>
      <c r="EX77" s="2">
        <v>4.0999999999999996</v>
      </c>
      <c r="EY77" s="67">
        <v>16.100000000000001</v>
      </c>
      <c r="EZ77" s="361">
        <v>22.8</v>
      </c>
      <c r="FA77" s="58">
        <v>24.6</v>
      </c>
      <c r="FB77" s="214"/>
      <c r="FC77" s="210"/>
      <c r="FD77" s="36">
        <v>0.8</v>
      </c>
      <c r="FE77" s="28">
        <v>22.8</v>
      </c>
      <c r="FF77" s="270"/>
      <c r="FG77" s="209"/>
      <c r="FH77" s="2">
        <v>1.5</v>
      </c>
      <c r="FI77" s="67">
        <v>12.1</v>
      </c>
      <c r="FJ77" s="59">
        <v>1.6</v>
      </c>
      <c r="FK77" s="66">
        <v>8</v>
      </c>
      <c r="FL77" s="208"/>
      <c r="FM77" s="209"/>
      <c r="FN77" s="2">
        <v>0.6</v>
      </c>
      <c r="FO77" s="2">
        <v>3</v>
      </c>
      <c r="FP77" s="208"/>
      <c r="FQ77" s="209"/>
      <c r="FR77" s="2">
        <v>2.1</v>
      </c>
      <c r="FS77" s="67">
        <v>11.8</v>
      </c>
      <c r="FT77" s="59">
        <v>0.3</v>
      </c>
      <c r="FU77" s="58">
        <v>11.9</v>
      </c>
      <c r="FV77" s="358">
        <v>11.9</v>
      </c>
      <c r="FW77" s="359">
        <v>0.3</v>
      </c>
      <c r="FX77" s="2">
        <v>4.4000000000000004</v>
      </c>
      <c r="FY77" s="2">
        <v>22.3</v>
      </c>
      <c r="FZ77" s="334"/>
      <c r="GA77" s="362"/>
      <c r="GB77" s="2">
        <v>0.8</v>
      </c>
      <c r="GC77" s="4">
        <v>5.4</v>
      </c>
      <c r="GD77" s="54">
        <v>18.7</v>
      </c>
      <c r="GE77" s="66">
        <v>11.4</v>
      </c>
      <c r="GF77" s="208"/>
      <c r="GG77" s="209"/>
      <c r="GH77" s="2">
        <v>1.4</v>
      </c>
      <c r="GI77" s="2">
        <v>24.5</v>
      </c>
      <c r="GJ77" s="208"/>
      <c r="GK77" s="209"/>
      <c r="GL77" s="2">
        <v>2.2999999999999998</v>
      </c>
      <c r="GM77" s="4">
        <v>19.2</v>
      </c>
      <c r="GN77" s="59">
        <v>1.1000000000000001</v>
      </c>
      <c r="GO77" s="58">
        <v>17.899999999999999</v>
      </c>
      <c r="GP77" s="208"/>
      <c r="GQ77" s="209"/>
      <c r="GR77" s="2">
        <v>1.2</v>
      </c>
      <c r="GS77" s="2">
        <v>19.600000000000001</v>
      </c>
      <c r="GT77" s="208"/>
      <c r="GU77" s="209"/>
      <c r="GV77" s="2">
        <v>2.2999999999999998</v>
      </c>
      <c r="GW77" s="4">
        <v>23.7</v>
      </c>
    </row>
    <row r="78" spans="1:235" x14ac:dyDescent="0.2">
      <c r="A78" s="2"/>
      <c r="B78" s="205"/>
      <c r="C78" s="23">
        <v>2</v>
      </c>
      <c r="D78" s="210"/>
      <c r="E78" s="295"/>
      <c r="F78" s="363">
        <v>0.1</v>
      </c>
      <c r="G78" s="104">
        <v>2.2999999999999998</v>
      </c>
      <c r="H78" s="214"/>
      <c r="I78" s="211"/>
      <c r="J78" s="3">
        <v>0.4</v>
      </c>
      <c r="K78" s="28">
        <v>1.2</v>
      </c>
      <c r="L78" s="210"/>
      <c r="M78" s="210"/>
      <c r="N78" s="25">
        <v>0.9</v>
      </c>
      <c r="O78" s="4">
        <v>3.3</v>
      </c>
      <c r="P78" s="2">
        <v>0.1</v>
      </c>
      <c r="Q78" s="28">
        <v>3.4</v>
      </c>
      <c r="R78" s="214"/>
      <c r="S78" s="211"/>
      <c r="T78" s="2">
        <v>0.1</v>
      </c>
      <c r="U78" s="217">
        <v>2.1</v>
      </c>
      <c r="V78" s="214"/>
      <c r="W78" s="211"/>
      <c r="X78" s="2">
        <v>0.5</v>
      </c>
      <c r="Y78" s="4">
        <v>4.0999999999999996</v>
      </c>
      <c r="Z78" s="2">
        <v>0.3</v>
      </c>
      <c r="AA78" s="28">
        <v>3.1</v>
      </c>
      <c r="AB78" s="214"/>
      <c r="AC78" s="211"/>
      <c r="AD78" s="3">
        <v>0.5</v>
      </c>
      <c r="AE78" s="28">
        <v>3.7</v>
      </c>
      <c r="AF78" s="214"/>
      <c r="AG78" s="211"/>
      <c r="AH78" s="3">
        <v>0.1</v>
      </c>
      <c r="AI78" s="4">
        <v>3.5</v>
      </c>
      <c r="AJ78" s="2">
        <v>1.8</v>
      </c>
      <c r="AK78" s="28">
        <v>3.5</v>
      </c>
      <c r="AL78" s="214"/>
      <c r="AM78" s="211"/>
      <c r="AN78" s="3">
        <v>0.5</v>
      </c>
      <c r="AO78" s="33">
        <v>6.8</v>
      </c>
      <c r="AP78" s="214"/>
      <c r="AQ78" s="211"/>
      <c r="AR78" s="3">
        <v>1.4</v>
      </c>
      <c r="AS78" s="4">
        <v>8</v>
      </c>
      <c r="AT78" s="2">
        <v>0.7</v>
      </c>
      <c r="AU78" s="74">
        <v>4</v>
      </c>
      <c r="AV78" s="214"/>
      <c r="AW78" s="211"/>
      <c r="AX78" s="3">
        <v>0.5</v>
      </c>
      <c r="AY78" s="28">
        <v>7.1</v>
      </c>
      <c r="AZ78" s="214"/>
      <c r="BA78" s="211"/>
      <c r="BB78" s="364">
        <v>0.12</v>
      </c>
      <c r="BC78" s="67">
        <v>2.1</v>
      </c>
      <c r="BD78" s="357">
        <v>0.1</v>
      </c>
      <c r="BE78" s="77">
        <v>6.4</v>
      </c>
      <c r="BF78" s="358" t="s">
        <v>111</v>
      </c>
      <c r="BG78" s="359"/>
      <c r="BH78" s="3">
        <v>0.4</v>
      </c>
      <c r="BI78" s="28">
        <v>7.8</v>
      </c>
      <c r="BJ78" s="214"/>
      <c r="BK78" s="211"/>
      <c r="BL78" s="3">
        <v>1.1000000000000001</v>
      </c>
      <c r="BM78" s="4">
        <v>12.7</v>
      </c>
      <c r="BN78" s="2">
        <v>1.2</v>
      </c>
      <c r="BO78" s="74">
        <v>18.600000000000001</v>
      </c>
      <c r="BP78" s="214"/>
      <c r="BQ78" s="211"/>
      <c r="BR78" s="3">
        <v>1</v>
      </c>
      <c r="BS78" s="28">
        <v>5.6</v>
      </c>
      <c r="BT78" s="214"/>
      <c r="BU78" s="211"/>
      <c r="BV78" s="2">
        <v>1.8</v>
      </c>
      <c r="BW78" s="117">
        <v>6.2</v>
      </c>
      <c r="BX78" s="2">
        <v>0.8</v>
      </c>
      <c r="BY78" s="68">
        <v>10.1</v>
      </c>
      <c r="BZ78" s="214"/>
      <c r="CA78" s="211"/>
      <c r="CB78" s="2">
        <v>0.9</v>
      </c>
      <c r="CC78" s="33">
        <v>10.4</v>
      </c>
      <c r="CD78" s="358">
        <v>0.9</v>
      </c>
      <c r="CE78" s="211"/>
      <c r="CF78" s="3">
        <v>1.4</v>
      </c>
      <c r="CG78" s="4">
        <v>19.3</v>
      </c>
      <c r="CH78" s="2">
        <v>2.2000000000000002</v>
      </c>
      <c r="CI78" s="115">
        <v>17.100000000000001</v>
      </c>
      <c r="CJ78" s="296"/>
      <c r="CK78" s="211"/>
      <c r="CL78" s="3">
        <v>1.4</v>
      </c>
      <c r="CM78" s="33">
        <v>8</v>
      </c>
      <c r="CN78" s="214"/>
      <c r="CO78" s="211"/>
      <c r="CP78" s="3">
        <v>1.7</v>
      </c>
      <c r="CQ78" s="67">
        <v>13.6</v>
      </c>
      <c r="CR78" s="2">
        <v>1.6</v>
      </c>
      <c r="CS78" s="77">
        <v>23</v>
      </c>
      <c r="CT78" s="214"/>
      <c r="CU78" s="211"/>
      <c r="CV78" s="3">
        <v>3.3</v>
      </c>
      <c r="CW78" s="28">
        <v>23.4</v>
      </c>
      <c r="CX78" s="214"/>
      <c r="CY78" s="211"/>
      <c r="CZ78" s="3">
        <v>2.1</v>
      </c>
      <c r="DA78" s="67">
        <v>15.9</v>
      </c>
      <c r="DB78" s="2">
        <v>7.7</v>
      </c>
      <c r="DC78" s="33">
        <v>23.5</v>
      </c>
      <c r="DD78" s="214"/>
      <c r="DE78" s="211"/>
      <c r="DF78" s="9">
        <v>2</v>
      </c>
      <c r="DG78" s="217">
        <v>21</v>
      </c>
      <c r="DH78" s="214"/>
      <c r="DI78" s="211"/>
      <c r="DJ78" s="2">
        <v>1.5</v>
      </c>
      <c r="DK78" s="67">
        <v>14.8</v>
      </c>
      <c r="DL78" s="2">
        <v>1.8</v>
      </c>
      <c r="DM78" s="28">
        <v>14.8</v>
      </c>
      <c r="DN78" s="214"/>
      <c r="DO78" s="211"/>
      <c r="DP78" s="2">
        <v>0.8</v>
      </c>
      <c r="DQ78" s="2">
        <v>14.7</v>
      </c>
      <c r="DR78" s="214"/>
      <c r="DS78" s="211"/>
      <c r="DT78" s="2">
        <v>0.71</v>
      </c>
      <c r="DU78" s="4">
        <v>14</v>
      </c>
      <c r="DV78" s="2">
        <v>2.2000000000000002</v>
      </c>
      <c r="DW78" s="33">
        <v>17.7</v>
      </c>
      <c r="DX78" s="214"/>
      <c r="DY78" s="211"/>
      <c r="DZ78" s="2">
        <v>3.2</v>
      </c>
      <c r="EA78" s="217">
        <v>19.8</v>
      </c>
      <c r="EB78" s="214"/>
      <c r="EC78" s="211"/>
      <c r="ED78" s="2">
        <v>1</v>
      </c>
      <c r="EE78" s="67">
        <v>15.3</v>
      </c>
      <c r="EF78" s="2">
        <v>1.7</v>
      </c>
      <c r="EG78" s="33">
        <v>15.2</v>
      </c>
      <c r="EH78" s="214"/>
      <c r="EI78" s="211"/>
      <c r="EJ78" s="2">
        <v>6.5</v>
      </c>
      <c r="EK78" s="217">
        <v>17.899999999999999</v>
      </c>
      <c r="EL78" s="214"/>
      <c r="EM78" s="211"/>
      <c r="EN78" s="2">
        <v>3.5</v>
      </c>
      <c r="EO78" s="4">
        <v>9.6999999999999993</v>
      </c>
      <c r="EP78" s="217">
        <v>5</v>
      </c>
      <c r="EQ78" s="28">
        <v>21.3</v>
      </c>
      <c r="ER78" s="214"/>
      <c r="ES78" s="211"/>
      <c r="ET78" s="2">
        <v>2.2000000000000002</v>
      </c>
      <c r="EU78" s="217">
        <v>13.3</v>
      </c>
      <c r="EV78" s="214"/>
      <c r="EW78" s="211"/>
      <c r="EX78" s="2">
        <v>3.9</v>
      </c>
      <c r="EY78" s="4">
        <v>7.2</v>
      </c>
      <c r="EZ78" s="167">
        <v>24.4</v>
      </c>
      <c r="FA78" s="28">
        <v>24.3</v>
      </c>
      <c r="FB78" s="214"/>
      <c r="FC78" s="210"/>
      <c r="FD78" s="36">
        <v>0.8</v>
      </c>
      <c r="FE78" s="28">
        <v>25.2</v>
      </c>
      <c r="FF78" s="210"/>
      <c r="FG78" s="211"/>
      <c r="FH78" s="2">
        <v>2.7</v>
      </c>
      <c r="FI78" s="4">
        <v>17.399999999999999</v>
      </c>
      <c r="FJ78" s="2">
        <v>0.7</v>
      </c>
      <c r="FK78" s="33">
        <v>9.6</v>
      </c>
      <c r="FL78" s="214"/>
      <c r="FM78" s="211"/>
      <c r="FN78" s="2">
        <v>1</v>
      </c>
      <c r="FO78" s="2">
        <v>1.8</v>
      </c>
      <c r="FP78" s="214"/>
      <c r="FQ78" s="211"/>
      <c r="FR78" s="2">
        <v>1.6</v>
      </c>
      <c r="FS78" s="67">
        <v>13</v>
      </c>
      <c r="FT78" s="2">
        <v>1</v>
      </c>
      <c r="FU78" s="28">
        <v>12.2</v>
      </c>
      <c r="FV78" s="358">
        <v>12.2</v>
      </c>
      <c r="FW78" s="359">
        <v>1</v>
      </c>
      <c r="FX78" s="2">
        <v>4.5999999999999996</v>
      </c>
      <c r="FY78" s="2">
        <v>22.2</v>
      </c>
      <c r="FZ78" s="335"/>
      <c r="GA78" s="365"/>
      <c r="GB78" s="2">
        <v>1.9</v>
      </c>
      <c r="GC78" s="4">
        <v>4.5999999999999996</v>
      </c>
      <c r="GD78" s="217">
        <v>17.5</v>
      </c>
      <c r="GE78" s="33">
        <v>12.8</v>
      </c>
      <c r="GF78" s="214"/>
      <c r="GG78" s="211"/>
      <c r="GH78" s="2">
        <v>0.9</v>
      </c>
      <c r="GI78" s="2">
        <v>23.4</v>
      </c>
      <c r="GJ78" s="214"/>
      <c r="GK78" s="211"/>
      <c r="GL78" s="2">
        <v>1.3</v>
      </c>
      <c r="GM78" s="67">
        <v>14.1</v>
      </c>
      <c r="GN78" s="2">
        <v>1.7</v>
      </c>
      <c r="GO78" s="28">
        <v>18.399999999999999</v>
      </c>
      <c r="GP78" s="214"/>
      <c r="GQ78" s="211"/>
      <c r="GR78" s="2">
        <v>1.1000000000000001</v>
      </c>
      <c r="GS78" s="2">
        <v>19.3</v>
      </c>
      <c r="GT78" s="214"/>
      <c r="GU78" s="211"/>
      <c r="GV78" s="2">
        <v>2.6</v>
      </c>
      <c r="GW78" s="4">
        <v>23.4</v>
      </c>
    </row>
    <row r="79" spans="1:235" x14ac:dyDescent="0.2">
      <c r="A79" s="2"/>
      <c r="B79" s="205"/>
      <c r="C79" s="23">
        <v>3</v>
      </c>
      <c r="D79" s="210"/>
      <c r="E79" s="295"/>
      <c r="F79" s="363">
        <v>0.1</v>
      </c>
      <c r="G79" s="104">
        <v>2.1</v>
      </c>
      <c r="H79" s="214"/>
      <c r="I79" s="211"/>
      <c r="J79" s="3">
        <v>0.6</v>
      </c>
      <c r="K79" s="28">
        <v>0.9</v>
      </c>
      <c r="L79" s="210"/>
      <c r="M79" s="210"/>
      <c r="N79" s="25">
        <v>1</v>
      </c>
      <c r="O79" s="67">
        <v>1.9</v>
      </c>
      <c r="P79" s="2">
        <v>0</v>
      </c>
      <c r="Q79" s="28">
        <v>4.3</v>
      </c>
      <c r="R79" s="214"/>
      <c r="S79" s="211"/>
      <c r="T79" s="2">
        <v>0.1</v>
      </c>
      <c r="U79" s="217">
        <v>2.2000000000000002</v>
      </c>
      <c r="V79" s="214"/>
      <c r="W79" s="211"/>
      <c r="X79" s="2">
        <v>0.1</v>
      </c>
      <c r="Y79" s="4">
        <v>4.5</v>
      </c>
      <c r="Z79" s="2">
        <v>0.4</v>
      </c>
      <c r="AA79" s="28">
        <v>3.7</v>
      </c>
      <c r="AB79" s="214"/>
      <c r="AC79" s="211"/>
      <c r="AD79" s="3">
        <v>0.7</v>
      </c>
      <c r="AE79" s="28">
        <v>2.5</v>
      </c>
      <c r="AF79" s="214"/>
      <c r="AG79" s="211"/>
      <c r="AH79" s="3">
        <v>0.1</v>
      </c>
      <c r="AI79" s="4">
        <v>2.9</v>
      </c>
      <c r="AJ79" s="2">
        <v>1.5</v>
      </c>
      <c r="AK79" s="28">
        <v>4.5</v>
      </c>
      <c r="AL79" s="214"/>
      <c r="AM79" s="211"/>
      <c r="AN79" s="3">
        <v>0.7</v>
      </c>
      <c r="AO79" s="33">
        <v>7.8</v>
      </c>
      <c r="AP79" s="214"/>
      <c r="AQ79" s="211"/>
      <c r="AR79" s="3">
        <v>1.3</v>
      </c>
      <c r="AS79" s="67">
        <v>5.7</v>
      </c>
      <c r="AT79" s="2">
        <v>1</v>
      </c>
      <c r="AU79" s="26">
        <v>4.8</v>
      </c>
      <c r="AV79" s="214"/>
      <c r="AW79" s="211"/>
      <c r="AX79" s="3">
        <v>0.5</v>
      </c>
      <c r="AY79" s="28">
        <v>7.4</v>
      </c>
      <c r="AZ79" s="214"/>
      <c r="BA79" s="211"/>
      <c r="BB79" s="3">
        <v>0.8</v>
      </c>
      <c r="BC79" s="67">
        <v>2.8</v>
      </c>
      <c r="BD79" s="357">
        <v>0.1</v>
      </c>
      <c r="BE79" s="26">
        <v>9.6999999999999993</v>
      </c>
      <c r="BF79" s="358" t="s">
        <v>111</v>
      </c>
      <c r="BG79" s="359"/>
      <c r="BH79" s="3">
        <v>0.4</v>
      </c>
      <c r="BI79" s="28">
        <v>7</v>
      </c>
      <c r="BJ79" s="214"/>
      <c r="BK79" s="211"/>
      <c r="BL79" s="3">
        <v>1.2</v>
      </c>
      <c r="BM79" s="67">
        <v>9.1</v>
      </c>
      <c r="BN79" s="2">
        <v>1.3</v>
      </c>
      <c r="BO79" s="115">
        <v>10.3</v>
      </c>
      <c r="BP79" s="214"/>
      <c r="BQ79" s="211"/>
      <c r="BR79" s="3">
        <v>0.6</v>
      </c>
      <c r="BS79" s="28">
        <v>4.3</v>
      </c>
      <c r="BT79" s="214"/>
      <c r="BU79" s="211"/>
      <c r="BV79" s="2">
        <v>2.1</v>
      </c>
      <c r="BW79" s="30">
        <v>4.3</v>
      </c>
      <c r="BX79" s="2">
        <v>0.8</v>
      </c>
      <c r="BY79" s="9">
        <v>6.8</v>
      </c>
      <c r="BZ79" s="214"/>
      <c r="CA79" s="211"/>
      <c r="CB79" s="2">
        <v>0.1</v>
      </c>
      <c r="CC79" s="33">
        <v>9.8000000000000007</v>
      </c>
      <c r="CD79" s="358" t="s">
        <v>113</v>
      </c>
      <c r="CE79" s="211"/>
      <c r="CF79" s="3">
        <v>0.5</v>
      </c>
      <c r="CG79" s="4">
        <v>20</v>
      </c>
      <c r="CH79" s="2">
        <v>2.1</v>
      </c>
      <c r="CI79" s="26">
        <v>22.6</v>
      </c>
      <c r="CJ79" s="296"/>
      <c r="CK79" s="211"/>
      <c r="CL79" s="3">
        <v>1.5</v>
      </c>
      <c r="CM79" s="33">
        <v>8.9</v>
      </c>
      <c r="CN79" s="214"/>
      <c r="CO79" s="211"/>
      <c r="CP79" s="3">
        <v>1.2</v>
      </c>
      <c r="CQ79" s="67">
        <v>14.2</v>
      </c>
      <c r="CR79" s="2">
        <v>1.8</v>
      </c>
      <c r="CS79" s="26">
        <v>19.8</v>
      </c>
      <c r="CT79" s="214"/>
      <c r="CU79" s="211"/>
      <c r="CV79" s="3">
        <v>3.2</v>
      </c>
      <c r="CW79" s="28">
        <v>19.3</v>
      </c>
      <c r="CX79" s="214"/>
      <c r="CY79" s="211"/>
      <c r="CZ79" s="3">
        <v>1.5</v>
      </c>
      <c r="DA79" s="67">
        <v>20</v>
      </c>
      <c r="DB79" s="2">
        <v>4.8</v>
      </c>
      <c r="DC79" s="28">
        <v>16.7</v>
      </c>
      <c r="DD79" s="214"/>
      <c r="DE79" s="211"/>
      <c r="DF79" s="2">
        <v>1.7</v>
      </c>
      <c r="DG79" s="217">
        <v>24.2</v>
      </c>
      <c r="DH79" s="214"/>
      <c r="DI79" s="211"/>
      <c r="DJ79" s="1">
        <v>2.2000000000000002</v>
      </c>
      <c r="DK79" s="67">
        <v>17.899999999999999</v>
      </c>
      <c r="DL79" s="2">
        <v>3.4</v>
      </c>
      <c r="DM79" s="33">
        <v>17.3</v>
      </c>
      <c r="DN79" s="214"/>
      <c r="DO79" s="211"/>
      <c r="DP79" s="2">
        <v>1.6</v>
      </c>
      <c r="DQ79" s="217">
        <v>9.6999999999999993</v>
      </c>
      <c r="DR79" s="214"/>
      <c r="DS79" s="211"/>
      <c r="DT79" s="2">
        <v>0.6</v>
      </c>
      <c r="DU79" s="4">
        <v>11.8</v>
      </c>
      <c r="DV79" s="2">
        <v>2.9</v>
      </c>
      <c r="DW79" s="33">
        <v>20.9</v>
      </c>
      <c r="DX79" s="214"/>
      <c r="DY79" s="211"/>
      <c r="DZ79" s="2">
        <v>3.5</v>
      </c>
      <c r="EA79" s="2">
        <v>9.8000000000000007</v>
      </c>
      <c r="EB79" s="214"/>
      <c r="EC79" s="211"/>
      <c r="ED79" s="2">
        <v>1.5</v>
      </c>
      <c r="EE79" s="4">
        <v>22.7</v>
      </c>
      <c r="EF79" s="2">
        <v>1.8</v>
      </c>
      <c r="EG79" s="28">
        <v>22.2</v>
      </c>
      <c r="EH79" s="214"/>
      <c r="EI79" s="211"/>
      <c r="EJ79" s="2">
        <v>7.9</v>
      </c>
      <c r="EK79" s="2">
        <v>12.8</v>
      </c>
      <c r="EL79" s="214"/>
      <c r="EM79" s="211"/>
      <c r="EN79" s="2">
        <v>5.0999999999999996</v>
      </c>
      <c r="EO79" s="67">
        <v>12.7</v>
      </c>
      <c r="EP79" s="2">
        <v>3.8</v>
      </c>
      <c r="EQ79" s="33">
        <v>11.6</v>
      </c>
      <c r="ER79" s="214"/>
      <c r="ES79" s="211"/>
      <c r="ET79" s="2">
        <v>2</v>
      </c>
      <c r="EU79" s="217">
        <v>16.7</v>
      </c>
      <c r="EV79" s="214"/>
      <c r="EW79" s="211"/>
      <c r="EX79" s="2">
        <v>3.7</v>
      </c>
      <c r="EY79" s="67">
        <v>12.7</v>
      </c>
      <c r="EZ79" s="167">
        <v>20.9</v>
      </c>
      <c r="FA79" s="28">
        <v>23.1</v>
      </c>
      <c r="FB79" s="214"/>
      <c r="FC79" s="210"/>
      <c r="FD79" s="3">
        <v>2</v>
      </c>
      <c r="FE79" s="28">
        <v>23.4</v>
      </c>
      <c r="FF79" s="210"/>
      <c r="FG79" s="211"/>
      <c r="FH79" s="2">
        <v>2.5</v>
      </c>
      <c r="FI79" s="67">
        <v>8.9</v>
      </c>
      <c r="FJ79" s="2">
        <v>1.2</v>
      </c>
      <c r="FK79" s="28">
        <v>12.8</v>
      </c>
      <c r="FL79" s="214"/>
      <c r="FM79" s="211"/>
      <c r="FN79" s="2">
        <v>1.1000000000000001</v>
      </c>
      <c r="FO79" s="2">
        <v>2.9</v>
      </c>
      <c r="FP79" s="214"/>
      <c r="FQ79" s="211"/>
      <c r="FR79" s="2">
        <v>3.1</v>
      </c>
      <c r="FS79" s="4">
        <v>9.5</v>
      </c>
      <c r="FT79" s="2">
        <v>0.6</v>
      </c>
      <c r="FU79" s="28">
        <v>13.3</v>
      </c>
      <c r="FV79" s="358">
        <v>13.3</v>
      </c>
      <c r="FW79" s="359">
        <v>0.6</v>
      </c>
      <c r="FX79" s="2">
        <v>4.3</v>
      </c>
      <c r="FY79" s="2">
        <v>20.100000000000001</v>
      </c>
      <c r="FZ79" s="335"/>
      <c r="GA79" s="365"/>
      <c r="GB79" s="2">
        <v>2.6</v>
      </c>
      <c r="GC79" s="4">
        <v>5.2</v>
      </c>
      <c r="GD79" s="2">
        <v>23.3</v>
      </c>
      <c r="GE79" s="28">
        <v>8.9</v>
      </c>
      <c r="GF79" s="214"/>
      <c r="GG79" s="211"/>
      <c r="GH79" s="2">
        <v>1.4</v>
      </c>
      <c r="GI79" s="2">
        <v>24.1</v>
      </c>
      <c r="GJ79" s="214"/>
      <c r="GK79" s="211"/>
      <c r="GL79" s="2">
        <v>1.1000000000000001</v>
      </c>
      <c r="GM79" s="67">
        <v>15.2</v>
      </c>
      <c r="GN79" s="2">
        <v>0.7</v>
      </c>
      <c r="GO79" s="28">
        <v>16.7</v>
      </c>
      <c r="GP79" s="214"/>
      <c r="GQ79" s="211"/>
      <c r="GR79" s="2">
        <v>0.4</v>
      </c>
      <c r="GS79" s="2">
        <v>19.399999999999999</v>
      </c>
      <c r="GT79" s="214"/>
      <c r="GU79" s="211"/>
      <c r="GV79" s="9">
        <v>2</v>
      </c>
      <c r="GW79" s="4">
        <v>24.4</v>
      </c>
    </row>
    <row r="80" spans="1:235" s="186" customFormat="1" ht="15" x14ac:dyDescent="0.2">
      <c r="A80" s="2"/>
      <c r="B80" s="78"/>
      <c r="C80" s="220" t="s">
        <v>87</v>
      </c>
      <c r="D80" s="228"/>
      <c r="E80" s="233"/>
      <c r="F80" s="366">
        <f>AVERAGE(F77,F78,F79)</f>
        <v>0.10000000000000002</v>
      </c>
      <c r="G80" s="366">
        <f>AVERAGE(G77,G78,G79)</f>
        <v>2.0333333333333332</v>
      </c>
      <c r="H80" s="224"/>
      <c r="I80" s="255"/>
      <c r="J80" s="224">
        <f>AVERAGE(J77,J78,J79)</f>
        <v>0.40000000000000008</v>
      </c>
      <c r="K80" s="284">
        <f>AVERAGE(K77,K78,K79)</f>
        <v>1.0666666666666667</v>
      </c>
      <c r="L80" s="228"/>
      <c r="M80" s="228"/>
      <c r="N80" s="317">
        <f>AVERAGE(N77,N78,N79)</f>
        <v>0.96666666666666667</v>
      </c>
      <c r="O80" s="367">
        <f>AVERAGE(O77,O79)</f>
        <v>1.6</v>
      </c>
      <c r="P80" s="223">
        <f>AVERAGE(P77:P79)</f>
        <v>3.3333333333333333E-2</v>
      </c>
      <c r="Q80" s="231">
        <f>AVERAGE(Q77,Q78,Q79)</f>
        <v>3.6999999999999997</v>
      </c>
      <c r="R80" s="224"/>
      <c r="S80" s="231"/>
      <c r="T80" s="223">
        <f>AVERAGE(T77,T78,T79)</f>
        <v>0.10000000000000002</v>
      </c>
      <c r="U80" s="232">
        <f>AVERAGE(U78,U79)</f>
        <v>2.1500000000000004</v>
      </c>
      <c r="V80" s="317"/>
      <c r="W80" s="284"/>
      <c r="X80" s="285">
        <f>AVERAGE(X77,X78,X79)</f>
        <v>0.3</v>
      </c>
      <c r="Y80" s="289">
        <f>AVERAGE(Y77,Y78,Y79)</f>
        <v>4.0666666666666664</v>
      </c>
      <c r="Z80" s="285">
        <f>AVERAGE(Z77,Z78,Z79)</f>
        <v>0.26666666666666666</v>
      </c>
      <c r="AA80" s="284">
        <f>AVERAGE(AA77,AA78,AA79)</f>
        <v>3.4333333333333336</v>
      </c>
      <c r="AB80" s="224"/>
      <c r="AC80" s="231"/>
      <c r="AD80" s="317">
        <f>AVERAGE(AD77,AD78,AD79)</f>
        <v>0.53333333333333333</v>
      </c>
      <c r="AE80" s="284">
        <f>AVERAGE(AE77,AE78,AE79)</f>
        <v>2.9333333333333336</v>
      </c>
      <c r="AF80" s="224"/>
      <c r="AG80" s="231"/>
      <c r="AH80" s="317">
        <f>AVERAGE(AH77,AH78,AH79)</f>
        <v>0.10000000000000002</v>
      </c>
      <c r="AI80" s="289">
        <f>AVERAGE(AI77,AI78,AI79)</f>
        <v>3.0333333333333332</v>
      </c>
      <c r="AJ80" s="285">
        <f>AVERAGE(AJ77,AJ78,AJ79)</f>
        <v>1.5999999999999999</v>
      </c>
      <c r="AK80" s="284">
        <f>AVERAGE(AK77,AK78,AK79)</f>
        <v>4.2333333333333334</v>
      </c>
      <c r="AL80" s="224"/>
      <c r="AM80" s="231"/>
      <c r="AN80" s="317">
        <f>AVERAGE(AN77,AN78,AN79)</f>
        <v>0.6333333333333333</v>
      </c>
      <c r="AO80" s="288">
        <f>AVERAGE(AO78,AO79)</f>
        <v>7.3</v>
      </c>
      <c r="AP80" s="224"/>
      <c r="AQ80" s="231"/>
      <c r="AR80" s="317">
        <f>AVERAGE(AR77,AR78,AR79)</f>
        <v>1.3666666666666665</v>
      </c>
      <c r="AS80" s="367">
        <f>AVERAGE(AS77,AS79)</f>
        <v>5.2</v>
      </c>
      <c r="AT80" s="285">
        <f>AVERAGE(AT77,AT78,AT79)</f>
        <v>0.83333333333333337</v>
      </c>
      <c r="AU80" s="284">
        <f>AVERAGE(AU77:AU79)</f>
        <v>4.0333333333333332</v>
      </c>
      <c r="AV80" s="224"/>
      <c r="AW80" s="231"/>
      <c r="AX80" s="317">
        <f>AVERAGE(AX77,AX78,AX79)</f>
        <v>0.5</v>
      </c>
      <c r="AY80" s="284">
        <f>AVERAGE(AY77:AY79)</f>
        <v>6.9666666666666659</v>
      </c>
      <c r="AZ80" s="224"/>
      <c r="BA80" s="231"/>
      <c r="BB80" s="368">
        <f>AVERAGE(BB77,BB78)</f>
        <v>0.16</v>
      </c>
      <c r="BC80" s="367">
        <f>AVERAGE(BC78,BC79)</f>
        <v>2.4500000000000002</v>
      </c>
      <c r="BD80" s="285">
        <f>AVERAGE(BD77,BD78,BD79)</f>
        <v>0.10000000000000002</v>
      </c>
      <c r="BE80" s="288">
        <f>AVERAGE(BE77,BE78)</f>
        <v>5.95</v>
      </c>
      <c r="BF80" s="369"/>
      <c r="BG80" s="370"/>
      <c r="BH80" s="317">
        <f>AVERAGE(BH77,BH78,BH79)</f>
        <v>0.33333333333333331</v>
      </c>
      <c r="BI80" s="284">
        <f>AVERAGE(BI77,BI78,BI79)</f>
        <v>7.0333333333333341</v>
      </c>
      <c r="BJ80" s="224"/>
      <c r="BK80" s="211"/>
      <c r="BL80" s="317">
        <f>AVERAGE(BL77,BL78,BL79)</f>
        <v>1.0333333333333334</v>
      </c>
      <c r="BM80" s="367">
        <f>AVERAGE(BM77,BM79)</f>
        <v>9</v>
      </c>
      <c r="BN80" s="285">
        <f>AVERAGE(BN78,BN79)</f>
        <v>1.25</v>
      </c>
      <c r="BO80" s="288">
        <f>AVERAGE(BO77,BO79)</f>
        <v>11.7</v>
      </c>
      <c r="BP80" s="214"/>
      <c r="BQ80" s="231"/>
      <c r="BR80" s="317">
        <f>AVERAGE(BR77,BR78,BR79)</f>
        <v>0.96666666666666667</v>
      </c>
      <c r="BS80" s="284">
        <f>AVERAGE(BS77,BS78,BS79)</f>
        <v>4.7</v>
      </c>
      <c r="BT80" s="224"/>
      <c r="BU80" s="231"/>
      <c r="BV80" s="317">
        <f>AVERAGE(BV77,BV78,BV79)</f>
        <v>1.8</v>
      </c>
      <c r="BW80" s="367">
        <f>AVERAGE(BW77,BW78)</f>
        <v>7</v>
      </c>
      <c r="BX80" s="285">
        <f>AVERAGE(BX77,BX78,BX79)</f>
        <v>0.63333333333333341</v>
      </c>
      <c r="BY80" s="286">
        <f>AVERAGE(BY77,BY78)</f>
        <v>10.45</v>
      </c>
      <c r="BZ80" s="214"/>
      <c r="CA80" s="211"/>
      <c r="CB80" s="285">
        <f>AVERAGE(CB77,CB78,CB79)</f>
        <v>0.3666666666666667</v>
      </c>
      <c r="CC80" s="288">
        <f>AVERAGE(CC78,CC79)</f>
        <v>10.100000000000001</v>
      </c>
      <c r="CD80" s="371" t="s">
        <v>112</v>
      </c>
      <c r="CE80" s="231"/>
      <c r="CF80" s="317">
        <f>AVERAGE(CF77,CF78)</f>
        <v>1.35</v>
      </c>
      <c r="CG80" s="289">
        <f>AVERAGE(CG77,CG78,CG79)</f>
        <v>19.866666666666667</v>
      </c>
      <c r="CH80" s="285">
        <f>AVERAGE(CH77,CH78,CH79)</f>
        <v>2.0666666666666664</v>
      </c>
      <c r="CI80" s="288">
        <f>AVERAGE(CI77,CI78,CI79)</f>
        <v>19.8</v>
      </c>
      <c r="CJ80" s="296"/>
      <c r="CK80" s="231"/>
      <c r="CL80" s="317">
        <f>AVERAGE(CL77,CL78,CL79)</f>
        <v>1.5333333333333332</v>
      </c>
      <c r="CM80" s="288">
        <f>AVERAGE(CM78,CM79)</f>
        <v>8.4499999999999993</v>
      </c>
      <c r="CN80" s="214"/>
      <c r="CO80" s="231"/>
      <c r="CP80" s="317">
        <f>AVERAGE(CP77,CP78,CP79)</f>
        <v>1.5666666666666667</v>
      </c>
      <c r="CQ80" s="367">
        <f>AVERAGE(CQ78,CQ79)</f>
        <v>13.899999999999999</v>
      </c>
      <c r="CR80" s="285">
        <f>AVERAGE(CR77,CR78,CR79)</f>
        <v>1.9333333333333333</v>
      </c>
      <c r="CS80" s="288">
        <f>AVERAGE(CS77,CS78)</f>
        <v>23</v>
      </c>
      <c r="CT80" s="214"/>
      <c r="CU80" s="231"/>
      <c r="CV80" s="317">
        <f>AVERAGE(CV77,CV78,CV79)</f>
        <v>3.5666666666666664</v>
      </c>
      <c r="CW80" s="284">
        <f>AVERAGE(CW77,CW79)</f>
        <v>17.899999999999999</v>
      </c>
      <c r="CX80" s="224"/>
      <c r="CY80" s="231"/>
      <c r="CZ80" s="317">
        <f>AVERAGE(CZ77,CZ78,CZ79)</f>
        <v>1.6333333333333335</v>
      </c>
      <c r="DA80" s="367">
        <f>AVERAGE(DA78,DA79)</f>
        <v>17.95</v>
      </c>
      <c r="DB80" s="223">
        <f>AVERAGE(DB77,DB78,DB79)</f>
        <v>5.9666666666666677</v>
      </c>
      <c r="DC80" s="288">
        <f>AVERAGE(DC77,DC78)</f>
        <v>21.95</v>
      </c>
      <c r="DD80" s="224"/>
      <c r="DE80" s="231"/>
      <c r="DF80" s="223">
        <f>AVERAGE(DF77,DF78,DF79)</f>
        <v>2.4</v>
      </c>
      <c r="DG80" s="232">
        <f>AVERAGE(DG78,DG79)</f>
        <v>22.6</v>
      </c>
      <c r="DH80" s="317"/>
      <c r="DI80" s="284"/>
      <c r="DJ80" s="285">
        <f>AVERAGE(DJ77,DJ78,DJ79)</f>
        <v>2.0333333333333332</v>
      </c>
      <c r="DK80" s="367">
        <f>AVERAGE(DK78,DK79)</f>
        <v>16.350000000000001</v>
      </c>
      <c r="DL80" s="223">
        <f>AVERAGE(DL77,DL78,DL79)</f>
        <v>2.4666666666666668</v>
      </c>
      <c r="DM80" s="288">
        <f>AVERAGE(DM77,DM79)</f>
        <v>17.600000000000001</v>
      </c>
      <c r="DN80" s="224"/>
      <c r="DO80" s="211"/>
      <c r="DP80" s="223">
        <f>AVERAGE(DP77,DP78,DP79)</f>
        <v>1.1333333333333335</v>
      </c>
      <c r="DQ80" s="232">
        <f>AVERAGE(DQ77,DQ79)</f>
        <v>10.8</v>
      </c>
      <c r="DR80" s="317"/>
      <c r="DS80" s="284"/>
      <c r="DT80" s="285">
        <f>AVERAGE(DT77,DT78,DT79)</f>
        <v>0.63666666666666671</v>
      </c>
      <c r="DU80" s="289">
        <f>AVERAGE(DU77,DU78,DU79)</f>
        <v>13.700000000000001</v>
      </c>
      <c r="DV80" s="223">
        <f>AVERAGE(DV77,DV78,DV79)</f>
        <v>2.23</v>
      </c>
      <c r="DW80" s="251">
        <f>AVERAGE(DW78,DW79)</f>
        <v>19.299999999999997</v>
      </c>
      <c r="DX80" s="224"/>
      <c r="DY80" s="231"/>
      <c r="DZ80" s="223">
        <f>AVERAGE(DZ77,DZ78,DZ79)</f>
        <v>3.9</v>
      </c>
      <c r="EA80" s="232">
        <f>AVERAGE(EA77,EA78)</f>
        <v>18.600000000000001</v>
      </c>
      <c r="EB80" s="317"/>
      <c r="EC80" s="284"/>
      <c r="ED80" s="285">
        <f>AVERAGE(ED77,ED78,ED79)</f>
        <v>1.4666666666666668</v>
      </c>
      <c r="EE80" s="367">
        <f>AVERAGE(EE77,EE78)</f>
        <v>15.950000000000001</v>
      </c>
      <c r="EF80" s="223">
        <f>AVERAGE(EF77,EF78,EF79)</f>
        <v>2</v>
      </c>
      <c r="EG80" s="251">
        <f>AVERAGE(EG77,EG78)</f>
        <v>14.25</v>
      </c>
      <c r="EH80" s="224"/>
      <c r="EI80" s="231"/>
      <c r="EJ80" s="223">
        <f>AVERAGE(EJ77,EJ78,EJ79)</f>
        <v>7.3</v>
      </c>
      <c r="EK80" s="232">
        <f>AVERAGE(EK77,EK78)</f>
        <v>18.299999999999997</v>
      </c>
      <c r="EL80" s="317"/>
      <c r="EM80" s="284"/>
      <c r="EN80" s="285">
        <f>AVERAGE(EN77,EN78,EN79)</f>
        <v>4.2333333333333334</v>
      </c>
      <c r="EO80" s="367">
        <f>AVERAGE(EO77,EO79)</f>
        <v>12.45</v>
      </c>
      <c r="EP80" s="232">
        <f>AVERAGE(EP77,EP78)</f>
        <v>5.75</v>
      </c>
      <c r="EQ80" s="288">
        <f>AVERAGE(EQ77,EQ79)</f>
        <v>12.25</v>
      </c>
      <c r="ER80" s="214"/>
      <c r="ES80" s="211"/>
      <c r="ET80" s="223">
        <f>AVERAGE(ET77,ET78,ET79)</f>
        <v>2.0333333333333332</v>
      </c>
      <c r="EU80" s="232">
        <f>AVERAGE(EU78,EU79)</f>
        <v>15</v>
      </c>
      <c r="EV80" s="317"/>
      <c r="EW80" s="284"/>
      <c r="EX80" s="285">
        <f>AVERAGE(EX77,EX78,EX79)</f>
        <v>3.9</v>
      </c>
      <c r="EY80" s="367">
        <f>AVERAGE(EY77,EY79)</f>
        <v>14.4</v>
      </c>
      <c r="EZ80" s="223">
        <f>AVERAGE(EZ77,EZ78,EZ79)</f>
        <v>22.7</v>
      </c>
      <c r="FA80" s="231">
        <f>AVERAGE(FA77,FA78,FA79)</f>
        <v>24</v>
      </c>
      <c r="FB80" s="224"/>
      <c r="FC80" s="228"/>
      <c r="FD80" s="226">
        <f>AVERAGE(FD77,FD78)</f>
        <v>0.8</v>
      </c>
      <c r="FE80" s="225">
        <f>AVERAGE(FE77,FE78,FE79)</f>
        <v>23.8</v>
      </c>
      <c r="FF80" s="285"/>
      <c r="FG80" s="284"/>
      <c r="FH80" s="285">
        <f>AVERAGE(FH77,FH78,FH79)</f>
        <v>2.2333333333333334</v>
      </c>
      <c r="FI80" s="367">
        <f>AVERAGE(FI77,FI79)</f>
        <v>10.5</v>
      </c>
      <c r="FJ80" s="223">
        <f>AVERAGE(FJ77,FJ78,FJ79)</f>
        <v>1.1666666666666667</v>
      </c>
      <c r="FK80" s="288">
        <f>AVERAGE(FK77,FK78)</f>
        <v>8.8000000000000007</v>
      </c>
      <c r="FL80" s="224"/>
      <c r="FM80" s="211"/>
      <c r="FN80" s="223">
        <f>AVERAGE(FN77,FN78,FN79)</f>
        <v>0.9</v>
      </c>
      <c r="FO80" s="223">
        <f>AVERAGE(FO77,FO78,FO79)</f>
        <v>2.5666666666666664</v>
      </c>
      <c r="FP80" s="317"/>
      <c r="FQ80" s="284"/>
      <c r="FR80" s="285">
        <f>AVERAGE(FR77,FR78,FR79)</f>
        <v>2.2666666666666671</v>
      </c>
      <c r="FS80" s="367">
        <f>AVERAGE(FS77,FS78)</f>
        <v>12.4</v>
      </c>
      <c r="FT80" s="223">
        <f>AVERAGE(FT77,FT78,FT79)</f>
        <v>0.6333333333333333</v>
      </c>
      <c r="FU80" s="284">
        <f>AVERAGE(FU77,FU78,FU79)</f>
        <v>12.466666666666669</v>
      </c>
      <c r="FV80" s="371" t="s">
        <v>112</v>
      </c>
      <c r="FW80" s="372" t="s">
        <v>114</v>
      </c>
      <c r="FX80" s="223">
        <f>AVERAGE(FX77,FX78,FX79)</f>
        <v>4.4333333333333336</v>
      </c>
      <c r="FY80" s="223">
        <f>AVERAGE(FY77,FY78,FY79)</f>
        <v>21.533333333333331</v>
      </c>
      <c r="FZ80" s="368"/>
      <c r="GA80" s="288"/>
      <c r="GB80" s="285">
        <f>AVERAGE(GB77,GB78,GB79)</f>
        <v>1.7666666666666668</v>
      </c>
      <c r="GC80" s="289">
        <f>AVERAGE(GC77,GC78,GC79)</f>
        <v>5.0666666666666664</v>
      </c>
      <c r="GD80" s="232">
        <f>AVERAGE(GD77,GD78)</f>
        <v>18.100000000000001</v>
      </c>
      <c r="GE80" s="227">
        <f>AVERAGE(GE77,GE78)</f>
        <v>12.100000000000001</v>
      </c>
      <c r="GF80" s="214"/>
      <c r="GG80" s="231"/>
      <c r="GH80" s="223">
        <f>AVERAGE(GH77,GH78,GH79)</f>
        <v>1.2333333333333332</v>
      </c>
      <c r="GI80" s="223">
        <f>AVERAGE(GI77,GI78,GI79)</f>
        <v>24</v>
      </c>
      <c r="GJ80" s="317"/>
      <c r="GK80" s="284"/>
      <c r="GL80" s="285">
        <f>AVERAGE(GL77,GL78,GL79)</f>
        <v>1.5666666666666664</v>
      </c>
      <c r="GM80" s="367">
        <f>AVERAGE(GM78,GM79)</f>
        <v>14.649999999999999</v>
      </c>
      <c r="GN80" s="223">
        <f>AVERAGE(GN77,GN78,GN79)</f>
        <v>1.1666666666666667</v>
      </c>
      <c r="GO80" s="284">
        <f>AVERAGE(GO77,GO78,GO79)</f>
        <v>17.666666666666668</v>
      </c>
      <c r="GP80" s="214"/>
      <c r="GQ80" s="231"/>
      <c r="GR80" s="223">
        <f>AVERAGE(GR77,GR78,GR79)</f>
        <v>0.89999999999999991</v>
      </c>
      <c r="GS80" s="223">
        <f>AVERAGE(GS77,GS78,GS79)</f>
        <v>19.433333333333334</v>
      </c>
      <c r="GT80" s="317"/>
      <c r="GU80" s="284"/>
      <c r="GV80" s="285">
        <f>AVERAGE(GV77,GV78,GV79)</f>
        <v>2.3000000000000003</v>
      </c>
      <c r="GW80" s="289">
        <f>AVERAGE(GW77,GW78,GW79)</f>
        <v>23.833333333333332</v>
      </c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</row>
    <row r="81" spans="1:235" x14ac:dyDescent="0.2">
      <c r="A81" s="2"/>
      <c r="B81" s="47"/>
      <c r="C81" s="69" t="s">
        <v>88</v>
      </c>
      <c r="D81" s="240"/>
      <c r="E81" s="373"/>
      <c r="F81" s="38">
        <f>STDEV(F77:F79)</f>
        <v>1.6996749443881478E-17</v>
      </c>
      <c r="G81" s="38">
        <f>STDEV(G77:G79)</f>
        <v>0.30550504633039138</v>
      </c>
      <c r="H81" s="261"/>
      <c r="I81" s="262"/>
      <c r="J81" s="42">
        <f>STDEV(J77:J79)</f>
        <v>0.19999999999999987</v>
      </c>
      <c r="K81" s="40">
        <f>STDEV(K77:K79)</f>
        <v>0.15275252316519644</v>
      </c>
      <c r="L81" s="263"/>
      <c r="M81" s="263"/>
      <c r="N81" s="42">
        <f>STDEV(N77:N79)</f>
        <v>5.7735026918962561E-2</v>
      </c>
      <c r="O81" s="43">
        <f>STDEV(O77,O79)</f>
        <v>0.42426406871192712</v>
      </c>
      <c r="P81" s="38">
        <f>STDEV(P77:P79)</f>
        <v>5.7735026918962581E-2</v>
      </c>
      <c r="Q81" s="40">
        <f>STDEV(Q77:Q79)</f>
        <v>0.5196152422706628</v>
      </c>
      <c r="R81" s="261"/>
      <c r="S81" s="262"/>
      <c r="T81" s="38">
        <f>STDEV(T77:T79)</f>
        <v>1.6996749443881478E-17</v>
      </c>
      <c r="U81" s="38">
        <f>STDEV(U78,U79)</f>
        <v>7.0710678118654821E-2</v>
      </c>
      <c r="V81" s="238"/>
      <c r="W81" s="239"/>
      <c r="X81" s="38">
        <f>STDEV(X77:X79)</f>
        <v>0.19999999999999996</v>
      </c>
      <c r="Y81" s="43">
        <f>STDEV(Y77:Y79)</f>
        <v>0.45092497528228936</v>
      </c>
      <c r="Z81" s="44">
        <f>STDEV(Z78:Z79)</f>
        <v>7.0710678118654974E-2</v>
      </c>
      <c r="AA81" s="40">
        <f>STDEV(AA77,AA79)</f>
        <v>0.14142135623730964</v>
      </c>
      <c r="AB81" s="238"/>
      <c r="AC81" s="239"/>
      <c r="AD81" s="42">
        <f>STDEV(AD78:AD79)</f>
        <v>0.14142135623730956</v>
      </c>
      <c r="AE81" s="40">
        <f>STDEV(AE77:AE79)</f>
        <v>0.6658328118479393</v>
      </c>
      <c r="AF81" s="238"/>
      <c r="AG81" s="239"/>
      <c r="AH81" s="42">
        <f>STDEV(AH77:AH79)</f>
        <v>1.6996749443881478E-17</v>
      </c>
      <c r="AI81" s="43">
        <f>STDEV(AI77:AI79)</f>
        <v>0.4163331998932292</v>
      </c>
      <c r="AJ81" s="44">
        <f>STDEV(AJ77:AJ79)</f>
        <v>0.17320508075688776</v>
      </c>
      <c r="AK81" s="40">
        <f>STDEV(AK77:AK79)</f>
        <v>0.642910050732867</v>
      </c>
      <c r="AL81" s="238"/>
      <c r="AM81" s="239"/>
      <c r="AN81" s="42">
        <f>STDEV(AN77:AN79)</f>
        <v>0.11547005383792504</v>
      </c>
      <c r="AO81" s="40">
        <f>STDEV(AO78:AO79)</f>
        <v>0.70710678118654757</v>
      </c>
      <c r="AP81" s="238"/>
      <c r="AQ81" s="239"/>
      <c r="AR81" s="42">
        <f>STDEV(AR77:AR79)</f>
        <v>5.7735026918962498E-2</v>
      </c>
      <c r="AS81" s="43">
        <f>STDEV(AS77,AS79)</f>
        <v>0.70710678118654757</v>
      </c>
      <c r="AT81" s="38">
        <f>STDEV(AT77:AT79)</f>
        <v>0.15275252316519425</v>
      </c>
      <c r="AU81" s="40">
        <f>STDEV(AU77:AU79)</f>
        <v>0.75055534994651296</v>
      </c>
      <c r="AV81" s="240"/>
      <c r="AW81" s="239"/>
      <c r="AX81" s="42">
        <f>STDEV(AX77:AX79)</f>
        <v>0</v>
      </c>
      <c r="AY81" s="38">
        <f>STDEV(AY77:AY79)</f>
        <v>0.51316014394468834</v>
      </c>
      <c r="AZ81" s="238"/>
      <c r="BA81" s="239"/>
      <c r="BB81" s="38">
        <f>STDEV(BB77:BB78)</f>
        <v>5.6568542494923817E-2</v>
      </c>
      <c r="BC81" s="43">
        <f>STDEV(BC78:BC79)</f>
        <v>0.49497474683058068</v>
      </c>
      <c r="BD81" s="38">
        <f>STDEV(BD77:BD79)</f>
        <v>1.6996749443881478E-17</v>
      </c>
      <c r="BE81" s="40">
        <f>STDEV(BE77:BE78)</f>
        <v>0.63639610306789296</v>
      </c>
      <c r="BF81" s="240"/>
      <c r="BG81" s="239"/>
      <c r="BH81" s="42">
        <f>STDEV(BH77:BH79)</f>
        <v>0.1154700538379254</v>
      </c>
      <c r="BI81" s="38">
        <f>STDEV(BI77:BI79)</f>
        <v>0.75055534994651341</v>
      </c>
      <c r="BJ81" s="238"/>
      <c r="BK81" s="239"/>
      <c r="BL81" s="38">
        <f>STDEV(BL77:BL79)</f>
        <v>0.20816659994661302</v>
      </c>
      <c r="BM81" s="43">
        <f>STDEV(BM77,BM79)</f>
        <v>0.141421356237309</v>
      </c>
      <c r="BN81" s="38">
        <f>STDEV(BN78:BN79)</f>
        <v>7.0710678118654821E-2</v>
      </c>
      <c r="BO81" s="40">
        <f>STDEV(BO77,BO79)</f>
        <v>1.9798989873223372</v>
      </c>
      <c r="BP81" s="238"/>
      <c r="BQ81" s="262"/>
      <c r="BR81" s="42">
        <f>STDEV(BR77:BR79)</f>
        <v>0.35118845842842489</v>
      </c>
      <c r="BS81" s="38">
        <f>STDEV(BS77:BS79)</f>
        <v>0.78102496759066053</v>
      </c>
      <c r="BT81" s="261"/>
      <c r="BU81" s="262"/>
      <c r="BV81" s="38">
        <f>STDEV(BV77:BV79)</f>
        <v>0.29999999999999977</v>
      </c>
      <c r="BW81" s="43">
        <f>STDEV(BW77:BW78)</f>
        <v>1.1313708498984765</v>
      </c>
      <c r="BX81" s="38">
        <f>STDEV(BX77:BX79)</f>
        <v>0.28867513459481292</v>
      </c>
      <c r="BY81" s="38">
        <f>STDEV(BY77:BY78)</f>
        <v>0.49497474683058401</v>
      </c>
      <c r="BZ81" s="238"/>
      <c r="CA81" s="239"/>
      <c r="CB81" s="38">
        <f>STDEV(CB77:CB79)</f>
        <v>0.46188021535170065</v>
      </c>
      <c r="CC81" s="38">
        <f>STDEV(CC78:CC79)</f>
        <v>0.42426406871192823</v>
      </c>
      <c r="CD81" s="261"/>
      <c r="CE81" s="262"/>
      <c r="CF81" s="38">
        <f>STDEV(CF77:CF79)</f>
        <v>0.49328828623162435</v>
      </c>
      <c r="CG81" s="43">
        <f>STDEV(CG77:CG79)</f>
        <v>0.51316014394468834</v>
      </c>
      <c r="CH81" s="38">
        <f>STDEV(CH77:CH79)</f>
        <v>0.1527525231651948</v>
      </c>
      <c r="CI81" s="40">
        <f>STDEV(CI77:CI78)</f>
        <v>1.8384776310850222</v>
      </c>
      <c r="CJ81" s="353"/>
      <c r="CK81" s="262"/>
      <c r="CL81" s="42">
        <f>STDEV(CL77:CL79)</f>
        <v>0.15275252316519469</v>
      </c>
      <c r="CM81" s="38">
        <f>STDEV(CM78:CM79)</f>
        <v>0.63639610306789296</v>
      </c>
      <c r="CN81" s="238"/>
      <c r="CO81" s="262"/>
      <c r="CP81" s="38">
        <f>STDEV(CP77:CP79)</f>
        <v>0.32145502536643139</v>
      </c>
      <c r="CQ81" s="43">
        <f>STDEV(CQ78:CQ79)</f>
        <v>0.42426406871192823</v>
      </c>
      <c r="CR81" s="38">
        <f>STDEV(CR77:CR79)</f>
        <v>0.41633319989322709</v>
      </c>
      <c r="CS81" s="40">
        <f>STDEV(CS77:CS78)</f>
        <v>0</v>
      </c>
      <c r="CT81" s="238"/>
      <c r="CU81" s="239"/>
      <c r="CV81" s="42">
        <f>STDEV(CV77:CV79)</f>
        <v>0.55075705472861458</v>
      </c>
      <c r="CW81" s="38">
        <f>STDEV(CW77,CW79)</f>
        <v>1.9798989873223336</v>
      </c>
      <c r="CX81" s="261"/>
      <c r="CY81" s="262"/>
      <c r="CZ81" s="38">
        <f>STDEV(CZ77:CZ79)</f>
        <v>0.41633319989322604</v>
      </c>
      <c r="DA81" s="43">
        <f>STDEV(DA78:DA79)</f>
        <v>2.89913780286484</v>
      </c>
      <c r="DB81" s="38">
        <f>STDEV(DB77:DB79)</f>
        <v>1.5307950004273356</v>
      </c>
      <c r="DC81" s="40">
        <f>STDEV(DC77:DC78)</f>
        <v>2.1920310216782983</v>
      </c>
      <c r="DD81" s="261"/>
      <c r="DE81" s="262"/>
      <c r="DF81" s="38">
        <f>STDEV(DF77:DF79)</f>
        <v>0.96436507609929534</v>
      </c>
      <c r="DG81" s="38">
        <f>STDEV(DG78:DG79)</f>
        <v>2.2627416997969516</v>
      </c>
      <c r="DH81" s="261"/>
      <c r="DI81" s="262"/>
      <c r="DJ81" s="38">
        <f>STDEV(DJ77:DJ79)</f>
        <v>0.47258156262526302</v>
      </c>
      <c r="DK81" s="43">
        <f>STDEV(DK78:DK79)</f>
        <v>2.1920310216782957</v>
      </c>
      <c r="DL81" s="38">
        <f>STDEV(DL77:DL79)</f>
        <v>0.83266639978645307</v>
      </c>
      <c r="DM81" s="40">
        <f>STDEV(DM77,DM79)</f>
        <v>0.42426406871192701</v>
      </c>
      <c r="DN81" s="261"/>
      <c r="DO81" s="239"/>
      <c r="DP81" s="38">
        <f>STDEV(DP77:DP79)</f>
        <v>0.41633319989322681</v>
      </c>
      <c r="DQ81" s="38">
        <f>STDEV(DQ77,DQ79)</f>
        <v>1.5556349186103915</v>
      </c>
      <c r="DR81" s="261"/>
      <c r="DS81" s="262"/>
      <c r="DT81" s="38">
        <f>STDEV(DT77:DT79)</f>
        <v>6.350852961085883E-2</v>
      </c>
      <c r="DU81" s="43">
        <f>STDEV(DU77:DU79)</f>
        <v>1.7691806012954119</v>
      </c>
      <c r="DV81" s="38">
        <f>STDEV(DV77:DV79)</f>
        <v>0.65551506466289644</v>
      </c>
      <c r="DW81" s="40">
        <f>STDEV(DW78:DW79)</f>
        <v>2.2627416997969516</v>
      </c>
      <c r="DX81" s="261"/>
      <c r="DY81" s="262"/>
      <c r="DZ81" s="38">
        <f>STDEV(DZ77:DZ79)</f>
        <v>0.96436507609929722</v>
      </c>
      <c r="EA81" s="38">
        <f>STDEV(EA77:EA78)</f>
        <v>1.6970562748477156</v>
      </c>
      <c r="EB81" s="261"/>
      <c r="EC81" s="262"/>
      <c r="ED81" s="38">
        <f>STDEV(ED77:ED79)</f>
        <v>0.45092497528228875</v>
      </c>
      <c r="EE81" s="43">
        <f>STDEV(EE77:EE78)</f>
        <v>0.9192388155425123</v>
      </c>
      <c r="EF81" s="38">
        <f>STDEV(EF77:EF79)</f>
        <v>0.43588989435406783</v>
      </c>
      <c r="EG81" s="40">
        <f>STDEV(EG77:EG78)</f>
        <v>1.3435028842544392</v>
      </c>
      <c r="EH81" s="261"/>
      <c r="EI81" s="262"/>
      <c r="EJ81" s="38">
        <f>STDEV(EJ77:EJ79)</f>
        <v>0.72111025509279802</v>
      </c>
      <c r="EK81" s="38">
        <f>STDEV(EK77:EK78)</f>
        <v>0.56568542494923857</v>
      </c>
      <c r="EL81" s="261"/>
      <c r="EM81" s="262"/>
      <c r="EN81" s="38">
        <f>STDEV(EN77:EN79)</f>
        <v>0.80829037686547556</v>
      </c>
      <c r="EO81" s="43">
        <f>STDEV(EO77,EO79)</f>
        <v>0.35355339059327379</v>
      </c>
      <c r="EP81" s="38">
        <f>STDEV(EP77:EP78)</f>
        <v>1.0606601717798212</v>
      </c>
      <c r="EQ81" s="40">
        <f>STDEV(EQ77,EQ79)</f>
        <v>0.9192388155425123</v>
      </c>
      <c r="ER81" s="238"/>
      <c r="ES81" s="239"/>
      <c r="ET81" s="38">
        <f>STDEV(ET77:ET79)</f>
        <v>0.1527525231651948</v>
      </c>
      <c r="EU81" s="38">
        <f>STDEV(EU78:EU79)</f>
        <v>2.404163056034256</v>
      </c>
      <c r="EV81" s="261"/>
      <c r="EW81" s="262"/>
      <c r="EX81" s="38">
        <f>STDEV(EX77:EX79)</f>
        <v>0.19999999999999973</v>
      </c>
      <c r="EY81" s="43">
        <f>STDEV(EY77,EY79)</f>
        <v>2.404163056034256</v>
      </c>
      <c r="EZ81" s="38">
        <f>STDEV(EZ77:EZ79)</f>
        <v>1.7521415467935233</v>
      </c>
      <c r="FA81" s="40">
        <f>STDEV(FA77:FA79)</f>
        <v>0.79372539331937708</v>
      </c>
      <c r="FB81" s="261"/>
      <c r="FC81" s="263"/>
      <c r="FD81" s="42">
        <f>STDEV(FD77:FD78)</f>
        <v>0</v>
      </c>
      <c r="FE81" s="40">
        <f>STDEV(FE77:FE79)</f>
        <v>1.2489995996796792</v>
      </c>
      <c r="FF81" s="263"/>
      <c r="FG81" s="262"/>
      <c r="FH81" s="38">
        <f>STDEV(FH77:FH79)</f>
        <v>0.64291005073286422</v>
      </c>
      <c r="FI81" s="43">
        <f>STDEV(FI77,FI79)</f>
        <v>2.2627416997969529</v>
      </c>
      <c r="FJ81" s="38">
        <f>STDEV(FJ77:FJ79)</f>
        <v>0.4509249752822897</v>
      </c>
      <c r="FK81" s="40">
        <f>STDEV(FK77:FK78)</f>
        <v>1.1313708498984758</v>
      </c>
      <c r="FL81" s="238"/>
      <c r="FM81" s="239"/>
      <c r="FN81" s="38">
        <f>STDEV(FN77:FN79)</f>
        <v>0.26457513110645919</v>
      </c>
      <c r="FO81" s="38">
        <f>STDEV(FO77:FO79)</f>
        <v>0.6658328118479393</v>
      </c>
      <c r="FP81" s="261"/>
      <c r="FQ81" s="262"/>
      <c r="FR81" s="38">
        <f>STDEV(FR77:FR79)</f>
        <v>0.76376261582597316</v>
      </c>
      <c r="FS81" s="43">
        <f>STDEV(FS77:FS78)</f>
        <v>0.84852813742385658</v>
      </c>
      <c r="FT81" s="38">
        <f>STDEV(FT77:FT79)</f>
        <v>0.35118845842842472</v>
      </c>
      <c r="FU81" s="40">
        <f>STDEV(FU77:FU79)</f>
        <v>0.73711147958319978</v>
      </c>
      <c r="FV81" s="238"/>
      <c r="FW81" s="239"/>
      <c r="FX81" s="38">
        <f>STDEV(FX77:FX79)</f>
        <v>0.15275252316519453</v>
      </c>
      <c r="FY81" s="38">
        <f>STDEV(FY77:FY79)</f>
        <v>1.2423096769056141</v>
      </c>
      <c r="FZ81" s="261"/>
      <c r="GA81" s="262"/>
      <c r="GB81" s="38">
        <f>STDEV(GB77:GB79)</f>
        <v>0.90737717258774664</v>
      </c>
      <c r="GC81" s="43">
        <f>STDEV(GC77:GC79)</f>
        <v>0.41633319989322692</v>
      </c>
      <c r="GD81" s="38">
        <f>STDEV(GD77:GD78)</f>
        <v>0.84852813742385647</v>
      </c>
      <c r="GE81" s="40">
        <f>STDEV(GE77:GE78)</f>
        <v>0.9899494936611668</v>
      </c>
      <c r="GF81" s="238"/>
      <c r="GG81" s="262"/>
      <c r="GH81" s="38">
        <f>STDEV(GH77:GH79)</f>
        <v>0.28867513459481314</v>
      </c>
      <c r="GI81" s="38">
        <f>STDEV(GI77:GI79)</f>
        <v>0.556776436283003</v>
      </c>
      <c r="GJ81" s="261"/>
      <c r="GK81" s="262"/>
      <c r="GL81" s="38">
        <f>STDEV(GL77:GL79)</f>
        <v>0.64291005073286456</v>
      </c>
      <c r="GM81" s="43">
        <f>STDEV(GM78:GM79)</f>
        <v>0.77781745930520196</v>
      </c>
      <c r="GN81" s="38">
        <f>STDEV(GN77:GN79)</f>
        <v>0.50332229568471676</v>
      </c>
      <c r="GO81" s="40">
        <f>STDEV(GO77:GO79)</f>
        <v>0.87368949480541003</v>
      </c>
      <c r="GP81" s="261"/>
      <c r="GQ81" s="262"/>
      <c r="GR81" s="38">
        <f>STDEV(GR77:GR79)</f>
        <v>0.43588989435406805</v>
      </c>
      <c r="GS81" s="38">
        <f>STDEV(GS77:GS79)</f>
        <v>0.15275252316519528</v>
      </c>
      <c r="GT81" s="261"/>
      <c r="GU81" s="262"/>
      <c r="GV81" s="38">
        <f>STDEV(GV77:GV79)</f>
        <v>0.29999999999999827</v>
      </c>
      <c r="GW81" s="43">
        <f>STDEV(GW77:GW79)</f>
        <v>0.51316014394468834</v>
      </c>
    </row>
    <row r="82" spans="1:235" x14ac:dyDescent="0.2">
      <c r="A82" s="2"/>
      <c r="B82" s="205" t="s">
        <v>115</v>
      </c>
      <c r="C82" s="23">
        <v>1</v>
      </c>
      <c r="D82" s="210"/>
      <c r="E82" s="295"/>
      <c r="F82" s="9">
        <v>5</v>
      </c>
      <c r="G82" s="9">
        <v>23</v>
      </c>
      <c r="H82" s="214"/>
      <c r="I82" s="211"/>
      <c r="J82" s="25">
        <v>16.399999999999999</v>
      </c>
      <c r="K82" s="26">
        <v>20.9</v>
      </c>
      <c r="L82" s="210"/>
      <c r="M82" s="210"/>
      <c r="N82" s="25">
        <v>19.100000000000001</v>
      </c>
      <c r="O82" s="30">
        <v>18.399999999999999</v>
      </c>
      <c r="P82" s="9">
        <v>18.399999999999999</v>
      </c>
      <c r="Q82" s="26">
        <v>18.899999999999999</v>
      </c>
      <c r="R82" s="214"/>
      <c r="S82" s="211"/>
      <c r="T82" s="9">
        <v>19.5</v>
      </c>
      <c r="U82" s="9">
        <v>18.100000000000001</v>
      </c>
      <c r="V82" s="214"/>
      <c r="W82" s="211"/>
      <c r="X82" s="9">
        <v>18.7</v>
      </c>
      <c r="Y82" s="30">
        <v>17.8</v>
      </c>
      <c r="Z82" s="9">
        <v>20</v>
      </c>
      <c r="AA82" s="26">
        <v>18.7</v>
      </c>
      <c r="AB82" s="214"/>
      <c r="AC82" s="211"/>
      <c r="AD82" s="9">
        <v>22.1</v>
      </c>
      <c r="AE82" s="9">
        <v>20.100000000000001</v>
      </c>
      <c r="AF82" s="214"/>
      <c r="AG82" s="211"/>
      <c r="AH82" s="9">
        <v>20.3</v>
      </c>
      <c r="AI82" s="30">
        <v>25.1</v>
      </c>
      <c r="AJ82" s="9">
        <v>18.5</v>
      </c>
      <c r="AK82" s="28">
        <v>22</v>
      </c>
      <c r="AL82" s="214"/>
      <c r="AM82" s="211"/>
      <c r="AN82" s="2">
        <v>20.5</v>
      </c>
      <c r="AO82" s="2">
        <v>19.2</v>
      </c>
      <c r="AP82" s="214"/>
      <c r="AQ82" s="211"/>
      <c r="AR82" s="2">
        <v>21.6</v>
      </c>
      <c r="AS82" s="4">
        <v>21.2</v>
      </c>
      <c r="AT82" s="9">
        <v>22.7</v>
      </c>
      <c r="AU82" s="28">
        <v>18.3</v>
      </c>
      <c r="AV82" s="214"/>
      <c r="AW82" s="211"/>
      <c r="AX82" s="2">
        <v>20.100000000000001</v>
      </c>
      <c r="AY82" s="2">
        <v>19.600000000000001</v>
      </c>
      <c r="AZ82" s="214"/>
      <c r="BA82" s="211"/>
      <c r="BB82" s="2">
        <v>20.399999999999999</v>
      </c>
      <c r="BC82" s="4">
        <v>19</v>
      </c>
      <c r="BD82" s="9"/>
      <c r="BE82" s="28"/>
      <c r="BF82" s="335">
        <v>19.5</v>
      </c>
      <c r="BG82" s="365">
        <v>18.899999999999999</v>
      </c>
      <c r="BH82" s="9"/>
      <c r="BI82" s="2"/>
      <c r="BJ82" s="335">
        <v>23</v>
      </c>
      <c r="BK82" s="365">
        <v>19.600000000000001</v>
      </c>
      <c r="BL82" s="2">
        <v>21.25</v>
      </c>
      <c r="BM82" s="4">
        <v>19.25</v>
      </c>
      <c r="BN82" s="297"/>
      <c r="BO82" s="211"/>
      <c r="BP82" s="214"/>
      <c r="BQ82" s="211"/>
      <c r="BR82" s="297"/>
      <c r="BS82" s="210"/>
      <c r="BT82" s="214"/>
      <c r="BU82" s="211"/>
      <c r="BV82" s="2">
        <v>21</v>
      </c>
      <c r="BW82" s="4">
        <v>21</v>
      </c>
      <c r="BX82" s="297"/>
      <c r="BY82" s="211"/>
      <c r="BZ82" s="214"/>
      <c r="CA82" s="211"/>
      <c r="CB82" s="297"/>
      <c r="CC82" s="210"/>
      <c r="CD82" s="214"/>
      <c r="CE82" s="211"/>
      <c r="CF82" s="167">
        <v>42</v>
      </c>
      <c r="CG82" s="374"/>
      <c r="CH82" s="297"/>
      <c r="CI82" s="211"/>
      <c r="CJ82" s="214"/>
      <c r="CK82" s="211"/>
      <c r="CL82" s="297"/>
      <c r="CM82" s="210"/>
      <c r="CN82" s="214"/>
      <c r="CO82" s="211"/>
      <c r="CP82" s="2">
        <v>39</v>
      </c>
      <c r="CQ82" s="4">
        <v>28</v>
      </c>
      <c r="CR82" s="297"/>
      <c r="CS82" s="211"/>
      <c r="CT82" s="214"/>
      <c r="CU82" s="211"/>
      <c r="CV82" s="297"/>
      <c r="CW82" s="210"/>
      <c r="CX82" s="214"/>
      <c r="CY82" s="211"/>
      <c r="CZ82" s="2">
        <v>29</v>
      </c>
      <c r="DA82" s="4">
        <v>21</v>
      </c>
      <c r="DB82" s="297"/>
      <c r="DC82" s="298"/>
      <c r="DD82" s="214"/>
      <c r="DE82" s="211"/>
      <c r="DF82" s="297"/>
      <c r="DG82" s="297"/>
      <c r="DH82" s="214"/>
      <c r="DI82" s="211"/>
      <c r="DJ82" s="62">
        <v>42</v>
      </c>
      <c r="DK82" s="83">
        <v>25</v>
      </c>
      <c r="DL82" s="297"/>
      <c r="DM82" s="298"/>
      <c r="DN82" s="214"/>
      <c r="DO82" s="211"/>
      <c r="DP82" s="297"/>
      <c r="DQ82" s="297"/>
      <c r="DR82" s="214"/>
      <c r="DS82" s="211"/>
      <c r="DT82" s="62">
        <v>35</v>
      </c>
      <c r="DU82" s="83">
        <v>29</v>
      </c>
      <c r="DV82" s="297"/>
      <c r="DW82" s="298"/>
      <c r="DX82" s="214"/>
      <c r="DY82" s="211"/>
      <c r="DZ82" s="297"/>
      <c r="EA82" s="297"/>
      <c r="EB82" s="214"/>
      <c r="EC82" s="211"/>
      <c r="ED82" s="9">
        <v>35</v>
      </c>
      <c r="EE82" s="30">
        <v>31</v>
      </c>
      <c r="EF82" s="297"/>
      <c r="EG82" s="298"/>
      <c r="EH82" s="214"/>
      <c r="EI82" s="211"/>
      <c r="EJ82" s="297"/>
      <c r="EK82" s="297"/>
      <c r="EL82" s="214"/>
      <c r="EM82" s="211"/>
      <c r="EN82" s="9">
        <v>34</v>
      </c>
      <c r="EO82" s="30">
        <v>32</v>
      </c>
      <c r="EP82" s="297"/>
      <c r="EQ82" s="298"/>
      <c r="ER82" s="214"/>
      <c r="ES82" s="211"/>
      <c r="ET82" s="297"/>
      <c r="EU82" s="297"/>
      <c r="EV82" s="214"/>
      <c r="EW82" s="211"/>
      <c r="EX82" s="9">
        <v>35</v>
      </c>
      <c r="EY82" s="30">
        <v>22</v>
      </c>
      <c r="EZ82" s="297"/>
      <c r="FA82" s="298"/>
      <c r="FB82" s="214"/>
      <c r="FC82" s="210"/>
      <c r="FD82" s="296"/>
      <c r="FE82" s="298"/>
      <c r="FF82" s="210"/>
      <c r="FG82" s="211"/>
      <c r="FH82" s="9">
        <v>45</v>
      </c>
      <c r="FI82" s="30">
        <v>25</v>
      </c>
      <c r="FJ82" s="297"/>
      <c r="FK82" s="298"/>
      <c r="FL82" s="214"/>
      <c r="FM82" s="211"/>
      <c r="FN82" s="297"/>
      <c r="FO82" s="297"/>
      <c r="FP82" s="214"/>
      <c r="FQ82" s="211"/>
      <c r="FR82" s="9">
        <v>32</v>
      </c>
      <c r="FS82" s="30">
        <v>31</v>
      </c>
      <c r="FT82" s="297"/>
      <c r="FU82" s="298"/>
      <c r="FV82" s="214"/>
      <c r="FW82" s="211"/>
      <c r="FX82" s="297"/>
      <c r="FY82" s="297"/>
      <c r="FZ82" s="214"/>
      <c r="GA82" s="211"/>
      <c r="GB82" s="62">
        <v>40</v>
      </c>
      <c r="GC82" s="83">
        <v>30</v>
      </c>
      <c r="GD82" s="297"/>
      <c r="GE82" s="298"/>
      <c r="GF82" s="214"/>
      <c r="GG82" s="211"/>
      <c r="GH82" s="297"/>
      <c r="GI82" s="297"/>
      <c r="GJ82" s="214"/>
      <c r="GK82" s="211"/>
      <c r="GL82" s="62">
        <v>54</v>
      </c>
      <c r="GM82" s="83">
        <v>44</v>
      </c>
      <c r="GN82" s="297"/>
      <c r="GO82" s="298"/>
      <c r="GP82" s="214"/>
      <c r="GQ82" s="211"/>
      <c r="GR82" s="297"/>
      <c r="GS82" s="297"/>
      <c r="GT82" s="214"/>
      <c r="GU82" s="211"/>
      <c r="GV82" s="62">
        <v>39</v>
      </c>
      <c r="GW82" s="83">
        <v>35</v>
      </c>
    </row>
    <row r="83" spans="1:235" x14ac:dyDescent="0.2">
      <c r="A83" s="2"/>
      <c r="B83" s="3"/>
      <c r="C83" s="23">
        <v>2</v>
      </c>
      <c r="D83" s="210"/>
      <c r="E83" s="295"/>
      <c r="F83" s="9">
        <v>5.0999999999999996</v>
      </c>
      <c r="G83" s="9">
        <v>22.7</v>
      </c>
      <c r="H83" s="214"/>
      <c r="I83" s="211"/>
      <c r="J83" s="25">
        <v>15.7</v>
      </c>
      <c r="K83" s="26">
        <v>21.7</v>
      </c>
      <c r="L83" s="210"/>
      <c r="M83" s="210"/>
      <c r="N83" s="25">
        <v>18.899999999999999</v>
      </c>
      <c r="O83" s="30">
        <v>18.2</v>
      </c>
      <c r="P83" s="9">
        <v>19</v>
      </c>
      <c r="Q83" s="26">
        <v>18</v>
      </c>
      <c r="R83" s="214"/>
      <c r="S83" s="211"/>
      <c r="T83" s="9">
        <v>19.3</v>
      </c>
      <c r="U83" s="9">
        <v>18.5</v>
      </c>
      <c r="V83" s="214"/>
      <c r="W83" s="211"/>
      <c r="X83" s="9">
        <v>18.899999999999999</v>
      </c>
      <c r="Y83" s="30">
        <v>18.3</v>
      </c>
      <c r="Z83" s="9">
        <v>19.5</v>
      </c>
      <c r="AA83" s="26">
        <v>17.8</v>
      </c>
      <c r="AB83" s="214"/>
      <c r="AC83" s="211"/>
      <c r="AD83" s="9">
        <v>21.9</v>
      </c>
      <c r="AE83" s="9">
        <v>20.100000000000001</v>
      </c>
      <c r="AF83" s="214"/>
      <c r="AG83" s="211"/>
      <c r="AH83" s="9">
        <v>20.3</v>
      </c>
      <c r="AI83" s="30">
        <v>25.2</v>
      </c>
      <c r="AJ83" s="9">
        <v>19.7</v>
      </c>
      <c r="AK83" s="28">
        <v>21.5</v>
      </c>
      <c r="AL83" s="214"/>
      <c r="AM83" s="211"/>
      <c r="AN83" s="2">
        <v>20.6</v>
      </c>
      <c r="AO83" s="2">
        <v>19.8</v>
      </c>
      <c r="AP83" s="214"/>
      <c r="AQ83" s="211"/>
      <c r="AR83" s="2">
        <v>21.7</v>
      </c>
      <c r="AS83" s="4">
        <v>20.9</v>
      </c>
      <c r="AT83" s="9">
        <v>22.6</v>
      </c>
      <c r="AU83" s="28">
        <v>19.5</v>
      </c>
      <c r="AV83" s="214"/>
      <c r="AW83" s="211"/>
      <c r="AX83" s="2">
        <v>20.100000000000001</v>
      </c>
      <c r="AY83" s="2">
        <v>20.6</v>
      </c>
      <c r="AZ83" s="214"/>
      <c r="BA83" s="211"/>
      <c r="BB83" s="2">
        <v>20.2</v>
      </c>
      <c r="BC83" s="4">
        <v>18.899999999999999</v>
      </c>
      <c r="BD83" s="9"/>
      <c r="BE83" s="28"/>
      <c r="BF83" s="335">
        <v>19.5</v>
      </c>
      <c r="BG83" s="365">
        <v>18.7</v>
      </c>
      <c r="BH83" s="9"/>
      <c r="BI83" s="2"/>
      <c r="BJ83" s="335">
        <v>23.5</v>
      </c>
      <c r="BK83" s="365">
        <v>19.3</v>
      </c>
      <c r="BL83" s="2">
        <v>21.5</v>
      </c>
      <c r="BM83" s="4">
        <v>19</v>
      </c>
      <c r="BN83" s="297"/>
      <c r="BO83" s="211"/>
      <c r="BP83" s="214"/>
      <c r="BQ83" s="211"/>
      <c r="BR83" s="297"/>
      <c r="BS83" s="210"/>
      <c r="BT83" s="214"/>
      <c r="BU83" s="211"/>
      <c r="BV83" s="2">
        <v>21</v>
      </c>
      <c r="BW83" s="4">
        <v>21</v>
      </c>
      <c r="BX83" s="297"/>
      <c r="BY83" s="211"/>
      <c r="BZ83" s="214"/>
      <c r="CA83" s="211"/>
      <c r="CB83" s="297"/>
      <c r="CC83" s="210"/>
      <c r="CD83" s="214"/>
      <c r="CE83" s="211"/>
      <c r="CF83" s="167">
        <v>42</v>
      </c>
      <c r="CG83" s="374"/>
      <c r="CH83" s="297"/>
      <c r="CI83" s="211"/>
      <c r="CJ83" s="214"/>
      <c r="CK83" s="211"/>
      <c r="CL83" s="297"/>
      <c r="CM83" s="210"/>
      <c r="CN83" s="214"/>
      <c r="CO83" s="211"/>
      <c r="CP83" s="2">
        <v>38</v>
      </c>
      <c r="CQ83" s="4">
        <v>27</v>
      </c>
      <c r="CR83" s="297"/>
      <c r="CS83" s="211"/>
      <c r="CT83" s="214"/>
      <c r="CU83" s="211"/>
      <c r="CV83" s="297"/>
      <c r="CW83" s="210"/>
      <c r="CX83" s="214"/>
      <c r="CY83" s="211"/>
      <c r="CZ83" s="2">
        <v>29</v>
      </c>
      <c r="DA83" s="4">
        <v>22</v>
      </c>
      <c r="DB83" s="297"/>
      <c r="DC83" s="298"/>
      <c r="DD83" s="214"/>
      <c r="DE83" s="211"/>
      <c r="DF83" s="297"/>
      <c r="DG83" s="297"/>
      <c r="DH83" s="214"/>
      <c r="DI83" s="211"/>
      <c r="DJ83" s="62">
        <v>43</v>
      </c>
      <c r="DK83" s="83">
        <v>25</v>
      </c>
      <c r="DL83" s="297"/>
      <c r="DM83" s="298"/>
      <c r="DN83" s="214"/>
      <c r="DO83" s="211"/>
      <c r="DP83" s="297"/>
      <c r="DQ83" s="297"/>
      <c r="DR83" s="214"/>
      <c r="DS83" s="211"/>
      <c r="DT83" s="62">
        <v>36</v>
      </c>
      <c r="DU83" s="83">
        <v>29</v>
      </c>
      <c r="DV83" s="297"/>
      <c r="DW83" s="298"/>
      <c r="DX83" s="214"/>
      <c r="DY83" s="211"/>
      <c r="DZ83" s="297"/>
      <c r="EA83" s="297"/>
      <c r="EB83" s="214"/>
      <c r="EC83" s="211"/>
      <c r="ED83" s="9">
        <v>34</v>
      </c>
      <c r="EE83" s="30">
        <v>31</v>
      </c>
      <c r="EF83" s="297"/>
      <c r="EG83" s="298"/>
      <c r="EH83" s="214"/>
      <c r="EI83" s="211"/>
      <c r="EJ83" s="297"/>
      <c r="EK83" s="297"/>
      <c r="EL83" s="214"/>
      <c r="EM83" s="211"/>
      <c r="EN83" s="9">
        <v>34</v>
      </c>
      <c r="EO83" s="30">
        <v>29</v>
      </c>
      <c r="EP83" s="297"/>
      <c r="EQ83" s="298"/>
      <c r="ER83" s="214"/>
      <c r="ES83" s="211"/>
      <c r="ET83" s="297"/>
      <c r="EU83" s="297"/>
      <c r="EV83" s="214"/>
      <c r="EW83" s="211"/>
      <c r="EX83" s="9">
        <v>37</v>
      </c>
      <c r="EY83" s="30">
        <v>23</v>
      </c>
      <c r="EZ83" s="297"/>
      <c r="FA83" s="298"/>
      <c r="FB83" s="214"/>
      <c r="FC83" s="210"/>
      <c r="FD83" s="296"/>
      <c r="FE83" s="298"/>
      <c r="FF83" s="210"/>
      <c r="FG83" s="211"/>
      <c r="FH83" s="9">
        <v>48</v>
      </c>
      <c r="FI83" s="30">
        <v>25</v>
      </c>
      <c r="FJ83" s="297"/>
      <c r="FK83" s="298"/>
      <c r="FL83" s="214"/>
      <c r="FM83" s="211"/>
      <c r="FN83" s="297"/>
      <c r="FO83" s="297"/>
      <c r="FP83" s="214"/>
      <c r="FQ83" s="211"/>
      <c r="FR83" s="9">
        <v>32</v>
      </c>
      <c r="FS83" s="30">
        <v>31</v>
      </c>
      <c r="FT83" s="297"/>
      <c r="FU83" s="298"/>
      <c r="FV83" s="214"/>
      <c r="FW83" s="211"/>
      <c r="FX83" s="297"/>
      <c r="FY83" s="297"/>
      <c r="FZ83" s="214"/>
      <c r="GA83" s="211"/>
      <c r="GB83" s="62">
        <v>43</v>
      </c>
      <c r="GC83" s="83">
        <v>31</v>
      </c>
      <c r="GD83" s="297"/>
      <c r="GE83" s="298"/>
      <c r="GF83" s="214"/>
      <c r="GG83" s="211"/>
      <c r="GH83" s="297"/>
      <c r="GI83" s="297"/>
      <c r="GJ83" s="214"/>
      <c r="GK83" s="211"/>
      <c r="GL83" s="62">
        <v>54</v>
      </c>
      <c r="GM83" s="83">
        <v>48</v>
      </c>
      <c r="GN83" s="297"/>
      <c r="GO83" s="298"/>
      <c r="GP83" s="214"/>
      <c r="GQ83" s="211"/>
      <c r="GR83" s="297"/>
      <c r="GS83" s="297"/>
      <c r="GT83" s="214"/>
      <c r="GU83" s="211"/>
      <c r="GV83" s="62">
        <v>39</v>
      </c>
      <c r="GW83" s="83">
        <v>36</v>
      </c>
    </row>
    <row r="84" spans="1:235" x14ac:dyDescent="0.2">
      <c r="A84" s="2"/>
      <c r="B84" s="3"/>
      <c r="C84" s="23">
        <v>3</v>
      </c>
      <c r="D84" s="210"/>
      <c r="E84" s="295"/>
      <c r="F84" s="9">
        <v>5</v>
      </c>
      <c r="G84" s="9">
        <v>22.7</v>
      </c>
      <c r="H84" s="214"/>
      <c r="I84" s="211"/>
      <c r="J84" s="25">
        <v>16.100000000000001</v>
      </c>
      <c r="K84" s="26">
        <v>21.8</v>
      </c>
      <c r="L84" s="210"/>
      <c r="M84" s="210"/>
      <c r="N84" s="25">
        <v>19.100000000000001</v>
      </c>
      <c r="O84" s="30">
        <v>18.2</v>
      </c>
      <c r="P84" s="9">
        <v>19</v>
      </c>
      <c r="Q84" s="26">
        <v>18.3</v>
      </c>
      <c r="R84" s="214"/>
      <c r="S84" s="211"/>
      <c r="T84" s="9">
        <v>19.399999999999999</v>
      </c>
      <c r="U84" s="9">
        <v>17.8</v>
      </c>
      <c r="V84" s="214"/>
      <c r="W84" s="211"/>
      <c r="X84" s="9">
        <v>19.2</v>
      </c>
      <c r="Y84" s="30">
        <v>18.3</v>
      </c>
      <c r="Z84" s="9">
        <v>20.100000000000001</v>
      </c>
      <c r="AA84" s="26">
        <v>19</v>
      </c>
      <c r="AB84" s="214"/>
      <c r="AC84" s="211"/>
      <c r="AD84" s="9">
        <v>22.1</v>
      </c>
      <c r="AE84" s="9">
        <v>19.8</v>
      </c>
      <c r="AF84" s="214"/>
      <c r="AG84" s="211"/>
      <c r="AH84" s="9">
        <v>19.899999999999999</v>
      </c>
      <c r="AI84" s="30">
        <v>25.1</v>
      </c>
      <c r="AJ84" s="9">
        <v>20.8</v>
      </c>
      <c r="AK84" s="28">
        <v>22.1</v>
      </c>
      <c r="AL84" s="214"/>
      <c r="AM84" s="211"/>
      <c r="AN84" s="2">
        <v>20.8</v>
      </c>
      <c r="AO84" s="2">
        <v>19.100000000000001</v>
      </c>
      <c r="AP84" s="214"/>
      <c r="AQ84" s="211"/>
      <c r="AR84" s="2">
        <v>21.7</v>
      </c>
      <c r="AS84" s="4">
        <v>21.6</v>
      </c>
      <c r="AT84" s="9">
        <v>23.1</v>
      </c>
      <c r="AU84" s="28">
        <v>19.899999999999999</v>
      </c>
      <c r="AV84" s="214"/>
      <c r="AW84" s="211"/>
      <c r="AX84" s="2">
        <v>20.399999999999999</v>
      </c>
      <c r="AY84" s="2">
        <v>20.9</v>
      </c>
      <c r="AZ84" s="214"/>
      <c r="BA84" s="211"/>
      <c r="BB84" s="2">
        <v>20.3</v>
      </c>
      <c r="BC84" s="4">
        <v>18.8</v>
      </c>
      <c r="BD84" s="9"/>
      <c r="BE84" s="28"/>
      <c r="BF84" s="335">
        <v>20.100000000000001</v>
      </c>
      <c r="BG84" s="365">
        <v>18.7</v>
      </c>
      <c r="BH84" s="9"/>
      <c r="BI84" s="2"/>
      <c r="BJ84" s="335">
        <v>23</v>
      </c>
      <c r="BK84" s="365">
        <v>19.100000000000001</v>
      </c>
      <c r="BL84" s="2">
        <v>21.55</v>
      </c>
      <c r="BM84" s="4">
        <v>18.899999999999999</v>
      </c>
      <c r="BN84" s="297"/>
      <c r="BO84" s="211"/>
      <c r="BP84" s="214"/>
      <c r="BQ84" s="211"/>
      <c r="BR84" s="297"/>
      <c r="BS84" s="210"/>
      <c r="BT84" s="214"/>
      <c r="BU84" s="211"/>
      <c r="BV84" s="2">
        <v>20</v>
      </c>
      <c r="BW84" s="4">
        <v>21</v>
      </c>
      <c r="BX84" s="297"/>
      <c r="BY84" s="211"/>
      <c r="BZ84" s="214"/>
      <c r="CA84" s="211"/>
      <c r="CB84" s="297"/>
      <c r="CC84" s="210"/>
      <c r="CD84" s="214"/>
      <c r="CE84" s="211"/>
      <c r="CF84" s="167">
        <v>42</v>
      </c>
      <c r="CG84" s="374"/>
      <c r="CH84" s="297"/>
      <c r="CI84" s="211"/>
      <c r="CJ84" s="214"/>
      <c r="CK84" s="211"/>
      <c r="CL84" s="297"/>
      <c r="CM84" s="210"/>
      <c r="CN84" s="214"/>
      <c r="CO84" s="211"/>
      <c r="CP84" s="2">
        <v>37</v>
      </c>
      <c r="CQ84" s="4">
        <v>27</v>
      </c>
      <c r="CR84" s="297"/>
      <c r="CS84" s="211"/>
      <c r="CT84" s="214"/>
      <c r="CU84" s="211"/>
      <c r="CV84" s="297"/>
      <c r="CW84" s="210"/>
      <c r="CX84" s="214"/>
      <c r="CY84" s="211"/>
      <c r="CZ84" s="2">
        <v>30</v>
      </c>
      <c r="DA84" s="4">
        <v>21</v>
      </c>
      <c r="DB84" s="297"/>
      <c r="DC84" s="298"/>
      <c r="DD84" s="214"/>
      <c r="DE84" s="211"/>
      <c r="DF84" s="297"/>
      <c r="DG84" s="297"/>
      <c r="DH84" s="214"/>
      <c r="DI84" s="211"/>
      <c r="DJ84" s="62">
        <v>42</v>
      </c>
      <c r="DK84" s="83">
        <v>25</v>
      </c>
      <c r="DL84" s="297"/>
      <c r="DM84" s="298"/>
      <c r="DN84" s="214"/>
      <c r="DO84" s="211"/>
      <c r="DP84" s="297"/>
      <c r="DQ84" s="297"/>
      <c r="DR84" s="214"/>
      <c r="DS84" s="211"/>
      <c r="DT84" s="62">
        <v>36</v>
      </c>
      <c r="DU84" s="83">
        <v>29</v>
      </c>
      <c r="DV84" s="297"/>
      <c r="DW84" s="298"/>
      <c r="DX84" s="214"/>
      <c r="DY84" s="211"/>
      <c r="DZ84" s="297"/>
      <c r="EA84" s="297"/>
      <c r="EB84" s="214"/>
      <c r="EC84" s="211"/>
      <c r="ED84" s="9">
        <v>35</v>
      </c>
      <c r="EE84" s="30">
        <v>31</v>
      </c>
      <c r="EF84" s="297"/>
      <c r="EG84" s="298"/>
      <c r="EH84" s="214"/>
      <c r="EI84" s="211"/>
      <c r="EJ84" s="297"/>
      <c r="EK84" s="297"/>
      <c r="EL84" s="214"/>
      <c r="EM84" s="211"/>
      <c r="EN84" s="9">
        <v>35</v>
      </c>
      <c r="EO84" s="30">
        <v>30</v>
      </c>
      <c r="EP84" s="297"/>
      <c r="EQ84" s="298"/>
      <c r="ER84" s="214"/>
      <c r="ES84" s="211"/>
      <c r="ET84" s="297"/>
      <c r="EU84" s="297"/>
      <c r="EV84" s="214"/>
      <c r="EW84" s="211"/>
      <c r="EX84" s="9">
        <v>36</v>
      </c>
      <c r="EY84" s="30">
        <v>24</v>
      </c>
      <c r="EZ84" s="297"/>
      <c r="FA84" s="298"/>
      <c r="FB84" s="214"/>
      <c r="FC84" s="210"/>
      <c r="FD84" s="296"/>
      <c r="FE84" s="298"/>
      <c r="FF84" s="210"/>
      <c r="FG84" s="211"/>
      <c r="FH84" s="9">
        <v>47</v>
      </c>
      <c r="FI84" s="30">
        <v>25</v>
      </c>
      <c r="FJ84" s="297"/>
      <c r="FK84" s="298"/>
      <c r="FL84" s="214"/>
      <c r="FM84" s="211"/>
      <c r="FN84" s="297"/>
      <c r="FO84" s="297"/>
      <c r="FP84" s="214"/>
      <c r="FQ84" s="211"/>
      <c r="FR84" s="9">
        <v>33</v>
      </c>
      <c r="FS84" s="30">
        <v>31</v>
      </c>
      <c r="FT84" s="297"/>
      <c r="FU84" s="298"/>
      <c r="FV84" s="214"/>
      <c r="FW84" s="211"/>
      <c r="FX84" s="297"/>
      <c r="FY84" s="297"/>
      <c r="FZ84" s="214"/>
      <c r="GA84" s="211"/>
      <c r="GB84" s="62">
        <v>43</v>
      </c>
      <c r="GC84" s="83">
        <v>31</v>
      </c>
      <c r="GD84" s="297"/>
      <c r="GE84" s="298"/>
      <c r="GF84" s="214"/>
      <c r="GG84" s="211"/>
      <c r="GH84" s="297"/>
      <c r="GI84" s="297"/>
      <c r="GJ84" s="214"/>
      <c r="GK84" s="211"/>
      <c r="GL84" s="62">
        <v>81</v>
      </c>
      <c r="GM84" s="83">
        <v>63</v>
      </c>
      <c r="GN84" s="297"/>
      <c r="GO84" s="298"/>
      <c r="GP84" s="214"/>
      <c r="GQ84" s="211"/>
      <c r="GR84" s="297"/>
      <c r="GS84" s="297"/>
      <c r="GT84" s="214"/>
      <c r="GU84" s="211"/>
      <c r="GV84" s="62">
        <v>38</v>
      </c>
      <c r="GW84" s="83">
        <v>37</v>
      </c>
    </row>
    <row r="85" spans="1:235" s="186" customFormat="1" ht="15" x14ac:dyDescent="0.2">
      <c r="A85" s="2"/>
      <c r="B85" s="78"/>
      <c r="C85" s="220" t="s">
        <v>87</v>
      </c>
      <c r="D85" s="228"/>
      <c r="E85" s="233"/>
      <c r="F85" s="285">
        <f>AVERAGE(F82,F83,F84)</f>
        <v>5.0333333333333332</v>
      </c>
      <c r="G85" s="285">
        <f>AVERAGE(G82,G83,G84)</f>
        <v>22.8</v>
      </c>
      <c r="H85" s="224"/>
      <c r="I85" s="231"/>
      <c r="J85" s="317">
        <f>AVERAGE(J82,J83,J84)</f>
        <v>16.066666666666666</v>
      </c>
      <c r="K85" s="284">
        <f>AVERAGE(K82,K83,K84)</f>
        <v>21.466666666666665</v>
      </c>
      <c r="L85" s="285"/>
      <c r="M85" s="285"/>
      <c r="N85" s="317">
        <f>AVERAGE(N82,N83,N84)</f>
        <v>19.033333333333335</v>
      </c>
      <c r="O85" s="289">
        <f>AVERAGE(O82,O83,O84)</f>
        <v>18.266666666666666</v>
      </c>
      <c r="P85" s="285">
        <f>AVERAGE(P82,P83,P84)</f>
        <v>18.8</v>
      </c>
      <c r="Q85" s="285">
        <f>AVERAGE(Q82,Q83,Q84)</f>
        <v>18.400000000000002</v>
      </c>
      <c r="R85" s="224"/>
      <c r="S85" s="231"/>
      <c r="T85" s="285">
        <f>AVERAGE(T82,T83,T84)</f>
        <v>19.399999999999999</v>
      </c>
      <c r="U85" s="285">
        <f>AVERAGE(U82,U83,U84)</f>
        <v>18.133333333333336</v>
      </c>
      <c r="V85" s="317">
        <f>(P85+T85+X85)/3</f>
        <v>19.044444444444448</v>
      </c>
      <c r="W85" s="284">
        <f>(Q85+U85+Y85)/3</f>
        <v>18.222222222222225</v>
      </c>
      <c r="X85" s="285">
        <f>AVERAGE(X82,X83,X84)</f>
        <v>18.933333333333334</v>
      </c>
      <c r="Y85" s="289">
        <f>AVERAGE(Y82,Y83,Y84)</f>
        <v>18.133333333333336</v>
      </c>
      <c r="Z85" s="285">
        <f>AVERAGE(Z82,Z83,Z84)</f>
        <v>19.866666666666667</v>
      </c>
      <c r="AA85" s="285">
        <f>AVERAGE(AA82,AA83,AA84)</f>
        <v>18.5</v>
      </c>
      <c r="AB85" s="224"/>
      <c r="AC85" s="231"/>
      <c r="AD85" s="285">
        <f>AVERAGE(AD82,AD83,AD84)</f>
        <v>22.033333333333331</v>
      </c>
      <c r="AE85" s="285">
        <f>AVERAGE(AE82,AE83,AE84)</f>
        <v>20</v>
      </c>
      <c r="AF85" s="317">
        <f>(Z85+AD85+AH85)/3</f>
        <v>20.688888888888886</v>
      </c>
      <c r="AG85" s="284">
        <f>(AA85+AE85+AI85)/3</f>
        <v>21.211111111111112</v>
      </c>
      <c r="AH85" s="285">
        <f>AVERAGE(AH82,AH83,AH84)</f>
        <v>20.166666666666668</v>
      </c>
      <c r="AI85" s="289">
        <f>AVERAGE(AI82,AI83,AI84)</f>
        <v>25.133333333333336</v>
      </c>
      <c r="AJ85" s="285">
        <f>AVERAGE(AJ82,AJ83,AJ84)</f>
        <v>19.666666666666668</v>
      </c>
      <c r="AK85" s="285">
        <f>AVERAGE(AK82,AK83,AK84)</f>
        <v>21.866666666666664</v>
      </c>
      <c r="AL85" s="224"/>
      <c r="AM85" s="231"/>
      <c r="AN85" s="285">
        <f>AVERAGE(AN82,AN83,AN84)</f>
        <v>20.633333333333336</v>
      </c>
      <c r="AO85" s="285">
        <f>AVERAGE(AO82,AO83,AO84)</f>
        <v>19.366666666666667</v>
      </c>
      <c r="AP85" s="317">
        <f>(AJ85+AN85+AR85)/3</f>
        <v>20.655555555555555</v>
      </c>
      <c r="AQ85" s="284">
        <f>(AK85+AO85+AS85)/3</f>
        <v>20.822222222222223</v>
      </c>
      <c r="AR85" s="285">
        <f>AVERAGE(AR82,AR83,AR84)</f>
        <v>21.666666666666668</v>
      </c>
      <c r="AS85" s="289">
        <f>AVERAGE(AS82,AS83,AS84)</f>
        <v>21.233333333333331</v>
      </c>
      <c r="AT85" s="285">
        <f>AVERAGE(AT82,AT83,AT84)</f>
        <v>22.8</v>
      </c>
      <c r="AU85" s="285">
        <f>AVERAGE(AU82,AU83,AU84)</f>
        <v>19.233333333333331</v>
      </c>
      <c r="AV85" s="224"/>
      <c r="AW85" s="231"/>
      <c r="AX85" s="285">
        <f>AVERAGE(AX82,AX83,AX84)</f>
        <v>20.2</v>
      </c>
      <c r="AY85" s="285">
        <f>AVERAGE(AY82,AY83,AY84)</f>
        <v>20.366666666666667</v>
      </c>
      <c r="AZ85" s="224">
        <f>(AT85+AX85+BB85)/3</f>
        <v>21.099999999999998</v>
      </c>
      <c r="BA85" s="231">
        <f>(AU85+AY85+BC85)/3</f>
        <v>19.5</v>
      </c>
      <c r="BB85" s="285">
        <f>AVERAGE(BB82,BB83,BB84)</f>
        <v>20.299999999999997</v>
      </c>
      <c r="BC85" s="289">
        <f>AVERAGE(BC82,BC83,BC84)</f>
        <v>18.900000000000002</v>
      </c>
      <c r="BD85" s="285" t="e">
        <f>AVERAGE(BD82,BD83,BD84)</f>
        <v>#DIV/0!</v>
      </c>
      <c r="BE85" s="285" t="e">
        <f>AVERAGE(BE82,BE83,BE84)</f>
        <v>#DIV/0!</v>
      </c>
      <c r="BF85" s="224"/>
      <c r="BG85" s="231"/>
      <c r="BH85" s="285" t="e">
        <f>AVERAGE(BH82,BH83,BH84)</f>
        <v>#DIV/0!</v>
      </c>
      <c r="BI85" s="285" t="e">
        <f>AVERAGE(BI82,BI83,BI84)</f>
        <v>#DIV/0!</v>
      </c>
      <c r="BJ85" s="224"/>
      <c r="BK85" s="231"/>
      <c r="BL85" s="285">
        <f>AVERAGE(BL82,BL83,BL84)</f>
        <v>21.433333333333334</v>
      </c>
      <c r="BM85" s="289">
        <f>AVERAGE(BM82,BM83,BM84)</f>
        <v>19.05</v>
      </c>
      <c r="BN85" s="285"/>
      <c r="BO85" s="285"/>
      <c r="BP85" s="224"/>
      <c r="BQ85" s="231"/>
      <c r="BR85" s="285"/>
      <c r="BS85" s="285"/>
      <c r="BT85" s="224"/>
      <c r="BU85" s="231"/>
      <c r="BV85" s="285">
        <f>AVERAGE(BV82,BV83,BV84)</f>
        <v>20.666666666666668</v>
      </c>
      <c r="BW85" s="289">
        <f>AVERAGE(BW82,BW83,BW84)</f>
        <v>21</v>
      </c>
      <c r="BX85" s="285"/>
      <c r="BY85" s="285"/>
      <c r="BZ85" s="224"/>
      <c r="CA85" s="231"/>
      <c r="CB85" s="285"/>
      <c r="CC85" s="285"/>
      <c r="CD85" s="224"/>
      <c r="CE85" s="231"/>
      <c r="CF85" s="285">
        <f>AVERAGE(CF82,CF83,CF84)</f>
        <v>42</v>
      </c>
      <c r="CG85" s="289" t="e">
        <f>AVERAGE(CG82,CG83,CG84)</f>
        <v>#DIV/0!</v>
      </c>
      <c r="CH85" s="285"/>
      <c r="CI85" s="285"/>
      <c r="CJ85" s="224"/>
      <c r="CK85" s="231"/>
      <c r="CL85" s="285"/>
      <c r="CM85" s="285"/>
      <c r="CN85" s="224"/>
      <c r="CO85" s="231"/>
      <c r="CP85" s="285">
        <f>AVERAGE(CP82,CP83,CP84)</f>
        <v>38</v>
      </c>
      <c r="CQ85" s="289">
        <f>AVERAGE(CQ82,CQ83,CQ84)</f>
        <v>27.333333333333332</v>
      </c>
      <c r="CR85" s="285"/>
      <c r="CS85" s="285"/>
      <c r="CT85" s="224"/>
      <c r="CU85" s="231"/>
      <c r="CV85" s="285"/>
      <c r="CW85" s="285"/>
      <c r="CX85" s="224"/>
      <c r="CY85" s="231"/>
      <c r="CZ85" s="285">
        <f>AVERAGE(CZ82,CZ83,CZ84)</f>
        <v>29.333333333333332</v>
      </c>
      <c r="DA85" s="289">
        <f>AVERAGE(DA82,DA83,DA84)</f>
        <v>21.333333333333332</v>
      </c>
      <c r="DB85" s="285"/>
      <c r="DC85" s="285"/>
      <c r="DD85" s="224"/>
      <c r="DE85" s="231"/>
      <c r="DF85" s="285"/>
      <c r="DG85" s="285"/>
      <c r="DH85" s="317"/>
      <c r="DI85" s="284"/>
      <c r="DJ85" s="285">
        <f>AVERAGE(DJ82,DJ83,DJ84)</f>
        <v>42.333333333333336</v>
      </c>
      <c r="DK85" s="289">
        <f>AVERAGE(DK82,DK83,DK84)</f>
        <v>25</v>
      </c>
      <c r="DL85" s="285"/>
      <c r="DM85" s="285"/>
      <c r="DN85" s="224"/>
      <c r="DO85" s="231"/>
      <c r="DP85" s="285"/>
      <c r="DQ85" s="285"/>
      <c r="DR85" s="317"/>
      <c r="DS85" s="284"/>
      <c r="DT85" s="285">
        <f>AVERAGE(DT82,DT83,DT84)</f>
        <v>35.666666666666664</v>
      </c>
      <c r="DU85" s="289">
        <f>AVERAGE(DU82,DU83,DU84)</f>
        <v>29</v>
      </c>
      <c r="DV85" s="285"/>
      <c r="DW85" s="285"/>
      <c r="DX85" s="224"/>
      <c r="DY85" s="231"/>
      <c r="DZ85" s="285"/>
      <c r="EA85" s="285"/>
      <c r="EB85" s="317"/>
      <c r="EC85" s="284"/>
      <c r="ED85" s="285">
        <f>AVERAGE(ED82,ED83,ED84)</f>
        <v>34.666666666666664</v>
      </c>
      <c r="EE85" s="289">
        <f>AVERAGE(EE82,EE83,EE84)</f>
        <v>31</v>
      </c>
      <c r="EF85" s="285"/>
      <c r="EG85" s="285"/>
      <c r="EH85" s="224"/>
      <c r="EI85" s="231"/>
      <c r="EJ85" s="285"/>
      <c r="EK85" s="285"/>
      <c r="EL85" s="317"/>
      <c r="EM85" s="284"/>
      <c r="EN85" s="285">
        <f>AVERAGE(EN82,EN83,EN84)</f>
        <v>34.333333333333336</v>
      </c>
      <c r="EO85" s="289">
        <f>AVERAGE(EO82,EO83,EO84)</f>
        <v>30.333333333333332</v>
      </c>
      <c r="EP85" s="285"/>
      <c r="EQ85" s="285"/>
      <c r="ER85" s="224"/>
      <c r="ES85" s="231"/>
      <c r="ET85" s="285"/>
      <c r="EU85" s="285"/>
      <c r="EV85" s="317"/>
      <c r="EW85" s="284"/>
      <c r="EX85" s="285">
        <f>AVERAGE(EX82,EX83,EX84)</f>
        <v>36</v>
      </c>
      <c r="EY85" s="289">
        <f>AVERAGE(EY82,EY83,EY84)</f>
        <v>23</v>
      </c>
      <c r="EZ85" s="285"/>
      <c r="FA85" s="285"/>
      <c r="FB85" s="224"/>
      <c r="FC85" s="228"/>
      <c r="FD85" s="317"/>
      <c r="FE85" s="284"/>
      <c r="FF85" s="285"/>
      <c r="FG85" s="284"/>
      <c r="FH85" s="285">
        <f>AVERAGE(FH82,FH83,FH84)</f>
        <v>46.666666666666664</v>
      </c>
      <c r="FI85" s="289">
        <f>AVERAGE(FI82,FI83,FI84)</f>
        <v>25</v>
      </c>
      <c r="FJ85" s="285"/>
      <c r="FK85" s="285"/>
      <c r="FL85" s="224"/>
      <c r="FM85" s="231"/>
      <c r="FN85" s="285"/>
      <c r="FO85" s="285"/>
      <c r="FP85" s="317"/>
      <c r="FQ85" s="284"/>
      <c r="FR85" s="285">
        <f>AVERAGE(FR82,FR83,FR84)</f>
        <v>32.333333333333336</v>
      </c>
      <c r="FS85" s="289">
        <f>AVERAGE(FS82,FS83,FS84)</f>
        <v>31</v>
      </c>
      <c r="FT85" s="285"/>
      <c r="FU85" s="285"/>
      <c r="FV85" s="224"/>
      <c r="FW85" s="231"/>
      <c r="FX85" s="285"/>
      <c r="FY85" s="285"/>
      <c r="FZ85" s="317"/>
      <c r="GA85" s="284"/>
      <c r="GB85" s="285">
        <f>AVERAGE(GB82,GB83,GB84)</f>
        <v>42</v>
      </c>
      <c r="GC85" s="289">
        <f>AVERAGE(GC82,GC83,GC84)</f>
        <v>30.666666666666668</v>
      </c>
      <c r="GD85" s="285"/>
      <c r="GE85" s="285"/>
      <c r="GF85" s="224"/>
      <c r="GG85" s="231"/>
      <c r="GH85" s="285"/>
      <c r="GI85" s="285"/>
      <c r="GJ85" s="317"/>
      <c r="GK85" s="284"/>
      <c r="GL85" s="253">
        <f>AVERAGE(GL82,GL83)</f>
        <v>54</v>
      </c>
      <c r="GM85" s="257">
        <f>AVERAGE(GM82,GM83)</f>
        <v>46</v>
      </c>
      <c r="GN85" s="285"/>
      <c r="GO85" s="285"/>
      <c r="GP85" s="224"/>
      <c r="GQ85" s="231"/>
      <c r="GR85" s="285"/>
      <c r="GS85" s="285"/>
      <c r="GT85" s="317"/>
      <c r="GU85" s="284"/>
      <c r="GV85" s="253">
        <f>AVERAGE(GV82,GV83,GV84)</f>
        <v>38.666666666666664</v>
      </c>
      <c r="GW85" s="257">
        <f>AVERAGE(GW82,GW83,GW84)</f>
        <v>36</v>
      </c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</row>
    <row r="86" spans="1:235" s="186" customFormat="1" thickBot="1" x14ac:dyDescent="0.25">
      <c r="A86" s="2"/>
      <c r="B86" s="78"/>
      <c r="C86" s="118" t="s">
        <v>88</v>
      </c>
      <c r="D86" s="375"/>
      <c r="E86" s="376"/>
      <c r="F86" s="119"/>
      <c r="G86" s="120"/>
      <c r="H86" s="377"/>
      <c r="I86" s="378"/>
      <c r="J86" s="379"/>
      <c r="K86" s="121"/>
      <c r="L86" s="375"/>
      <c r="M86" s="375"/>
      <c r="N86" s="380">
        <f>AVERAGE(J85,N85)</f>
        <v>17.55</v>
      </c>
      <c r="O86" s="381">
        <f>AVERAGE(K85,O85)</f>
        <v>19.866666666666667</v>
      </c>
      <c r="P86" s="382"/>
      <c r="Q86" s="121"/>
      <c r="R86" s="377"/>
      <c r="S86" s="378"/>
      <c r="T86" s="120"/>
      <c r="U86" s="120"/>
      <c r="V86" s="377"/>
      <c r="W86" s="378"/>
      <c r="X86" s="383">
        <f>AVERAGE(T85,X85)</f>
        <v>19.166666666666664</v>
      </c>
      <c r="Y86" s="384">
        <f>AVERAGE(U85,Y85)</f>
        <v>18.133333333333336</v>
      </c>
      <c r="Z86" s="120"/>
      <c r="AA86" s="121"/>
      <c r="AB86" s="377"/>
      <c r="AC86" s="378"/>
      <c r="AD86" s="120"/>
      <c r="AE86" s="120"/>
      <c r="AF86" s="377"/>
      <c r="AG86" s="378"/>
      <c r="AH86" s="383">
        <f>AVERAGE(AD85,AH85)</f>
        <v>21.1</v>
      </c>
      <c r="AI86" s="384">
        <f>AVERAGE(AE85,AI85)</f>
        <v>22.56666666666667</v>
      </c>
      <c r="AJ86" s="382"/>
      <c r="AK86" s="121"/>
      <c r="AL86" s="377"/>
      <c r="AM86" s="378"/>
      <c r="AN86" s="120"/>
      <c r="AO86" s="120"/>
      <c r="AP86" s="377"/>
      <c r="AQ86" s="378"/>
      <c r="AR86" s="385">
        <f>AVERAGE(AN85,AR85)</f>
        <v>21.150000000000002</v>
      </c>
      <c r="AS86" s="384">
        <f>AVERAGE(AO85,AS85)</f>
        <v>20.299999999999997</v>
      </c>
      <c r="AT86" s="382"/>
      <c r="AU86" s="121"/>
      <c r="AV86" s="377"/>
      <c r="AW86" s="378"/>
      <c r="AX86" s="120"/>
      <c r="AY86" s="120"/>
      <c r="AZ86" s="377"/>
      <c r="BA86" s="378"/>
      <c r="BB86" s="385">
        <f>AVERAGE(AX85,BB85)</f>
        <v>20.25</v>
      </c>
      <c r="BC86" s="384">
        <f>AVERAGE(AY85,BC85)</f>
        <v>19.633333333333333</v>
      </c>
      <c r="BD86" s="382"/>
      <c r="BE86" s="121"/>
      <c r="BF86" s="377"/>
      <c r="BG86" s="378"/>
      <c r="BH86" s="120"/>
      <c r="BI86" s="120"/>
      <c r="BJ86" s="377"/>
      <c r="BK86" s="378"/>
      <c r="BL86" s="385" t="e">
        <f>AVERAGE(BH85,BL85)</f>
        <v>#DIV/0!</v>
      </c>
      <c r="BM86" s="384" t="e">
        <f>AVERAGE(BI85,BM85)</f>
        <v>#DIV/0!</v>
      </c>
      <c r="BN86" s="386"/>
      <c r="BO86" s="378"/>
      <c r="BP86" s="377"/>
      <c r="BQ86" s="378"/>
      <c r="BR86" s="375"/>
      <c r="BS86" s="375"/>
      <c r="BT86" s="377"/>
      <c r="BU86" s="378"/>
      <c r="BV86" s="385">
        <f>AVERAGE(BR85,BV85)</f>
        <v>20.666666666666668</v>
      </c>
      <c r="BW86" s="384">
        <f>AVERAGE(BS85,BW85)</f>
        <v>21</v>
      </c>
      <c r="BX86" s="386"/>
      <c r="BY86" s="378"/>
      <c r="BZ86" s="377"/>
      <c r="CA86" s="378"/>
      <c r="CB86" s="375"/>
      <c r="CC86" s="375"/>
      <c r="CD86" s="377"/>
      <c r="CE86" s="378"/>
      <c r="CF86" s="387">
        <f>AVERAGE(CB85,CF85)</f>
        <v>42</v>
      </c>
      <c r="CG86" s="388" t="e">
        <f>AVERAGE(CC85,CG85)</f>
        <v>#DIV/0!</v>
      </c>
      <c r="CH86" s="386"/>
      <c r="CI86" s="378"/>
      <c r="CJ86" s="377"/>
      <c r="CK86" s="378"/>
      <c r="CL86" s="375"/>
      <c r="CM86" s="375"/>
      <c r="CN86" s="377"/>
      <c r="CO86" s="378"/>
      <c r="CP86" s="385">
        <v>38</v>
      </c>
      <c r="CQ86" s="384">
        <v>27.333333333333332</v>
      </c>
      <c r="CR86" s="386"/>
      <c r="CS86" s="378"/>
      <c r="CT86" s="377"/>
      <c r="CU86" s="378"/>
      <c r="CV86" s="375"/>
      <c r="CW86" s="375"/>
      <c r="CX86" s="377"/>
      <c r="CY86" s="378"/>
      <c r="CZ86" s="380">
        <v>29.333333333333332</v>
      </c>
      <c r="DA86" s="381">
        <v>21.333333333333332</v>
      </c>
      <c r="DB86" s="386"/>
      <c r="DC86" s="378"/>
      <c r="DD86" s="377"/>
      <c r="DE86" s="378"/>
      <c r="DF86" s="375"/>
      <c r="DG86" s="375"/>
      <c r="DH86" s="377"/>
      <c r="DI86" s="378"/>
      <c r="DJ86" s="389">
        <v>42.333333333333336</v>
      </c>
      <c r="DK86" s="390">
        <v>25</v>
      </c>
      <c r="DL86" s="386"/>
      <c r="DM86" s="378"/>
      <c r="DN86" s="377"/>
      <c r="DO86" s="378"/>
      <c r="DP86" s="375"/>
      <c r="DQ86" s="375"/>
      <c r="DR86" s="377"/>
      <c r="DS86" s="378"/>
      <c r="DT86" s="391">
        <v>35.666666666666664</v>
      </c>
      <c r="DU86" s="381">
        <v>29</v>
      </c>
      <c r="DV86" s="386"/>
      <c r="DW86" s="378"/>
      <c r="DX86" s="377"/>
      <c r="DY86" s="378"/>
      <c r="DZ86" s="375"/>
      <c r="EA86" s="375"/>
      <c r="EB86" s="377"/>
      <c r="EC86" s="378"/>
      <c r="ED86" s="391">
        <v>34.666666666666664</v>
      </c>
      <c r="EE86" s="381">
        <v>31</v>
      </c>
      <c r="EF86" s="386"/>
      <c r="EG86" s="378"/>
      <c r="EH86" s="377"/>
      <c r="EI86" s="378"/>
      <c r="EJ86" s="375"/>
      <c r="EK86" s="375"/>
      <c r="EL86" s="377"/>
      <c r="EM86" s="378"/>
      <c r="EN86" s="391">
        <v>34.333333333333336</v>
      </c>
      <c r="EO86" s="381">
        <v>30.333333333333332</v>
      </c>
      <c r="EP86" s="386"/>
      <c r="EQ86" s="378"/>
      <c r="ER86" s="377"/>
      <c r="ES86" s="378"/>
      <c r="ET86" s="375"/>
      <c r="EU86" s="375"/>
      <c r="EV86" s="377"/>
      <c r="EW86" s="378"/>
      <c r="EX86" s="392">
        <v>36</v>
      </c>
      <c r="EY86" s="388">
        <v>23</v>
      </c>
      <c r="EZ86" s="386"/>
      <c r="FA86" s="378"/>
      <c r="FB86" s="377"/>
      <c r="FC86" s="375"/>
      <c r="FD86" s="321"/>
      <c r="FE86" s="320"/>
      <c r="FF86" s="375"/>
      <c r="FG86" s="378"/>
      <c r="FH86" s="391">
        <v>46.666666666666664</v>
      </c>
      <c r="FI86" s="381">
        <v>25</v>
      </c>
      <c r="FJ86" s="386"/>
      <c r="FK86" s="378"/>
      <c r="FL86" s="377"/>
      <c r="FM86" s="378"/>
      <c r="FN86" s="375"/>
      <c r="FO86" s="375"/>
      <c r="FP86" s="377"/>
      <c r="FQ86" s="378"/>
      <c r="FR86" s="391">
        <v>32.333333333333336</v>
      </c>
      <c r="FS86" s="381">
        <v>31</v>
      </c>
      <c r="FT86" s="386"/>
      <c r="FU86" s="378"/>
      <c r="FV86" s="377"/>
      <c r="FW86" s="378"/>
      <c r="FX86" s="375"/>
      <c r="FY86" s="375"/>
      <c r="FZ86" s="377"/>
      <c r="GA86" s="378"/>
      <c r="GB86" s="383">
        <v>42</v>
      </c>
      <c r="GC86" s="384">
        <v>30.666666666666668</v>
      </c>
      <c r="GD86" s="386"/>
      <c r="GE86" s="378"/>
      <c r="GF86" s="377"/>
      <c r="GG86" s="378"/>
      <c r="GH86" s="375"/>
      <c r="GI86" s="375"/>
      <c r="GJ86" s="377"/>
      <c r="GK86" s="378"/>
      <c r="GL86" s="389">
        <v>54</v>
      </c>
      <c r="GM86" s="390">
        <v>46</v>
      </c>
      <c r="GN86" s="386"/>
      <c r="GO86" s="378"/>
      <c r="GP86" s="377"/>
      <c r="GQ86" s="378"/>
      <c r="GR86" s="375"/>
      <c r="GS86" s="375"/>
      <c r="GT86" s="377"/>
      <c r="GU86" s="378"/>
      <c r="GV86" s="389">
        <v>38.666666666666664</v>
      </c>
      <c r="GW86" s="390">
        <v>36</v>
      </c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</row>
    <row r="87" spans="1:235" ht="17" thickTop="1" x14ac:dyDescent="0.2">
      <c r="A87" s="1052" t="s">
        <v>116</v>
      </c>
      <c r="B87" s="393" t="s">
        <v>117</v>
      </c>
      <c r="C87" s="122"/>
      <c r="D87" s="122"/>
      <c r="E87" s="122"/>
      <c r="F87" s="123"/>
      <c r="G87" s="122"/>
      <c r="H87" s="122"/>
      <c r="I87" s="122"/>
      <c r="J87" s="122"/>
      <c r="K87" s="122"/>
      <c r="L87" s="122"/>
      <c r="M87" s="122"/>
      <c r="N87" s="394">
        <v>105</v>
      </c>
      <c r="O87" s="394">
        <v>82</v>
      </c>
      <c r="P87" s="122"/>
      <c r="Q87" s="122"/>
      <c r="R87" s="122"/>
      <c r="S87" s="122"/>
      <c r="T87" s="122"/>
      <c r="U87" s="122"/>
      <c r="V87" s="122"/>
      <c r="W87" s="122"/>
      <c r="X87" s="394">
        <v>196</v>
      </c>
      <c r="Y87" s="394">
        <v>91</v>
      </c>
      <c r="Z87" s="122"/>
      <c r="AA87" s="122"/>
      <c r="AB87" s="2"/>
      <c r="AC87" s="2"/>
      <c r="AD87" s="122"/>
      <c r="AE87" s="122"/>
      <c r="AF87" s="122"/>
      <c r="AG87" s="122"/>
      <c r="AH87" s="394">
        <v>229</v>
      </c>
      <c r="AI87" s="394">
        <v>77</v>
      </c>
      <c r="AJ87" s="122"/>
      <c r="AK87" s="122"/>
      <c r="AL87" s="122"/>
      <c r="AM87" s="122"/>
      <c r="AN87" s="122"/>
      <c r="AO87" s="122"/>
      <c r="AP87" s="122"/>
      <c r="AQ87" s="122"/>
      <c r="AR87" s="394">
        <v>112</v>
      </c>
      <c r="AS87" s="394">
        <v>81</v>
      </c>
      <c r="AT87" s="122"/>
      <c r="AU87" s="122"/>
      <c r="AV87" s="122"/>
      <c r="AW87" s="122"/>
      <c r="AX87" s="122"/>
      <c r="AY87" s="122"/>
      <c r="AZ87" s="122"/>
      <c r="BA87" s="122"/>
      <c r="BB87" s="394">
        <v>481</v>
      </c>
      <c r="BC87" s="394">
        <v>104</v>
      </c>
      <c r="BD87" s="122"/>
      <c r="BE87" s="122"/>
      <c r="BF87" s="122"/>
      <c r="BG87" s="122"/>
      <c r="BH87" s="122"/>
      <c r="BI87" s="122"/>
      <c r="BJ87" s="122"/>
      <c r="BK87" s="122"/>
      <c r="BL87" s="394">
        <v>351</v>
      </c>
      <c r="BM87" s="394">
        <v>142</v>
      </c>
      <c r="BN87" s="122"/>
      <c r="BO87" s="122"/>
      <c r="BP87" s="122"/>
      <c r="BQ87" s="122"/>
      <c r="BR87" s="122"/>
      <c r="BS87" s="122"/>
      <c r="BT87" s="122"/>
      <c r="BU87" s="122"/>
      <c r="BV87" s="394">
        <v>311</v>
      </c>
      <c r="BW87" s="394">
        <v>134</v>
      </c>
      <c r="BX87" s="122"/>
      <c r="BY87" s="122"/>
      <c r="BZ87" s="122"/>
      <c r="CA87" s="122"/>
      <c r="CB87" s="122"/>
      <c r="CC87" s="122"/>
      <c r="CD87" s="122"/>
      <c r="CE87" s="122"/>
      <c r="CF87" s="394">
        <v>898</v>
      </c>
      <c r="CG87" s="394">
        <v>379</v>
      </c>
      <c r="CH87" s="122"/>
      <c r="CI87" s="122"/>
      <c r="CJ87" s="122"/>
      <c r="CK87" s="122"/>
      <c r="CL87" s="122"/>
      <c r="CM87" s="122"/>
      <c r="CN87" s="122"/>
      <c r="CO87" s="122"/>
      <c r="CP87" s="394">
        <v>672</v>
      </c>
      <c r="CQ87" s="394">
        <v>30</v>
      </c>
      <c r="CR87" s="122"/>
      <c r="CS87" s="122"/>
      <c r="CT87" s="122"/>
      <c r="CU87" s="122"/>
      <c r="CV87" s="122"/>
      <c r="CW87" s="122"/>
      <c r="CX87" s="122"/>
      <c r="CY87" s="122"/>
      <c r="CZ87" s="394">
        <v>474</v>
      </c>
      <c r="DA87" s="394">
        <v>402</v>
      </c>
      <c r="DB87" s="122"/>
      <c r="DC87" s="122"/>
      <c r="DD87" s="122"/>
      <c r="DE87" s="122"/>
      <c r="DF87" s="122"/>
      <c r="DG87" s="122"/>
      <c r="DH87" s="122"/>
      <c r="DI87" s="122"/>
      <c r="DJ87" s="394">
        <v>366</v>
      </c>
      <c r="DK87" s="394">
        <v>88</v>
      </c>
      <c r="DL87" s="122"/>
      <c r="DM87" s="122"/>
      <c r="DN87" s="122"/>
      <c r="DO87" s="122"/>
      <c r="DP87" s="122"/>
      <c r="DQ87" s="122"/>
      <c r="DR87" s="122"/>
      <c r="DS87" s="122"/>
      <c r="DT87" s="394">
        <v>345</v>
      </c>
      <c r="DU87" s="394">
        <v>58</v>
      </c>
      <c r="DV87" s="122"/>
      <c r="DW87" s="122"/>
      <c r="DX87" s="122"/>
      <c r="DY87" s="122"/>
      <c r="DZ87" s="122"/>
      <c r="EA87" s="122"/>
      <c r="EB87" s="122"/>
      <c r="EC87" s="122"/>
      <c r="ED87" s="394">
        <v>295</v>
      </c>
      <c r="EE87" s="394">
        <v>87</v>
      </c>
      <c r="EF87" s="122"/>
      <c r="EG87" s="122"/>
      <c r="EH87" s="122"/>
      <c r="EI87" s="122"/>
      <c r="EJ87" s="122"/>
      <c r="EK87" s="122"/>
      <c r="EL87" s="122"/>
      <c r="EM87" s="122"/>
      <c r="EN87" s="394">
        <v>414</v>
      </c>
      <c r="EO87" s="394">
        <v>73</v>
      </c>
      <c r="EP87" s="122"/>
      <c r="EQ87" s="122"/>
      <c r="ER87" s="122"/>
      <c r="ES87" s="122"/>
      <c r="ET87" s="122"/>
      <c r="EU87" s="122"/>
      <c r="EV87" s="122"/>
      <c r="EW87" s="122"/>
      <c r="EX87" s="394"/>
      <c r="EY87" s="394"/>
      <c r="EZ87" s="122"/>
      <c r="FA87" s="122"/>
      <c r="FB87" s="122"/>
      <c r="FC87" s="122"/>
      <c r="FD87" s="2"/>
      <c r="FE87" s="2"/>
      <c r="FF87" s="122"/>
      <c r="FG87" s="122"/>
      <c r="FH87" s="394"/>
      <c r="FI87" s="394"/>
      <c r="FJ87" s="122"/>
      <c r="FK87" s="122"/>
      <c r="FL87" s="122"/>
      <c r="FM87" s="122"/>
      <c r="FN87" s="122"/>
      <c r="FO87" s="122"/>
      <c r="FP87" s="122"/>
      <c r="FQ87" s="122"/>
      <c r="FR87" s="394"/>
      <c r="FS87" s="394"/>
      <c r="FT87" s="122"/>
      <c r="FU87" s="122"/>
      <c r="FV87" s="122"/>
      <c r="FW87" s="122"/>
      <c r="FX87" s="122"/>
      <c r="FY87" s="122"/>
      <c r="FZ87" s="122"/>
      <c r="GA87" s="122"/>
      <c r="GB87" s="394"/>
      <c r="GC87" s="394"/>
      <c r="GD87" s="122"/>
      <c r="GE87" s="122"/>
      <c r="GF87" s="122"/>
      <c r="GG87" s="122"/>
      <c r="GH87" s="122"/>
      <c r="GI87" s="122"/>
      <c r="GJ87" s="122"/>
      <c r="GK87" s="122"/>
      <c r="GL87" s="394"/>
      <c r="GM87" s="394"/>
      <c r="GN87" s="122"/>
      <c r="GO87" s="122"/>
      <c r="GP87" s="122"/>
      <c r="GQ87" s="122"/>
      <c r="GR87" s="122"/>
      <c r="GS87" s="122"/>
      <c r="GT87" s="122"/>
      <c r="GU87" s="122"/>
      <c r="GV87" s="394"/>
      <c r="GW87" s="394"/>
    </row>
    <row r="88" spans="1:235" x14ac:dyDescent="0.2">
      <c r="A88" s="1052"/>
      <c r="B88" s="79" t="s">
        <v>118</v>
      </c>
      <c r="C88" s="2"/>
      <c r="D88" s="2"/>
      <c r="E88" s="2"/>
      <c r="F88" s="62"/>
      <c r="G88" s="2"/>
      <c r="H88" s="2"/>
      <c r="I88" s="2"/>
      <c r="J88" s="2"/>
      <c r="K88" s="2"/>
      <c r="L88" s="2"/>
      <c r="M88" s="2"/>
      <c r="N88" s="395">
        <v>322</v>
      </c>
      <c r="O88" s="395">
        <v>933</v>
      </c>
      <c r="P88" s="2"/>
      <c r="Q88" s="2"/>
      <c r="R88" s="2"/>
      <c r="S88" s="2"/>
      <c r="T88" s="2"/>
      <c r="U88" s="2"/>
      <c r="V88" s="2"/>
      <c r="W88" s="2"/>
      <c r="X88" s="395">
        <v>420</v>
      </c>
      <c r="Y88" s="395">
        <v>538</v>
      </c>
      <c r="Z88" s="2"/>
      <c r="AA88" s="2"/>
      <c r="AB88" s="2"/>
      <c r="AC88" s="2"/>
      <c r="AD88" s="2"/>
      <c r="AE88" s="2"/>
      <c r="AF88" s="2"/>
      <c r="AG88" s="2"/>
      <c r="AH88" s="395">
        <v>397</v>
      </c>
      <c r="AI88" s="395">
        <v>772</v>
      </c>
      <c r="AJ88" s="2"/>
      <c r="AK88" s="2"/>
      <c r="AL88" s="2"/>
      <c r="AM88" s="2"/>
      <c r="AN88" s="2"/>
      <c r="AO88" s="2"/>
      <c r="AP88" s="2"/>
      <c r="AQ88" s="2"/>
      <c r="AR88" s="395">
        <v>408</v>
      </c>
      <c r="AS88" s="395">
        <v>550</v>
      </c>
      <c r="AT88" s="2"/>
      <c r="AU88" s="2"/>
      <c r="AV88" s="9"/>
      <c r="AW88" s="9"/>
      <c r="AX88" s="2"/>
      <c r="AY88" s="2"/>
      <c r="AZ88" s="2"/>
      <c r="BA88" s="2"/>
      <c r="BB88" s="395">
        <v>467</v>
      </c>
      <c r="BC88" s="395">
        <v>449</v>
      </c>
      <c r="BD88" s="2"/>
      <c r="BE88" s="2"/>
      <c r="BF88" s="9" t="e">
        <f t="shared" ref="BF88:BG90" si="80">AVERAGE(BD82,BH82)</f>
        <v>#DIV/0!</v>
      </c>
      <c r="BG88" s="2" t="e">
        <f t="shared" si="80"/>
        <v>#DIV/0!</v>
      </c>
      <c r="BH88" s="2"/>
      <c r="BI88" s="2"/>
      <c r="BJ88" s="2"/>
      <c r="BK88" s="2"/>
      <c r="BL88" s="395">
        <v>479</v>
      </c>
      <c r="BM88" s="395">
        <v>430</v>
      </c>
      <c r="BN88" s="2"/>
      <c r="BO88" s="2"/>
      <c r="BP88" s="2"/>
      <c r="BQ88" s="2"/>
      <c r="BR88" s="2"/>
      <c r="BS88" s="2"/>
      <c r="BT88" s="2"/>
      <c r="BU88" s="2"/>
      <c r="BV88" s="395">
        <v>533</v>
      </c>
      <c r="BW88" s="395">
        <v>639</v>
      </c>
      <c r="BX88" s="2"/>
      <c r="BY88" s="2"/>
      <c r="BZ88" s="2"/>
      <c r="CA88" s="2"/>
      <c r="CB88" s="2"/>
      <c r="CC88" s="2"/>
      <c r="CD88" s="2"/>
      <c r="CE88" s="2"/>
      <c r="CF88" s="395">
        <v>773</v>
      </c>
      <c r="CG88" s="395">
        <v>743</v>
      </c>
      <c r="CH88" s="2"/>
      <c r="CI88" s="2"/>
      <c r="CJ88" s="2"/>
      <c r="CK88" s="2"/>
      <c r="CL88" s="2"/>
      <c r="CM88" s="2"/>
      <c r="CN88" s="2"/>
      <c r="CO88" s="2"/>
      <c r="CP88" s="395">
        <v>923</v>
      </c>
      <c r="CQ88" s="395">
        <v>387</v>
      </c>
      <c r="CR88" s="2"/>
      <c r="CS88" s="2"/>
      <c r="CT88" s="2"/>
      <c r="CU88" s="2"/>
      <c r="CV88" s="2"/>
      <c r="CW88" s="2"/>
      <c r="CX88" s="2"/>
      <c r="CY88" s="2"/>
      <c r="CZ88" s="395">
        <v>473</v>
      </c>
      <c r="DA88" s="395">
        <v>408</v>
      </c>
      <c r="DB88" s="2"/>
      <c r="DC88" s="2"/>
      <c r="DD88" s="2"/>
      <c r="DE88" s="2"/>
      <c r="DF88" s="2"/>
      <c r="DG88" s="2"/>
      <c r="DH88" s="2"/>
      <c r="DI88" s="2"/>
      <c r="DJ88" s="395">
        <v>443</v>
      </c>
      <c r="DK88" s="395">
        <v>395</v>
      </c>
      <c r="DL88" s="2"/>
      <c r="DM88" s="2"/>
      <c r="DN88" s="2"/>
      <c r="DO88" s="2"/>
      <c r="DP88" s="2"/>
      <c r="DQ88" s="2"/>
      <c r="DR88" s="2"/>
      <c r="DS88" s="2"/>
      <c r="DT88" s="395">
        <v>458</v>
      </c>
      <c r="DU88" s="395">
        <v>660</v>
      </c>
      <c r="DV88" s="2"/>
      <c r="DW88" s="2"/>
      <c r="DX88" s="2"/>
      <c r="DY88" s="2"/>
      <c r="DZ88" s="2"/>
      <c r="EA88" s="2"/>
      <c r="EB88" s="2"/>
      <c r="EC88" s="2"/>
      <c r="ED88" s="395">
        <v>459</v>
      </c>
      <c r="EE88" s="395">
        <v>474</v>
      </c>
      <c r="EF88" s="2"/>
      <c r="EG88" s="2"/>
      <c r="EH88" s="2"/>
      <c r="EI88" s="2"/>
      <c r="EJ88" s="2"/>
      <c r="EK88" s="2"/>
      <c r="EL88" s="2"/>
      <c r="EM88" s="2"/>
      <c r="EN88" s="395">
        <v>430</v>
      </c>
      <c r="EO88" s="395">
        <v>481</v>
      </c>
      <c r="EP88" s="2"/>
      <c r="EQ88" s="2"/>
      <c r="ER88" s="2"/>
      <c r="ES88" s="2"/>
      <c r="ET88" s="2"/>
      <c r="EU88" s="2"/>
      <c r="EV88" s="2"/>
      <c r="EW88" s="2"/>
      <c r="EX88" s="395"/>
      <c r="EY88" s="395"/>
      <c r="EZ88" s="2"/>
      <c r="FA88" s="2"/>
      <c r="FB88" s="2"/>
      <c r="FC88" s="2"/>
      <c r="FD88" s="2"/>
      <c r="FE88" s="2"/>
      <c r="FF88" s="2"/>
      <c r="FG88" s="2"/>
      <c r="FH88" s="395"/>
      <c r="FI88" s="395"/>
      <c r="FJ88" s="2"/>
      <c r="FK88" s="2"/>
      <c r="FL88" s="2"/>
      <c r="FM88" s="2"/>
      <c r="FN88" s="2"/>
      <c r="FO88" s="2"/>
      <c r="FP88" s="2"/>
      <c r="FQ88" s="2"/>
      <c r="FR88" s="395"/>
      <c r="FS88" s="395"/>
      <c r="FT88" s="2"/>
      <c r="FU88" s="2"/>
      <c r="FV88" s="2"/>
      <c r="FW88" s="2"/>
      <c r="FX88" s="2"/>
      <c r="FY88" s="2"/>
      <c r="FZ88" s="2"/>
      <c r="GA88" s="2"/>
      <c r="GB88" s="395"/>
      <c r="GC88" s="395"/>
      <c r="GD88" s="2"/>
      <c r="GE88" s="2"/>
      <c r="GF88" s="2"/>
      <c r="GG88" s="2"/>
      <c r="GH88" s="2"/>
      <c r="GI88" s="2"/>
      <c r="GJ88" s="2"/>
      <c r="GK88" s="2"/>
      <c r="GL88" s="395"/>
      <c r="GM88" s="395"/>
      <c r="GN88" s="2"/>
      <c r="GO88" s="2"/>
      <c r="GP88" s="2"/>
      <c r="GQ88" s="2"/>
      <c r="GR88" s="2"/>
      <c r="GS88" s="2"/>
      <c r="GT88" s="2"/>
      <c r="GU88" s="2"/>
      <c r="GV88" s="395"/>
      <c r="GW88" s="395"/>
    </row>
    <row r="89" spans="1:235" x14ac:dyDescent="0.2">
      <c r="A89" s="1052"/>
      <c r="B89" s="79" t="s">
        <v>119</v>
      </c>
      <c r="C89" s="2"/>
      <c r="D89" s="2"/>
      <c r="E89" s="2"/>
      <c r="F89" s="62"/>
      <c r="G89" s="2"/>
      <c r="H89" s="2"/>
      <c r="I89" s="2"/>
      <c r="J89" s="2"/>
      <c r="K89" s="2"/>
      <c r="L89" s="2"/>
      <c r="M89" s="2"/>
      <c r="N89" s="395">
        <v>325</v>
      </c>
      <c r="O89" s="395">
        <v>50</v>
      </c>
      <c r="P89" s="2"/>
      <c r="Q89" s="2"/>
      <c r="R89" s="2"/>
      <c r="S89" s="2"/>
      <c r="T89" s="2"/>
      <c r="U89" s="2"/>
      <c r="V89" s="2"/>
      <c r="W89" s="2"/>
      <c r="X89" s="395">
        <v>450</v>
      </c>
      <c r="Y89" s="395">
        <v>10</v>
      </c>
      <c r="Z89" s="2"/>
      <c r="AA89" s="2"/>
      <c r="AB89" s="2"/>
      <c r="AC89" s="2"/>
      <c r="AD89" s="2"/>
      <c r="AE89" s="2"/>
      <c r="AF89" s="2"/>
      <c r="AG89" s="2"/>
      <c r="AH89" s="395">
        <v>525</v>
      </c>
      <c r="AI89" s="395">
        <v>35</v>
      </c>
      <c r="AJ89" s="2"/>
      <c r="AK89" s="2"/>
      <c r="AL89" s="2"/>
      <c r="AM89" s="2"/>
      <c r="AN89" s="2"/>
      <c r="AO89" s="2"/>
      <c r="AP89" s="2"/>
      <c r="AQ89" s="2"/>
      <c r="AR89" s="395">
        <v>875</v>
      </c>
      <c r="AS89" s="395">
        <v>20</v>
      </c>
      <c r="AT89" s="2"/>
      <c r="AU89" s="2"/>
      <c r="AV89" s="2"/>
      <c r="AW89" s="2"/>
      <c r="AX89" s="2"/>
      <c r="AY89" s="2"/>
      <c r="AZ89" s="2"/>
      <c r="BA89" s="2"/>
      <c r="BB89" s="395">
        <v>1000</v>
      </c>
      <c r="BC89" s="395">
        <v>170</v>
      </c>
      <c r="BD89" s="2"/>
      <c r="BE89" s="2"/>
      <c r="BF89" s="9" t="e">
        <f t="shared" si="80"/>
        <v>#DIV/0!</v>
      </c>
      <c r="BG89" s="2" t="e">
        <f t="shared" si="80"/>
        <v>#DIV/0!</v>
      </c>
      <c r="BH89" s="2"/>
      <c r="BI89" s="2"/>
      <c r="BJ89" s="2"/>
      <c r="BK89" s="2"/>
      <c r="BL89" s="395">
        <v>750</v>
      </c>
      <c r="BM89" s="395">
        <v>10</v>
      </c>
      <c r="BN89" s="2"/>
      <c r="BO89" s="2"/>
      <c r="BP89" s="2"/>
      <c r="BQ89" s="2"/>
      <c r="BR89" s="2"/>
      <c r="BS89" s="2"/>
      <c r="BT89" s="2"/>
      <c r="BU89" s="2"/>
      <c r="BV89" s="395">
        <v>1050</v>
      </c>
      <c r="BW89" s="395">
        <v>60</v>
      </c>
      <c r="BX89" s="2"/>
      <c r="BY89" s="2"/>
      <c r="BZ89" s="2"/>
      <c r="CA89" s="2"/>
      <c r="CB89" s="2"/>
      <c r="CC89" s="2"/>
      <c r="CD89" s="2"/>
      <c r="CE89" s="2"/>
      <c r="CF89" s="395">
        <v>1200</v>
      </c>
      <c r="CG89" s="395">
        <v>170</v>
      </c>
      <c r="CH89" s="2"/>
      <c r="CI89" s="2"/>
      <c r="CJ89" s="2"/>
      <c r="CK89" s="2"/>
      <c r="CL89" s="2"/>
      <c r="CM89" s="2"/>
      <c r="CN89" s="2"/>
      <c r="CO89" s="2"/>
      <c r="CP89" s="395">
        <v>1700</v>
      </c>
      <c r="CQ89" s="395">
        <v>781</v>
      </c>
      <c r="CR89" s="2"/>
      <c r="CS89" s="2"/>
      <c r="CT89" s="2"/>
      <c r="CU89" s="2"/>
      <c r="CV89" s="2"/>
      <c r="CW89" s="2"/>
      <c r="CX89" s="2"/>
      <c r="CY89" s="2"/>
      <c r="CZ89" s="395">
        <v>1500</v>
      </c>
      <c r="DA89" s="395">
        <v>60</v>
      </c>
      <c r="DB89" s="2"/>
      <c r="DC89" s="2"/>
      <c r="DD89" s="2"/>
      <c r="DE89" s="2"/>
      <c r="DF89" s="2"/>
      <c r="DG89" s="2"/>
      <c r="DH89" s="2"/>
      <c r="DI89" s="2"/>
      <c r="DJ89" s="395">
        <v>2125</v>
      </c>
      <c r="DK89" s="395">
        <v>60</v>
      </c>
      <c r="DL89" s="2"/>
      <c r="DM89" s="2"/>
      <c r="DN89" s="2"/>
      <c r="DO89" s="2"/>
      <c r="DP89" s="2"/>
      <c r="DQ89" s="2"/>
      <c r="DR89" s="2"/>
      <c r="DS89" s="2"/>
      <c r="DT89" s="395">
        <v>1500</v>
      </c>
      <c r="DU89" s="395">
        <v>155</v>
      </c>
      <c r="DV89" s="2"/>
      <c r="DW89" s="2"/>
      <c r="DX89" s="2"/>
      <c r="DY89" s="2"/>
      <c r="DZ89" s="2"/>
      <c r="EA89" s="2"/>
      <c r="EB89" s="2"/>
      <c r="EC89" s="2"/>
      <c r="ED89" s="395">
        <v>1750</v>
      </c>
      <c r="EE89" s="395">
        <v>85</v>
      </c>
      <c r="EF89" s="2"/>
      <c r="EG89" s="2"/>
      <c r="EH89" s="2"/>
      <c r="EI89" s="2"/>
      <c r="EJ89" s="2"/>
      <c r="EK89" s="2"/>
      <c r="EL89" s="2"/>
      <c r="EM89" s="2"/>
      <c r="EN89" s="395">
        <v>2375</v>
      </c>
      <c r="EO89" s="395">
        <v>160</v>
      </c>
      <c r="EP89" s="2"/>
      <c r="EQ89" s="2"/>
      <c r="ER89" s="2"/>
      <c r="ES89" s="2"/>
      <c r="ET89" s="2"/>
      <c r="EU89" s="2"/>
      <c r="EV89" s="2"/>
      <c r="EW89" s="2"/>
      <c r="EX89" s="395"/>
      <c r="EY89" s="395"/>
      <c r="EZ89" s="2"/>
      <c r="FA89" s="2"/>
      <c r="FB89" s="2"/>
      <c r="FC89" s="2"/>
      <c r="FD89" s="2"/>
      <c r="FE89" s="2"/>
      <c r="FF89" s="2"/>
      <c r="FG89" s="2"/>
      <c r="FH89" s="395"/>
      <c r="FI89" s="395"/>
      <c r="FJ89" s="2"/>
      <c r="FK89" s="2"/>
      <c r="FL89" s="2"/>
      <c r="FM89" s="2"/>
      <c r="FN89" s="2"/>
      <c r="FO89" s="2"/>
      <c r="FP89" s="2"/>
      <c r="FQ89" s="2"/>
      <c r="FR89" s="395"/>
      <c r="FS89" s="395"/>
      <c r="FT89" s="2"/>
      <c r="FU89" s="2"/>
      <c r="FV89" s="2"/>
      <c r="FW89" s="2"/>
      <c r="FX89" s="2"/>
      <c r="FY89" s="2"/>
      <c r="FZ89" s="2"/>
      <c r="GA89" s="2"/>
      <c r="GB89" s="395"/>
      <c r="GC89" s="395"/>
      <c r="GD89" s="2"/>
      <c r="GE89" s="2"/>
      <c r="GF89" s="2"/>
      <c r="GG89" s="2"/>
      <c r="GH89" s="2"/>
      <c r="GI89" s="2"/>
      <c r="GJ89" s="2"/>
      <c r="GK89" s="2"/>
      <c r="GL89" s="395"/>
      <c r="GM89" s="395"/>
      <c r="GN89" s="2"/>
      <c r="GO89" s="2"/>
      <c r="GP89" s="2"/>
      <c r="GQ89" s="2"/>
      <c r="GR89" s="2"/>
      <c r="GS89" s="2"/>
      <c r="GT89" s="2"/>
      <c r="GU89" s="2"/>
      <c r="GV89" s="395"/>
      <c r="GW89" s="395"/>
    </row>
    <row r="90" spans="1:235" x14ac:dyDescent="0.2">
      <c r="A90" s="1052"/>
      <c r="B90" s="79" t="s">
        <v>100</v>
      </c>
      <c r="C90" s="2"/>
      <c r="D90" s="2"/>
      <c r="E90" s="2"/>
      <c r="F90" s="62"/>
      <c r="G90" s="2"/>
      <c r="H90" s="2"/>
      <c r="I90" s="2"/>
      <c r="J90" s="2"/>
      <c r="K90" s="2"/>
      <c r="L90" s="2"/>
      <c r="M90" s="2"/>
      <c r="N90" s="395">
        <v>543</v>
      </c>
      <c r="O90" s="395">
        <v>163</v>
      </c>
      <c r="P90" s="2"/>
      <c r="Q90" s="2"/>
      <c r="R90" s="2"/>
      <c r="S90" s="2"/>
      <c r="T90" s="2"/>
      <c r="U90" s="2"/>
      <c r="V90" s="2"/>
      <c r="W90" s="2"/>
      <c r="X90" s="395">
        <v>1125</v>
      </c>
      <c r="Y90" s="395">
        <v>77</v>
      </c>
      <c r="Z90" s="2"/>
      <c r="AA90" s="2"/>
      <c r="AB90" s="2"/>
      <c r="AC90" s="2"/>
      <c r="AD90" s="2"/>
      <c r="AE90" s="2"/>
      <c r="AF90" s="2"/>
      <c r="AG90" s="2"/>
      <c r="AH90" s="395">
        <v>1212</v>
      </c>
      <c r="AI90" s="395">
        <v>91</v>
      </c>
      <c r="AJ90" s="2"/>
      <c r="AK90" s="2"/>
      <c r="AL90" s="2"/>
      <c r="AM90" s="2"/>
      <c r="AN90" s="2"/>
      <c r="AO90" s="2"/>
      <c r="AP90" s="2"/>
      <c r="AQ90" s="2"/>
      <c r="AR90" s="395">
        <v>1804</v>
      </c>
      <c r="AS90" s="395">
        <v>77</v>
      </c>
      <c r="AT90" s="2"/>
      <c r="AU90" s="2"/>
      <c r="AV90" s="2"/>
      <c r="AW90" s="2"/>
      <c r="AX90" s="2"/>
      <c r="AY90" s="2"/>
      <c r="AZ90" s="2"/>
      <c r="BA90" s="2"/>
      <c r="BB90" s="395">
        <v>1497</v>
      </c>
      <c r="BC90" s="395">
        <v>114</v>
      </c>
      <c r="BD90" s="2"/>
      <c r="BE90" s="2"/>
      <c r="BF90" s="9" t="e">
        <f t="shared" si="80"/>
        <v>#DIV/0!</v>
      </c>
      <c r="BG90" s="2" t="e">
        <f t="shared" si="80"/>
        <v>#DIV/0!</v>
      </c>
      <c r="BH90" s="2"/>
      <c r="BI90" s="2"/>
      <c r="BJ90" s="2"/>
      <c r="BK90" s="2"/>
      <c r="BL90" s="395">
        <v>1364</v>
      </c>
      <c r="BM90" s="395">
        <v>100</v>
      </c>
      <c r="BN90" s="2"/>
      <c r="BO90" s="2"/>
      <c r="BP90" s="2"/>
      <c r="BQ90" s="2"/>
      <c r="BR90" s="2"/>
      <c r="BS90" s="2"/>
      <c r="BT90" s="2"/>
      <c r="BU90" s="2"/>
      <c r="BV90" s="395">
        <v>1724</v>
      </c>
      <c r="BW90" s="395">
        <v>129</v>
      </c>
      <c r="BX90" s="2"/>
      <c r="BY90" s="2"/>
      <c r="BZ90" s="2"/>
      <c r="CA90" s="2"/>
      <c r="CB90" s="2"/>
      <c r="CC90" s="2"/>
      <c r="CD90" s="2"/>
      <c r="CE90" s="2"/>
      <c r="CF90" s="395">
        <v>2043</v>
      </c>
      <c r="CG90" s="395">
        <v>114</v>
      </c>
      <c r="CH90" s="2"/>
      <c r="CI90" s="2"/>
      <c r="CJ90" s="2"/>
      <c r="CK90" s="2"/>
      <c r="CL90" s="2"/>
      <c r="CM90" s="2"/>
      <c r="CN90" s="2"/>
      <c r="CO90" s="2"/>
      <c r="CP90" s="395">
        <v>3286</v>
      </c>
      <c r="CQ90" s="395">
        <v>100</v>
      </c>
      <c r="CR90" s="2"/>
      <c r="CS90" s="2"/>
      <c r="CT90" s="2"/>
      <c r="CU90" s="2"/>
      <c r="CV90" s="2"/>
      <c r="CW90" s="2"/>
      <c r="CX90" s="2"/>
      <c r="CY90" s="2"/>
      <c r="CZ90" s="395">
        <v>2329</v>
      </c>
      <c r="DA90" s="395">
        <v>129</v>
      </c>
      <c r="DB90" s="2"/>
      <c r="DC90" s="2"/>
      <c r="DD90" s="2"/>
      <c r="DE90" s="2"/>
      <c r="DF90" s="2"/>
      <c r="DG90" s="2"/>
      <c r="DH90" s="2"/>
      <c r="DI90" s="2"/>
      <c r="DJ90" s="395">
        <v>4241</v>
      </c>
      <c r="DK90" s="395">
        <v>148</v>
      </c>
      <c r="DL90" s="2"/>
      <c r="DM90" s="2"/>
      <c r="DN90" s="2"/>
      <c r="DO90" s="2"/>
      <c r="DP90" s="2"/>
      <c r="DQ90" s="2"/>
      <c r="DR90" s="2"/>
      <c r="DS90" s="2"/>
      <c r="DT90" s="395">
        <v>2975</v>
      </c>
      <c r="DU90" s="395">
        <v>145</v>
      </c>
      <c r="DV90" s="2"/>
      <c r="DW90" s="2"/>
      <c r="DX90" s="2"/>
      <c r="DY90" s="2"/>
      <c r="DZ90" s="2"/>
      <c r="EA90" s="2"/>
      <c r="EB90" s="2"/>
      <c r="EC90" s="2"/>
      <c r="ED90" s="395">
        <v>3723</v>
      </c>
      <c r="EE90" s="395">
        <v>152</v>
      </c>
      <c r="EF90" s="2"/>
      <c r="EG90" s="2"/>
      <c r="EH90" s="2"/>
      <c r="EI90" s="2"/>
      <c r="EJ90" s="2"/>
      <c r="EK90" s="2"/>
      <c r="EL90" s="2"/>
      <c r="EM90" s="2"/>
      <c r="EN90" s="395">
        <v>4466</v>
      </c>
      <c r="EO90" s="395">
        <v>138</v>
      </c>
      <c r="EP90" s="2"/>
      <c r="EQ90" s="2"/>
      <c r="ER90" s="2"/>
      <c r="ES90" s="2"/>
      <c r="ET90" s="2"/>
      <c r="EU90" s="2"/>
      <c r="EV90" s="2"/>
      <c r="EW90" s="2"/>
      <c r="EX90" s="395"/>
      <c r="EY90" s="395"/>
      <c r="EZ90" s="2"/>
      <c r="FA90" s="2"/>
      <c r="FB90" s="2"/>
      <c r="FC90" s="2"/>
      <c r="FD90" s="2"/>
      <c r="FE90" s="2"/>
      <c r="FF90" s="2"/>
      <c r="FG90" s="2"/>
      <c r="FH90" s="395"/>
      <c r="FI90" s="395"/>
      <c r="FJ90" s="2"/>
      <c r="FK90" s="2"/>
      <c r="FL90" s="2"/>
      <c r="FM90" s="2"/>
      <c r="FN90" s="2"/>
      <c r="FO90" s="2"/>
      <c r="FP90" s="2"/>
      <c r="FQ90" s="2"/>
      <c r="FR90" s="395"/>
      <c r="FS90" s="395"/>
      <c r="FT90" s="2"/>
      <c r="FU90" s="2"/>
      <c r="FV90" s="2"/>
      <c r="FW90" s="2"/>
      <c r="FX90" s="2"/>
      <c r="FY90" s="2"/>
      <c r="FZ90" s="2"/>
      <c r="GA90" s="2"/>
      <c r="GB90" s="395"/>
      <c r="GC90" s="395"/>
      <c r="GD90" s="2"/>
      <c r="GE90" s="2"/>
      <c r="GF90" s="2"/>
      <c r="GG90" s="2"/>
      <c r="GH90" s="2"/>
      <c r="GI90" s="2"/>
      <c r="GJ90" s="2"/>
      <c r="GK90" s="2"/>
      <c r="GL90" s="395"/>
      <c r="GM90" s="395"/>
      <c r="GN90" s="2"/>
      <c r="GO90" s="2"/>
      <c r="GP90" s="2"/>
      <c r="GQ90" s="2"/>
      <c r="GR90" s="2"/>
      <c r="GS90" s="2"/>
      <c r="GT90" s="2"/>
      <c r="GU90" s="2"/>
      <c r="GV90" s="395"/>
      <c r="GW90" s="395"/>
    </row>
    <row r="91" spans="1:235" ht="17" thickBot="1" x14ac:dyDescent="0.25">
      <c r="A91" s="1052"/>
      <c r="B91" s="396" t="s">
        <v>120</v>
      </c>
      <c r="C91" s="124"/>
      <c r="D91" s="124"/>
      <c r="E91" s="124"/>
      <c r="F91" s="125"/>
      <c r="G91" s="124"/>
      <c r="H91" s="124"/>
      <c r="I91" s="124"/>
      <c r="J91" s="124"/>
      <c r="K91" s="124"/>
      <c r="L91" s="124"/>
      <c r="M91" s="124"/>
      <c r="N91" s="397">
        <v>122</v>
      </c>
      <c r="O91" s="397">
        <v>98</v>
      </c>
      <c r="P91" s="124"/>
      <c r="Q91" s="124"/>
      <c r="R91" s="124"/>
      <c r="S91" s="124"/>
      <c r="T91" s="124"/>
      <c r="U91" s="124"/>
      <c r="V91" s="124"/>
      <c r="W91" s="124"/>
      <c r="X91" s="397">
        <v>144</v>
      </c>
      <c r="Y91" s="397">
        <v>78</v>
      </c>
      <c r="Z91" s="124"/>
      <c r="AA91" s="124"/>
      <c r="AB91" s="124"/>
      <c r="AC91" s="124"/>
      <c r="AD91" s="124"/>
      <c r="AE91" s="124"/>
      <c r="AF91" s="124"/>
      <c r="AG91" s="124"/>
      <c r="AH91" s="397">
        <v>194</v>
      </c>
      <c r="AI91" s="397">
        <v>100</v>
      </c>
      <c r="AJ91" s="124"/>
      <c r="AK91" s="124"/>
      <c r="AL91" s="124"/>
      <c r="AM91" s="124"/>
      <c r="AN91" s="124"/>
      <c r="AO91" s="124"/>
      <c r="AP91" s="124"/>
      <c r="AQ91" s="124"/>
      <c r="AR91" s="397">
        <v>238</v>
      </c>
      <c r="AS91" s="397">
        <v>78</v>
      </c>
      <c r="AT91" s="124"/>
      <c r="AU91" s="124"/>
      <c r="AV91" s="124"/>
      <c r="AW91" s="124"/>
      <c r="AX91" s="124"/>
      <c r="AY91" s="124"/>
      <c r="AZ91" s="124"/>
      <c r="BA91" s="124"/>
      <c r="BB91" s="397">
        <v>254</v>
      </c>
      <c r="BC91" s="397">
        <v>68</v>
      </c>
      <c r="BD91" s="124"/>
      <c r="BE91" s="124"/>
      <c r="BF91" s="124"/>
      <c r="BG91" s="124"/>
      <c r="BH91" s="124"/>
      <c r="BI91" s="124"/>
      <c r="BJ91" s="124"/>
      <c r="BK91" s="124"/>
      <c r="BL91" s="397">
        <v>286</v>
      </c>
      <c r="BM91" s="397">
        <v>46</v>
      </c>
      <c r="BN91" s="124"/>
      <c r="BO91" s="124"/>
      <c r="BP91" s="124"/>
      <c r="BQ91" s="124"/>
      <c r="BR91" s="124"/>
      <c r="BS91" s="124"/>
      <c r="BT91" s="124"/>
      <c r="BU91" s="124"/>
      <c r="BV91" s="397">
        <v>202</v>
      </c>
      <c r="BW91" s="397">
        <v>24</v>
      </c>
      <c r="BX91" s="124"/>
      <c r="BY91" s="124"/>
      <c r="BZ91" s="124"/>
      <c r="CA91" s="124"/>
      <c r="CB91" s="124"/>
      <c r="CC91" s="124"/>
      <c r="CD91" s="124"/>
      <c r="CE91" s="124"/>
      <c r="CF91" s="397">
        <v>258</v>
      </c>
      <c r="CG91" s="397">
        <v>62</v>
      </c>
      <c r="CH91" s="124"/>
      <c r="CI91" s="124"/>
      <c r="CJ91" s="124"/>
      <c r="CK91" s="124"/>
      <c r="CL91" s="124"/>
      <c r="CM91" s="124"/>
      <c r="CN91" s="124"/>
      <c r="CO91" s="124"/>
      <c r="CP91" s="397">
        <v>406</v>
      </c>
      <c r="CQ91" s="397">
        <v>100</v>
      </c>
      <c r="CR91" s="124"/>
      <c r="CS91" s="124"/>
      <c r="CT91" s="124"/>
      <c r="CU91" s="124"/>
      <c r="CV91" s="124"/>
      <c r="CW91" s="124"/>
      <c r="CX91" s="124"/>
      <c r="CY91" s="124"/>
      <c r="CZ91" s="397">
        <v>494</v>
      </c>
      <c r="DA91" s="397">
        <v>32</v>
      </c>
      <c r="DB91" s="124"/>
      <c r="DC91" s="124"/>
      <c r="DD91" s="124"/>
      <c r="DE91" s="124"/>
      <c r="DF91" s="124"/>
      <c r="DG91" s="124"/>
      <c r="DH91" s="124"/>
      <c r="DI91" s="124"/>
      <c r="DJ91" s="397">
        <v>584</v>
      </c>
      <c r="DK91" s="397">
        <v>35</v>
      </c>
      <c r="DL91" s="124"/>
      <c r="DM91" s="124"/>
      <c r="DN91" s="124"/>
      <c r="DO91" s="124"/>
      <c r="DP91" s="124"/>
      <c r="DQ91" s="124"/>
      <c r="DR91" s="124"/>
      <c r="DS91" s="124"/>
      <c r="DT91" s="397">
        <v>382</v>
      </c>
      <c r="DU91" s="397">
        <v>46</v>
      </c>
      <c r="DV91" s="124"/>
      <c r="DW91" s="124"/>
      <c r="DX91" s="124"/>
      <c r="DY91" s="124"/>
      <c r="DZ91" s="124"/>
      <c r="EA91" s="124"/>
      <c r="EB91" s="124"/>
      <c r="EC91" s="124"/>
      <c r="ED91" s="397">
        <v>472</v>
      </c>
      <c r="EE91" s="397">
        <v>49</v>
      </c>
      <c r="EF91" s="124"/>
      <c r="EG91" s="124"/>
      <c r="EH91" s="124"/>
      <c r="EI91" s="124"/>
      <c r="EJ91" s="124"/>
      <c r="EK91" s="124"/>
      <c r="EL91" s="124"/>
      <c r="EM91" s="124"/>
      <c r="EN91" s="397">
        <v>584</v>
      </c>
      <c r="EO91" s="397">
        <v>52</v>
      </c>
      <c r="EP91" s="124"/>
      <c r="EQ91" s="124"/>
      <c r="ER91" s="124"/>
      <c r="ES91" s="124"/>
      <c r="ET91" s="124"/>
      <c r="EU91" s="124"/>
      <c r="EV91" s="124"/>
      <c r="EW91" s="124"/>
      <c r="EX91" s="397"/>
      <c r="EY91" s="397"/>
      <c r="EZ91" s="124"/>
      <c r="FA91" s="124"/>
      <c r="FB91" s="124"/>
      <c r="FC91" s="124"/>
      <c r="FD91" s="124"/>
      <c r="FE91" s="124"/>
      <c r="FF91" s="124"/>
      <c r="FG91" s="124"/>
      <c r="FH91" s="397"/>
      <c r="FI91" s="397"/>
      <c r="FJ91" s="124"/>
      <c r="FK91" s="124"/>
      <c r="FL91" s="124"/>
      <c r="FM91" s="124"/>
      <c r="FN91" s="124"/>
      <c r="FO91" s="124"/>
      <c r="FP91" s="124"/>
      <c r="FQ91" s="124"/>
      <c r="FR91" s="397"/>
      <c r="FS91" s="397"/>
      <c r="FT91" s="124"/>
      <c r="FU91" s="124"/>
      <c r="FV91" s="124"/>
      <c r="FW91" s="124"/>
      <c r="FX91" s="124"/>
      <c r="FY91" s="124"/>
      <c r="FZ91" s="124"/>
      <c r="GA91" s="124"/>
      <c r="GB91" s="397"/>
      <c r="GC91" s="397"/>
      <c r="GD91" s="124"/>
      <c r="GE91" s="124"/>
      <c r="GF91" s="124"/>
      <c r="GG91" s="124"/>
      <c r="GH91" s="124"/>
      <c r="GI91" s="124"/>
      <c r="GJ91" s="124"/>
      <c r="GK91" s="124"/>
      <c r="GL91" s="397"/>
      <c r="GM91" s="397"/>
      <c r="GN91" s="124"/>
      <c r="GO91" s="124"/>
      <c r="GP91" s="124"/>
      <c r="GQ91" s="124"/>
      <c r="GR91" s="124"/>
      <c r="GS91" s="124"/>
      <c r="GT91" s="124"/>
      <c r="GU91" s="124"/>
      <c r="GV91" s="397"/>
      <c r="GW91" s="397"/>
    </row>
    <row r="92" spans="1:235" ht="17" thickTop="1" x14ac:dyDescent="0.2">
      <c r="A92" s="2"/>
      <c r="B92" s="79" t="s">
        <v>121</v>
      </c>
      <c r="C92" s="2"/>
      <c r="D92" s="2"/>
      <c r="E92" s="2"/>
      <c r="F92" s="62"/>
      <c r="G92" s="2"/>
      <c r="H92" s="2"/>
      <c r="I92" s="2"/>
      <c r="J92" s="2"/>
      <c r="K92" s="2"/>
      <c r="L92" s="2"/>
      <c r="M92" s="2"/>
      <c r="N92" s="2"/>
      <c r="O92" s="267">
        <f>O87/O88</f>
        <v>8.7888531618435156E-2</v>
      </c>
      <c r="P92" s="2"/>
      <c r="Q92" s="2"/>
      <c r="R92" s="2"/>
      <c r="S92" s="2"/>
      <c r="T92" s="2"/>
      <c r="U92" s="2"/>
      <c r="V92" s="2"/>
      <c r="W92" s="2"/>
      <c r="X92" s="2"/>
      <c r="Y92" s="267">
        <f>Y87/Y88</f>
        <v>0.16914498141263939</v>
      </c>
      <c r="Z92" s="2"/>
      <c r="AA92" s="2"/>
      <c r="AB92" s="2"/>
      <c r="AC92" s="2"/>
      <c r="AD92" s="2"/>
      <c r="AE92" s="2"/>
      <c r="AF92" s="2"/>
      <c r="AG92" s="2"/>
      <c r="AH92" s="2"/>
      <c r="AI92" s="267">
        <f>AI87/AI88</f>
        <v>9.974093264248704E-2</v>
      </c>
      <c r="AJ92" s="2"/>
      <c r="AK92" s="2"/>
      <c r="AL92" s="2"/>
      <c r="AM92" s="2"/>
      <c r="AN92" s="2"/>
      <c r="AO92" s="2"/>
      <c r="AP92" s="2"/>
      <c r="AQ92" s="2"/>
      <c r="AR92" s="2"/>
      <c r="AS92" s="267">
        <f>AS87/AS88</f>
        <v>0.14727272727272728</v>
      </c>
      <c r="AT92" s="2"/>
      <c r="AU92" s="2"/>
      <c r="AV92" s="2"/>
      <c r="AW92" s="2"/>
      <c r="AX92" s="2"/>
      <c r="AY92" s="2"/>
      <c r="AZ92" s="2"/>
      <c r="BA92" s="2"/>
      <c r="BB92" s="2"/>
      <c r="BC92" s="267">
        <f>BC87/BC88</f>
        <v>0.23162583518930957</v>
      </c>
      <c r="BD92" s="2"/>
      <c r="BE92" s="2"/>
      <c r="BF92" s="2"/>
      <c r="BG92" s="2"/>
      <c r="BH92" s="2"/>
      <c r="BI92" s="2"/>
      <c r="BJ92" s="2"/>
      <c r="BK92" s="2"/>
      <c r="BL92" s="2"/>
      <c r="BM92" s="267">
        <f>BM87/BM88</f>
        <v>0.33023255813953489</v>
      </c>
      <c r="BN92" s="2"/>
      <c r="BO92" s="2"/>
      <c r="BP92" s="2"/>
      <c r="BQ92" s="2"/>
      <c r="BR92" s="2"/>
      <c r="BS92" s="2"/>
      <c r="BT92" s="2"/>
      <c r="BU92" s="2"/>
      <c r="BV92" s="2"/>
      <c r="BW92" s="267">
        <f>BW87/BW88</f>
        <v>0.20970266040688576</v>
      </c>
      <c r="BX92" s="2"/>
      <c r="BY92" s="2"/>
      <c r="BZ92" s="2"/>
      <c r="CA92" s="2"/>
      <c r="CB92" s="2"/>
      <c r="CC92" s="2"/>
      <c r="CD92" s="2"/>
      <c r="CE92" s="2"/>
      <c r="CF92" s="2"/>
      <c r="CG92" s="267">
        <f>CG87/CG88</f>
        <v>0.51009421265141319</v>
      </c>
      <c r="CH92" s="2"/>
      <c r="CI92" s="2"/>
      <c r="CJ92" s="2"/>
      <c r="CK92" s="2"/>
      <c r="CL92" s="2"/>
      <c r="CM92" s="2"/>
      <c r="CN92" s="2"/>
      <c r="CO92" s="2"/>
      <c r="CP92" s="2"/>
      <c r="CQ92" s="267">
        <f>CQ87/CQ88</f>
        <v>7.7519379844961239E-2</v>
      </c>
      <c r="CR92" s="2"/>
      <c r="CS92" s="2"/>
      <c r="CT92" s="2"/>
      <c r="CU92" s="2"/>
      <c r="CV92" s="2"/>
      <c r="CW92" s="2"/>
      <c r="CX92" s="2"/>
      <c r="CY92" s="2"/>
      <c r="CZ92" s="2"/>
      <c r="DA92" s="267">
        <f>DA87/DA88</f>
        <v>0.98529411764705888</v>
      </c>
      <c r="DB92" s="2"/>
      <c r="DC92" s="2"/>
      <c r="DD92" s="2"/>
      <c r="DE92" s="2"/>
      <c r="DF92" s="2"/>
      <c r="DG92" s="2"/>
      <c r="DH92" s="2"/>
      <c r="DI92" s="2"/>
      <c r="DJ92" s="2"/>
      <c r="DK92" s="267">
        <f>DK87/DK88</f>
        <v>0.22278481012658227</v>
      </c>
      <c r="DL92" s="2"/>
      <c r="DM92" s="2"/>
      <c r="DN92" s="2"/>
      <c r="DO92" s="2"/>
      <c r="DP92" s="2"/>
      <c r="DQ92" s="2"/>
      <c r="DR92" s="2"/>
      <c r="DS92" s="2"/>
      <c r="DT92" s="2"/>
      <c r="DU92" s="267">
        <f>DU87/DU88</f>
        <v>8.7878787878787876E-2</v>
      </c>
      <c r="DV92" s="2"/>
      <c r="DW92" s="2"/>
      <c r="DX92" s="2"/>
      <c r="DY92" s="2"/>
      <c r="DZ92" s="2"/>
      <c r="EA92" s="2"/>
      <c r="EB92" s="2"/>
      <c r="EC92" s="2"/>
      <c r="ED92" s="2"/>
      <c r="EE92" s="267">
        <f>EE87/EE88</f>
        <v>0.18354430379746836</v>
      </c>
      <c r="EF92" s="2"/>
      <c r="EG92" s="2"/>
      <c r="EH92" s="2"/>
      <c r="EI92" s="2"/>
      <c r="EJ92" s="2"/>
      <c r="EK92" s="2"/>
      <c r="EL92" s="2"/>
      <c r="EM92" s="2"/>
      <c r="EN92" s="2"/>
      <c r="EO92" s="267">
        <f>EO87/EO88</f>
        <v>0.15176715176715178</v>
      </c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</row>
    <row r="93" spans="1:235" x14ac:dyDescent="0.2">
      <c r="A93" s="2"/>
      <c r="B93" s="79" t="s">
        <v>122</v>
      </c>
      <c r="C93" s="2"/>
      <c r="D93" s="2"/>
      <c r="E93" s="2"/>
      <c r="I93" s="2"/>
      <c r="J93" s="2"/>
      <c r="K93" s="2"/>
      <c r="L93" s="2"/>
      <c r="M93" s="2"/>
      <c r="N93" s="2"/>
      <c r="O93" s="267">
        <f>N89/N90</f>
        <v>0.59852670349907922</v>
      </c>
      <c r="P93" s="2"/>
      <c r="Q93" s="2"/>
      <c r="R93" s="2"/>
      <c r="S93" s="2"/>
      <c r="T93" s="2"/>
      <c r="X93" s="2"/>
      <c r="Y93" s="267">
        <f>X89/X90</f>
        <v>0.4</v>
      </c>
      <c r="Z93" s="2"/>
      <c r="AA93" s="61"/>
      <c r="AB93" s="61"/>
      <c r="AC93" s="61"/>
      <c r="AD93" s="2"/>
      <c r="AE93" s="2"/>
      <c r="AF93" s="2"/>
      <c r="AG93" s="2"/>
      <c r="AH93" s="2"/>
      <c r="AI93" s="267">
        <f>AH89/AH90</f>
        <v>0.43316831683168316</v>
      </c>
      <c r="AJ93" s="2"/>
      <c r="AK93" s="2"/>
      <c r="AL93" s="2"/>
      <c r="AM93" s="2"/>
      <c r="AN93" s="2"/>
      <c r="AO93" s="2"/>
      <c r="AP93" s="2"/>
      <c r="AQ93" s="2"/>
      <c r="AR93" s="2"/>
      <c r="AS93" s="267">
        <f>AR89/AR90</f>
        <v>0.48503325942350334</v>
      </c>
      <c r="AT93" s="2"/>
      <c r="AU93" s="2"/>
      <c r="AV93" s="2"/>
      <c r="AW93" s="2"/>
      <c r="AX93" s="2"/>
      <c r="AY93" s="2"/>
      <c r="AZ93" s="2"/>
      <c r="BA93" s="2"/>
      <c r="BB93" s="2"/>
      <c r="BC93" s="267">
        <f>BB89/BB90</f>
        <v>0.66800267201068808</v>
      </c>
      <c r="BD93" s="2"/>
      <c r="BE93" s="2"/>
      <c r="BF93" s="2"/>
      <c r="BG93" s="2"/>
      <c r="BH93" s="2"/>
      <c r="BI93" s="2"/>
      <c r="BJ93" s="2"/>
      <c r="BK93" s="2"/>
      <c r="BL93" s="2"/>
      <c r="BM93" s="267">
        <f>BL89/BL90</f>
        <v>0.54985337243401755</v>
      </c>
      <c r="BN93" s="2"/>
      <c r="BO93" s="2"/>
      <c r="BP93" s="2"/>
      <c r="BQ93" s="2"/>
      <c r="BR93" s="2"/>
      <c r="BS93" s="2"/>
      <c r="BT93" s="2"/>
      <c r="BU93" s="2"/>
      <c r="BV93" s="2"/>
      <c r="BW93" s="267">
        <f>BV89/BV90</f>
        <v>0.60904872389791187</v>
      </c>
      <c r="BX93" s="2"/>
      <c r="BY93" s="2"/>
      <c r="BZ93" s="2"/>
      <c r="CA93" s="2"/>
      <c r="CB93" s="2"/>
      <c r="CC93" s="2"/>
      <c r="CD93" s="2"/>
      <c r="CE93" s="2"/>
      <c r="CF93" s="2"/>
      <c r="CG93" s="267">
        <f>CF89/CF90</f>
        <v>0.58737151248164465</v>
      </c>
      <c r="CH93" s="2"/>
      <c r="CI93" s="2"/>
      <c r="CJ93" s="2"/>
      <c r="CK93" s="2"/>
      <c r="CL93" s="2"/>
      <c r="CM93" s="2"/>
      <c r="CN93" s="2"/>
      <c r="CO93" s="2"/>
      <c r="CP93" s="2"/>
      <c r="CQ93" s="267">
        <f>CP89/CP90</f>
        <v>0.5173463177115033</v>
      </c>
      <c r="CR93" s="2"/>
      <c r="CS93" s="2"/>
      <c r="CT93" s="2"/>
      <c r="CU93" s="2"/>
      <c r="CV93" s="2"/>
      <c r="CW93" s="2"/>
      <c r="CX93" s="2"/>
      <c r="CY93" s="2"/>
      <c r="CZ93" s="2"/>
      <c r="DA93" s="267">
        <f>CZ89/CZ90</f>
        <v>0.64405324173465006</v>
      </c>
      <c r="DB93" s="2"/>
      <c r="DC93" s="2"/>
      <c r="DD93" s="2"/>
      <c r="DE93" s="2"/>
      <c r="DF93" s="2"/>
      <c r="DG93" s="2"/>
      <c r="DH93" s="2"/>
      <c r="DI93" s="2"/>
      <c r="DJ93" s="2"/>
      <c r="DK93" s="267">
        <f>DJ89/DJ90</f>
        <v>0.50106107050224002</v>
      </c>
      <c r="DL93" s="2"/>
      <c r="DM93" s="2"/>
      <c r="DN93" s="2"/>
      <c r="DO93" s="2"/>
      <c r="DP93" s="2"/>
      <c r="DQ93" s="2"/>
      <c r="DR93" s="2"/>
      <c r="DS93" s="2"/>
      <c r="DT93" s="2"/>
      <c r="DU93" s="267">
        <f>DT89/DT90</f>
        <v>0.50420168067226889</v>
      </c>
      <c r="DV93" s="2"/>
      <c r="DW93" s="2"/>
      <c r="DX93" s="2"/>
      <c r="DY93" s="2"/>
      <c r="DZ93" s="2"/>
      <c r="EA93" s="2"/>
      <c r="EB93" s="2"/>
      <c r="EC93" s="2"/>
      <c r="ED93" s="2"/>
      <c r="EE93" s="267">
        <f>ED89/ED90</f>
        <v>0.47005103411227506</v>
      </c>
      <c r="EF93" s="2"/>
      <c r="EG93" s="2"/>
      <c r="EH93" s="2"/>
      <c r="EI93" s="2"/>
      <c r="EJ93" s="2"/>
      <c r="EK93" s="2"/>
      <c r="EL93" s="2"/>
      <c r="EM93" s="2"/>
      <c r="EN93" s="2"/>
      <c r="EO93" s="267">
        <f>EN89/EN90</f>
        <v>0.53179579041648006</v>
      </c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</row>
    <row r="94" spans="1:235" x14ac:dyDescent="0.2">
      <c r="A94" s="2"/>
      <c r="B94" s="79" t="s">
        <v>123</v>
      </c>
      <c r="C94" s="2"/>
      <c r="D94" s="2"/>
      <c r="E94" s="2"/>
      <c r="F94" s="5"/>
      <c r="G94" s="5"/>
      <c r="I94" s="116"/>
      <c r="J94" s="116"/>
      <c r="K94" s="116"/>
      <c r="L94" s="2"/>
      <c r="M94" s="2"/>
      <c r="N94" s="2"/>
      <c r="O94" s="329">
        <f>((N91-O91)/(N91))*100</f>
        <v>19.672131147540984</v>
      </c>
      <c r="P94" s="2"/>
      <c r="Q94" s="2"/>
      <c r="R94" s="2"/>
      <c r="S94" s="2"/>
      <c r="T94" s="2"/>
      <c r="X94" s="2"/>
      <c r="Y94" s="329">
        <f>((X91-Y91)/(X91))*100</f>
        <v>45.833333333333329</v>
      </c>
      <c r="AA94" s="61"/>
      <c r="AB94" s="61"/>
      <c r="AC94" s="61"/>
      <c r="AG94" s="2"/>
      <c r="AH94" s="2"/>
      <c r="AI94" s="329">
        <f>((AH91-AI91)/(AH91))*100</f>
        <v>48.453608247422679</v>
      </c>
      <c r="AJ94" s="2"/>
      <c r="AK94" s="2"/>
      <c r="AL94" s="2"/>
      <c r="AM94" s="2"/>
      <c r="AN94" s="2"/>
      <c r="AO94" s="2"/>
      <c r="AP94" s="2"/>
      <c r="AQ94" s="2"/>
      <c r="AR94" s="2"/>
      <c r="AS94" s="329">
        <f>((AR91-AS91)/(AR91))*100</f>
        <v>67.226890756302524</v>
      </c>
      <c r="AT94" s="2"/>
      <c r="AU94" s="2"/>
      <c r="AV94" s="2"/>
      <c r="AW94" s="2"/>
      <c r="AX94" s="2"/>
      <c r="AY94" s="2"/>
      <c r="AZ94" s="2"/>
      <c r="BA94" s="2"/>
      <c r="BB94" s="2"/>
      <c r="BC94" s="329">
        <f>((BB91-BC91)/(BB91))*100</f>
        <v>73.228346456692918</v>
      </c>
      <c r="BD94" s="2"/>
      <c r="BE94" s="2"/>
      <c r="BF94" s="2"/>
      <c r="BG94" s="2"/>
      <c r="BH94" s="2"/>
      <c r="BI94" s="2"/>
      <c r="BJ94" s="2"/>
      <c r="BK94" s="2"/>
      <c r="BL94" s="2"/>
      <c r="BM94" s="329">
        <f>((BL91-BM91)/(BL91))*100</f>
        <v>83.91608391608392</v>
      </c>
      <c r="BN94" s="2"/>
      <c r="BO94" s="2"/>
      <c r="BP94" s="2"/>
      <c r="BQ94" s="2"/>
      <c r="BR94" s="2"/>
      <c r="BS94" s="2"/>
      <c r="BT94" s="2"/>
      <c r="BU94" s="2"/>
      <c r="BV94" s="2"/>
      <c r="BW94" s="329">
        <f>((BV91-BW91)/(BV91))*100</f>
        <v>88.118811881188122</v>
      </c>
      <c r="BX94" s="2"/>
      <c r="BY94" s="2"/>
      <c r="BZ94" s="2"/>
      <c r="CA94" s="2"/>
      <c r="CB94" s="2"/>
      <c r="CC94" s="2"/>
      <c r="CD94" s="2"/>
      <c r="CE94" s="2"/>
      <c r="CF94" s="2"/>
      <c r="CG94" s="329">
        <f>((CF91-CG91)/(CF91))*100</f>
        <v>75.968992248062023</v>
      </c>
      <c r="CH94" s="2"/>
      <c r="CI94" s="2"/>
      <c r="CJ94" s="2"/>
      <c r="CK94" s="2"/>
      <c r="CL94" s="2"/>
      <c r="CM94" s="2"/>
      <c r="CN94" s="2"/>
      <c r="CO94" s="2"/>
      <c r="CP94" s="2"/>
      <c r="CQ94" s="329">
        <f>((CP91-CQ91)/(CP91))*100</f>
        <v>75.369458128078819</v>
      </c>
      <c r="CR94" s="2"/>
      <c r="CS94" s="2"/>
      <c r="CT94" s="2"/>
      <c r="CU94" s="2"/>
      <c r="CV94" s="2"/>
      <c r="CW94" s="2"/>
      <c r="CX94" s="2"/>
      <c r="CY94" s="2"/>
      <c r="CZ94" s="2"/>
      <c r="DA94" s="329">
        <f>((CZ91-DA91)/(CZ91))*100</f>
        <v>93.522267206477736</v>
      </c>
      <c r="DB94" s="2"/>
      <c r="DC94" s="2"/>
      <c r="DD94" s="2"/>
      <c r="DE94" s="2"/>
      <c r="DF94" s="2"/>
      <c r="DG94" s="2"/>
      <c r="DH94" s="2"/>
      <c r="DI94" s="2"/>
      <c r="DJ94" s="2"/>
      <c r="DK94" s="329">
        <f>((DJ91-DK91)/(DJ91))*100</f>
        <v>94.006849315068493</v>
      </c>
      <c r="DL94" s="2"/>
      <c r="DM94" s="2"/>
      <c r="DN94" s="2"/>
      <c r="DO94" s="2"/>
      <c r="DP94" s="2"/>
      <c r="DQ94" s="2"/>
      <c r="DR94" s="2"/>
      <c r="DS94" s="2"/>
      <c r="DT94" s="2"/>
      <c r="DU94" s="329">
        <f>((DT91-DU91)/(DT91))*100</f>
        <v>87.958115183246079</v>
      </c>
      <c r="DV94" s="2"/>
      <c r="DW94" s="2"/>
      <c r="DX94" s="2"/>
      <c r="DY94" s="2"/>
      <c r="DZ94" s="2"/>
      <c r="EA94" s="2"/>
      <c r="EB94" s="2"/>
      <c r="EC94" s="2"/>
      <c r="ED94" s="2"/>
      <c r="EE94" s="329">
        <f>((ED91-EE91)/(ED91))*100</f>
        <v>89.618644067796609</v>
      </c>
      <c r="EF94" s="2"/>
      <c r="EG94" s="2"/>
      <c r="EH94" s="2"/>
      <c r="EI94" s="2"/>
      <c r="EJ94" s="2"/>
      <c r="EK94" s="2"/>
      <c r="EL94" s="2"/>
      <c r="EM94" s="2"/>
      <c r="EN94" s="2"/>
      <c r="EO94" s="329">
        <f>((EN91-EO91)/(EN91))*100</f>
        <v>91.095890410958901</v>
      </c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</row>
    <row r="95" spans="1:235" x14ac:dyDescent="0.2">
      <c r="A95" s="2"/>
      <c r="B95" s="79" t="s">
        <v>124</v>
      </c>
      <c r="C95" s="2"/>
      <c r="I95" s="68"/>
      <c r="J95" s="68"/>
      <c r="K95" s="68"/>
      <c r="N95" s="2"/>
      <c r="O95" s="329">
        <f>((N89-O89)/(N89))*100</f>
        <v>84.615384615384613</v>
      </c>
      <c r="P95" s="2"/>
      <c r="Q95" s="2"/>
      <c r="R95" s="2"/>
      <c r="S95" s="2"/>
      <c r="T95" s="2"/>
      <c r="X95" s="2"/>
      <c r="Y95" s="329">
        <f>((X89-Y89)/(X89))*100</f>
        <v>97.777777777777771</v>
      </c>
      <c r="AA95" s="61"/>
      <c r="AB95" s="61"/>
      <c r="AC95" s="61"/>
      <c r="AE95" s="2"/>
      <c r="AF95" s="2"/>
      <c r="AG95" s="2"/>
      <c r="AH95" s="2"/>
      <c r="AI95" s="329">
        <f>((AH89-AI89)/(AH89))*100</f>
        <v>93.333333333333329</v>
      </c>
      <c r="AJ95" s="2"/>
      <c r="AK95" s="2"/>
      <c r="AL95" s="2"/>
      <c r="AM95" s="2"/>
      <c r="AN95" s="2"/>
      <c r="AO95" s="2"/>
      <c r="AP95" s="2"/>
      <c r="AQ95" s="2"/>
      <c r="AR95" s="2"/>
      <c r="AS95" s="329">
        <f>((AR89-AS89)/(AR89))*100</f>
        <v>97.714285714285708</v>
      </c>
      <c r="AT95" s="2"/>
      <c r="AU95" s="2"/>
      <c r="AV95" s="2"/>
      <c r="AW95" s="2"/>
      <c r="AX95" s="2"/>
      <c r="AY95" s="2"/>
      <c r="AZ95" s="2"/>
      <c r="BA95" s="2"/>
      <c r="BB95" s="2"/>
      <c r="BC95" s="329">
        <f>((BB89-BC89)/(BB89))*100</f>
        <v>83</v>
      </c>
      <c r="BD95" s="2"/>
      <c r="BE95" s="2"/>
      <c r="BF95" s="2"/>
      <c r="BG95" s="2"/>
      <c r="BH95" s="2"/>
      <c r="BI95" s="2"/>
      <c r="BJ95" s="2"/>
      <c r="BK95" s="2"/>
      <c r="BL95" s="2"/>
      <c r="BM95" s="329">
        <f>((BL89-BM89)/(BL89))*100</f>
        <v>98.666666666666671</v>
      </c>
      <c r="BN95" s="2"/>
      <c r="BO95" s="2"/>
      <c r="BP95" s="2"/>
      <c r="BQ95" s="2"/>
      <c r="BR95" s="2"/>
      <c r="BS95" s="2"/>
      <c r="BT95" s="2"/>
      <c r="BU95" s="2"/>
      <c r="BV95" s="2"/>
      <c r="BW95" s="329">
        <f>((BV89-BW89)/(BV89))*100</f>
        <v>94.285714285714278</v>
      </c>
      <c r="BX95" s="2"/>
      <c r="BY95" s="2"/>
      <c r="BZ95" s="2"/>
      <c r="CA95" s="2"/>
      <c r="CB95" s="2"/>
      <c r="CC95" s="2"/>
      <c r="CD95" s="2"/>
      <c r="CE95" s="2"/>
      <c r="CF95" s="2"/>
      <c r="CG95" s="329">
        <f>((CF89-CG89)/(CF89))*100</f>
        <v>85.833333333333329</v>
      </c>
      <c r="CH95" s="2"/>
      <c r="CI95" s="2"/>
      <c r="CJ95" s="2"/>
      <c r="CK95" s="2"/>
      <c r="CL95" s="2"/>
      <c r="CM95" s="2"/>
      <c r="CN95" s="2"/>
      <c r="CO95" s="2"/>
      <c r="CP95" s="2"/>
      <c r="CQ95" s="329">
        <f>((CP89-CQ89)/(CP89))*100</f>
        <v>54.058823529411761</v>
      </c>
      <c r="CR95" s="2"/>
      <c r="CS95" s="2"/>
      <c r="CT95" s="2"/>
      <c r="CU95" s="2"/>
      <c r="CV95" s="2"/>
      <c r="CW95" s="2"/>
      <c r="CX95" s="2"/>
      <c r="CY95" s="2"/>
      <c r="CZ95" s="2"/>
      <c r="DA95" s="329">
        <f>((CZ89-DA89)/(CZ89))*100</f>
        <v>96</v>
      </c>
      <c r="DB95" s="2"/>
      <c r="DC95" s="2"/>
      <c r="DD95" s="2"/>
      <c r="DE95" s="2"/>
      <c r="DF95" s="2"/>
      <c r="DG95" s="2"/>
      <c r="DH95" s="2"/>
      <c r="DI95" s="2"/>
      <c r="DJ95" s="2"/>
      <c r="DK95" s="329">
        <f>((DJ89-DK89)/(DJ89))*100</f>
        <v>97.176470588235304</v>
      </c>
      <c r="DL95" s="2"/>
      <c r="DM95" s="2"/>
      <c r="DN95" s="2"/>
      <c r="DO95" s="2"/>
      <c r="DP95" s="2"/>
      <c r="DQ95" s="2"/>
      <c r="DR95" s="2"/>
      <c r="DS95" s="2"/>
      <c r="DT95" s="2"/>
      <c r="DU95" s="329">
        <f>((DT89-DU89)/(DT89))*100</f>
        <v>89.666666666666657</v>
      </c>
      <c r="DV95" s="2"/>
      <c r="DW95" s="2"/>
      <c r="DX95" s="2"/>
      <c r="DY95" s="2"/>
      <c r="DZ95" s="2"/>
      <c r="EA95" s="2"/>
      <c r="EB95" s="2"/>
      <c r="EC95" s="2"/>
      <c r="ED95" s="2"/>
      <c r="EE95" s="329">
        <f>((ED89-EE89)/(ED89))*100</f>
        <v>95.142857142857139</v>
      </c>
      <c r="EF95" s="2"/>
      <c r="EG95" s="2"/>
      <c r="EH95" s="2"/>
      <c r="EI95" s="2"/>
      <c r="EJ95" s="2"/>
      <c r="EK95" s="2"/>
      <c r="EL95" s="2"/>
      <c r="EM95" s="2"/>
      <c r="EN95" s="2"/>
      <c r="EO95" s="329">
        <f>((EN89-EO89)/(EN89))*100</f>
        <v>93.263157894736835</v>
      </c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</row>
    <row r="96" spans="1:235" x14ac:dyDescent="0.2">
      <c r="B96"/>
      <c r="C96"/>
      <c r="D96" s="217"/>
      <c r="E96" s="217"/>
      <c r="I96" s="68"/>
      <c r="J96" s="68"/>
      <c r="K96" s="68"/>
      <c r="T96" s="217"/>
      <c r="X96" s="217"/>
      <c r="Y96" s="217"/>
      <c r="AB96" s="61"/>
    </row>
    <row r="97" spans="1:235" x14ac:dyDescent="0.2">
      <c r="B97"/>
      <c r="C97" s="217"/>
      <c r="L97" s="116"/>
      <c r="M97" s="116"/>
      <c r="S97" s="398"/>
      <c r="T97" s="217"/>
      <c r="X97" s="217"/>
      <c r="Y97" s="217"/>
      <c r="AH97" s="9"/>
      <c r="AI97" s="9"/>
      <c r="AL97" s="9"/>
      <c r="AM97" s="9"/>
    </row>
    <row r="98" spans="1:235" x14ac:dyDescent="0.2">
      <c r="B98"/>
      <c r="C98" s="217"/>
      <c r="T98" s="217"/>
      <c r="X98" s="217"/>
      <c r="Y98" s="217"/>
      <c r="AH98" s="9"/>
      <c r="AI98" s="9"/>
      <c r="AL98" s="9"/>
      <c r="AM98" s="9"/>
      <c r="CK98" s="8"/>
      <c r="CO98" s="8"/>
      <c r="CP98" s="8"/>
      <c r="CQ98" s="8"/>
      <c r="CR98" s="8"/>
      <c r="CS98" s="8"/>
      <c r="CT98" s="8"/>
    </row>
    <row r="99" spans="1:235" x14ac:dyDescent="0.2">
      <c r="B99"/>
      <c r="C99" s="217"/>
      <c r="J99" s="68"/>
      <c r="K99" s="68"/>
      <c r="L99" s="68"/>
      <c r="M99" s="68"/>
      <c r="T99" s="217"/>
      <c r="AH99" s="8"/>
      <c r="AI99" s="8"/>
      <c r="AL99" s="8"/>
      <c r="AM99" s="8"/>
      <c r="CK99" s="8"/>
      <c r="CO99" s="8"/>
      <c r="CP99" s="8"/>
      <c r="CQ99" s="8"/>
      <c r="CR99" s="8"/>
      <c r="CS99" s="8"/>
      <c r="CT99" s="8"/>
    </row>
    <row r="100" spans="1:235" x14ac:dyDescent="0.2">
      <c r="A100" t="s">
        <v>172</v>
      </c>
      <c r="B100" s="399"/>
      <c r="C100" s="217"/>
      <c r="J100" s="68"/>
      <c r="K100" s="68"/>
      <c r="L100" s="68"/>
      <c r="M100" s="68"/>
      <c r="R100" s="61"/>
      <c r="T100" s="217"/>
      <c r="X100" s="62"/>
      <c r="Y100" s="61"/>
      <c r="AA100" s="61"/>
      <c r="AB100" s="61"/>
      <c r="AC100" s="8"/>
      <c r="AH100" s="8"/>
      <c r="AI100" s="8"/>
      <c r="AL100" s="8"/>
      <c r="AM100" s="8"/>
      <c r="CK100" s="8"/>
      <c r="CR100" s="8"/>
      <c r="CS100" s="8"/>
      <c r="CT100" s="8"/>
    </row>
    <row r="101" spans="1:235" ht="21" x14ac:dyDescent="0.25">
      <c r="B101" s="400" t="s">
        <v>173</v>
      </c>
      <c r="C101" s="217"/>
      <c r="J101" s="68"/>
      <c r="K101" s="398"/>
      <c r="L101" s="68"/>
      <c r="M101" s="398"/>
      <c r="R101" s="1053" t="s">
        <v>174</v>
      </c>
      <c r="S101" s="1053"/>
      <c r="U101" t="s">
        <v>175</v>
      </c>
      <c r="Z101" s="61"/>
      <c r="AA101" s="8"/>
      <c r="AB101" s="8"/>
      <c r="AC101" s="8"/>
      <c r="AD101" s="61"/>
      <c r="AE101" s="61"/>
      <c r="AF101" s="8"/>
      <c r="AK101" s="1053" t="s">
        <v>176</v>
      </c>
      <c r="AL101" s="1053"/>
      <c r="AT101" s="401"/>
      <c r="AY101" s="402"/>
      <c r="BC101" s="61"/>
      <c r="BD101" s="61"/>
      <c r="CK101" s="8"/>
      <c r="CO101" s="8"/>
      <c r="CP101" s="8"/>
      <c r="CQ101" s="8"/>
      <c r="CR101" s="8"/>
      <c r="CS101" s="8"/>
      <c r="CT101" s="8"/>
    </row>
    <row r="102" spans="1:235" s="403" customFormat="1" ht="19" x14ac:dyDescent="0.25">
      <c r="C102" s="404"/>
      <c r="D102" s="405" t="s">
        <v>177</v>
      </c>
      <c r="E102" s="406">
        <f>AVERAGE(E106:E204)</f>
        <v>20.411958762886602</v>
      </c>
      <c r="F102" s="406">
        <f>AVERAGE(F106:F204)</f>
        <v>20.41855670103093</v>
      </c>
      <c r="G102" s="407">
        <f>AVERAGE(G106:G204)</f>
        <v>6.759725085910655</v>
      </c>
      <c r="H102" s="407">
        <f>AVERAGE(H106:H204)</f>
        <v>7.711408934707908</v>
      </c>
      <c r="I102" s="408">
        <f t="shared" ref="I102:P102" si="81">AVERAGE(I106:I204)</f>
        <v>1480.0481099656356</v>
      </c>
      <c r="J102" s="408">
        <f t="shared" si="81"/>
        <v>1607.6752577319592</v>
      </c>
      <c r="K102" s="408">
        <f>AVERAGE(K106:K204)</f>
        <v>1051.1271477663231</v>
      </c>
      <c r="L102" s="408">
        <f>AVERAGE(L106:L204)</f>
        <v>1142.0326460481099</v>
      </c>
      <c r="M102" s="408">
        <f t="shared" si="81"/>
        <v>818.18728522336778</v>
      </c>
      <c r="N102" s="408">
        <f t="shared" si="81"/>
        <v>881.74914089347067</v>
      </c>
      <c r="O102" s="408">
        <f t="shared" si="81"/>
        <v>610.21477663230235</v>
      </c>
      <c r="P102" s="408">
        <f t="shared" si="81"/>
        <v>14.65438144329897</v>
      </c>
      <c r="T102" s="409" t="s">
        <v>177</v>
      </c>
      <c r="U102" s="410">
        <f>AVERAGE(U106:U164)</f>
        <v>1192.054118308854</v>
      </c>
      <c r="V102" s="410">
        <f>AVERAGE(V106:V164)</f>
        <v>62.711966553442203</v>
      </c>
      <c r="W102" s="411">
        <f>AVERAGE(W106:W164)</f>
        <v>89.012432320669404</v>
      </c>
      <c r="X102" s="410">
        <f>AVERAGE(X106:X164)</f>
        <v>1906.1214174935508</v>
      </c>
      <c r="Y102" s="410">
        <f>AVERAGE(Y106:Y164)</f>
        <v>773.76531948167064</v>
      </c>
      <c r="Z102" s="410">
        <f t="shared" ref="Z102:AC102" si="82">AVERAGE(Z106:Z204)</f>
        <v>48.098411022509403</v>
      </c>
      <c r="AA102" s="410">
        <f>AVERAGE(AA106:AA204)</f>
        <v>4344.4774011299451</v>
      </c>
      <c r="AB102" s="410">
        <f>AVERAGE(AB106:AB204)</f>
        <v>729.05932203389818</v>
      </c>
      <c r="AC102" s="412">
        <f t="shared" si="82"/>
        <v>80.438855257161208</v>
      </c>
      <c r="AD102" s="410">
        <f t="shared" ref="AD102:AI102" si="83">AVERAGE(AD106:AD164)</f>
        <v>182.55367231638417</v>
      </c>
      <c r="AE102" s="410">
        <f t="shared" si="83"/>
        <v>177.22598870056495</v>
      </c>
      <c r="AF102" s="413">
        <f t="shared" si="83"/>
        <v>-3.4010519769131697</v>
      </c>
      <c r="AG102" s="411">
        <f t="shared" si="83"/>
        <v>2.3312429378531077</v>
      </c>
      <c r="AH102" s="411">
        <f t="shared" si="83"/>
        <v>12.123446327683617</v>
      </c>
      <c r="AI102" s="411">
        <f t="shared" si="83"/>
        <v>80.59103763419678</v>
      </c>
      <c r="AR102" s="411">
        <f>AVERAGE(AR105:AR124)</f>
        <v>32.397368421052633</v>
      </c>
      <c r="AS102" s="411" t="e">
        <f>AVERAGE(AS105:AS124)</f>
        <v>#DIV/0!</v>
      </c>
      <c r="AT102" s="413">
        <f>AVERAGE(AT113:AT124)</f>
        <v>18.901772726824444</v>
      </c>
      <c r="AU102" s="410">
        <f>AVERAGE(AU105:AU124)</f>
        <v>374.92857142857144</v>
      </c>
      <c r="AV102" s="410">
        <f t="shared" ref="AV102:BI102" si="84">AVERAGE(AV105:AV124)</f>
        <v>124.1</v>
      </c>
      <c r="AW102" s="410">
        <f>AVERAGE(AW105:AW118)</f>
        <v>498.92857142857144</v>
      </c>
      <c r="AX102" s="410">
        <f>AVERAGE(AX105:AX118)</f>
        <v>585.92857142857144</v>
      </c>
      <c r="AY102" s="411">
        <f t="shared" si="84"/>
        <v>0.22534907948446423</v>
      </c>
      <c r="AZ102" s="410">
        <f t="shared" si="84"/>
        <v>3216.4</v>
      </c>
      <c r="BA102" s="410">
        <f t="shared" si="84"/>
        <v>143.30000000000001</v>
      </c>
      <c r="BB102" s="413">
        <f t="shared" si="84"/>
        <v>93.376165346590795</v>
      </c>
      <c r="BC102" s="410">
        <f t="shared" si="84"/>
        <v>1858.75</v>
      </c>
      <c r="BD102" s="410">
        <f t="shared" si="84"/>
        <v>94.75</v>
      </c>
      <c r="BE102" s="411">
        <f t="shared" si="84"/>
        <v>93.376726326358693</v>
      </c>
      <c r="BF102" s="411">
        <f t="shared" si="84"/>
        <v>0.56351711668785787</v>
      </c>
      <c r="BG102" s="410">
        <f t="shared" si="84"/>
        <v>536.79999999999995</v>
      </c>
      <c r="BH102" s="410">
        <f t="shared" si="84"/>
        <v>51.45</v>
      </c>
      <c r="BI102" s="411">
        <f t="shared" si="84"/>
        <v>80.167306859191882</v>
      </c>
      <c r="GX102" s="414"/>
      <c r="GY102" s="414"/>
      <c r="GZ102" s="414"/>
      <c r="HA102" s="414"/>
      <c r="HB102" s="414"/>
      <c r="HC102" s="414"/>
      <c r="HD102" s="414"/>
      <c r="HE102" s="414"/>
      <c r="HF102" s="414"/>
      <c r="HG102" s="414"/>
      <c r="HH102" s="414"/>
      <c r="HI102" s="414"/>
      <c r="HJ102" s="414"/>
      <c r="HK102" s="414"/>
      <c r="HL102" s="414"/>
      <c r="HM102" s="414"/>
      <c r="HN102" s="414"/>
      <c r="HO102" s="414"/>
      <c r="HP102" s="414"/>
      <c r="HQ102" s="414"/>
      <c r="HR102" s="414"/>
      <c r="HS102" s="414"/>
      <c r="HT102" s="414"/>
      <c r="HU102" s="414"/>
      <c r="HV102" s="414"/>
      <c r="HW102" s="414"/>
      <c r="HX102" s="414"/>
      <c r="HY102" s="414"/>
      <c r="HZ102" s="414"/>
      <c r="IA102" s="414"/>
    </row>
    <row r="103" spans="1:235" ht="15" customHeight="1" x14ac:dyDescent="0.2">
      <c r="B103"/>
      <c r="C103" s="399"/>
      <c r="D103" s="415" t="s">
        <v>150</v>
      </c>
      <c r="E103" s="1054" t="s">
        <v>178</v>
      </c>
      <c r="F103" s="1055"/>
      <c r="G103" s="1054" t="s">
        <v>84</v>
      </c>
      <c r="H103" s="1055"/>
      <c r="I103" s="1054" t="s">
        <v>89</v>
      </c>
      <c r="J103" s="1055"/>
      <c r="K103" s="1054" t="s">
        <v>90</v>
      </c>
      <c r="L103" s="1055"/>
      <c r="M103" s="1054" t="s">
        <v>91</v>
      </c>
      <c r="N103" s="1055"/>
      <c r="O103" s="1054" t="s">
        <v>92</v>
      </c>
      <c r="P103" s="1055"/>
      <c r="T103" s="416" t="s">
        <v>150</v>
      </c>
      <c r="U103" s="417" t="s">
        <v>93</v>
      </c>
      <c r="V103" s="418"/>
      <c r="W103" s="419" t="s">
        <v>97</v>
      </c>
      <c r="X103" s="417" t="s">
        <v>98</v>
      </c>
      <c r="Y103" s="418"/>
      <c r="Z103" s="419" t="s">
        <v>179</v>
      </c>
      <c r="AA103" s="420" t="s">
        <v>100</v>
      </c>
      <c r="AB103" s="421"/>
      <c r="AC103" s="1044" t="s">
        <v>180</v>
      </c>
      <c r="AD103" s="422" t="s">
        <v>181</v>
      </c>
      <c r="AE103" s="423"/>
      <c r="AF103" s="1044" t="s">
        <v>182</v>
      </c>
      <c r="AG103" s="422" t="s">
        <v>183</v>
      </c>
      <c r="AH103" s="423"/>
      <c r="AI103" s="1044" t="s">
        <v>182</v>
      </c>
      <c r="AM103" s="1047" t="s">
        <v>74</v>
      </c>
      <c r="AN103" s="1048"/>
      <c r="AO103" s="1048"/>
      <c r="AP103" s="1049"/>
      <c r="AQ103" s="416" t="s">
        <v>150</v>
      </c>
      <c r="AR103" s="424" t="s">
        <v>184</v>
      </c>
      <c r="AS103" s="425"/>
      <c r="AT103" s="426" t="s">
        <v>185</v>
      </c>
      <c r="AU103" s="427" t="s">
        <v>117</v>
      </c>
      <c r="AV103" s="428"/>
      <c r="AW103" s="429" t="s">
        <v>186</v>
      </c>
      <c r="AX103" s="430"/>
      <c r="AY103" s="431" t="s">
        <v>187</v>
      </c>
      <c r="AZ103" s="432" t="s">
        <v>100</v>
      </c>
      <c r="BA103" s="433"/>
      <c r="BB103" s="426" t="s">
        <v>188</v>
      </c>
      <c r="BC103" s="434" t="s">
        <v>119</v>
      </c>
      <c r="BD103" s="435"/>
      <c r="BE103" s="426" t="s">
        <v>189</v>
      </c>
      <c r="BF103" s="436" t="s">
        <v>190</v>
      </c>
      <c r="BG103" s="434" t="s">
        <v>120</v>
      </c>
      <c r="BH103" s="435"/>
      <c r="BI103" s="426" t="s">
        <v>191</v>
      </c>
      <c r="BJ103" s="1050" t="s">
        <v>84</v>
      </c>
      <c r="BK103" s="1051"/>
      <c r="BL103" s="437"/>
      <c r="BM103" s="437" t="s">
        <v>131</v>
      </c>
      <c r="BN103" s="437"/>
      <c r="BO103" s="437" t="s">
        <v>192</v>
      </c>
      <c r="BP103" s="438"/>
      <c r="BQ103" s="439" t="s">
        <v>193</v>
      </c>
      <c r="BR103" s="440">
        <f>AVERAGE(BR105:BR124)</f>
        <v>80.340816734119045</v>
      </c>
      <c r="BS103" s="440">
        <f>AVERAGE(BS105:BS124)</f>
        <v>89.120226469400222</v>
      </c>
      <c r="BT103" s="440">
        <f>AVERAGE(BT105:BT124)</f>
        <v>80.167306859191882</v>
      </c>
      <c r="BU103" s="440">
        <f t="shared" ref="BU103" si="85">AVERAGE(BU105:BU124)</f>
        <v>2.1583333333333332</v>
      </c>
      <c r="BV103" s="441">
        <f>AVERAGE(BV105:BV124)</f>
        <v>2.7495000000000003</v>
      </c>
      <c r="CE103" t="s">
        <v>194</v>
      </c>
      <c r="CF103">
        <v>3.0659999999999998</v>
      </c>
    </row>
    <row r="104" spans="1:235" ht="15" customHeight="1" x14ac:dyDescent="0.2">
      <c r="B104" s="442" t="s">
        <v>19</v>
      </c>
      <c r="C104" s="443" t="s">
        <v>195</v>
      </c>
      <c r="D104" s="443" t="s">
        <v>73</v>
      </c>
      <c r="E104" s="444" t="s">
        <v>81</v>
      </c>
      <c r="F104" s="445" t="s">
        <v>82</v>
      </c>
      <c r="G104" s="444" t="s">
        <v>81</v>
      </c>
      <c r="H104" s="445" t="s">
        <v>82</v>
      </c>
      <c r="I104" s="444" t="s">
        <v>81</v>
      </c>
      <c r="J104" s="446" t="s">
        <v>82</v>
      </c>
      <c r="K104" s="444" t="s">
        <v>81</v>
      </c>
      <c r="L104" s="446" t="s">
        <v>82</v>
      </c>
      <c r="M104" s="444" t="s">
        <v>81</v>
      </c>
      <c r="N104" s="445" t="s">
        <v>82</v>
      </c>
      <c r="O104" s="447" t="s">
        <v>81</v>
      </c>
      <c r="P104" s="445" t="s">
        <v>82</v>
      </c>
      <c r="R104" s="448" t="s">
        <v>19</v>
      </c>
      <c r="S104" s="443" t="s">
        <v>195</v>
      </c>
      <c r="T104" s="443" t="s">
        <v>73</v>
      </c>
      <c r="U104" s="449" t="s">
        <v>81</v>
      </c>
      <c r="V104" s="450" t="s">
        <v>82</v>
      </c>
      <c r="W104" s="451"/>
      <c r="X104" s="452" t="s">
        <v>81</v>
      </c>
      <c r="Y104" s="453" t="s">
        <v>82</v>
      </c>
      <c r="Z104" s="454"/>
      <c r="AA104" s="444" t="s">
        <v>81</v>
      </c>
      <c r="AB104" s="445" t="s">
        <v>82</v>
      </c>
      <c r="AC104" s="1045"/>
      <c r="AD104" s="444" t="s">
        <v>81</v>
      </c>
      <c r="AE104" s="446" t="s">
        <v>82</v>
      </c>
      <c r="AF104" s="1046"/>
      <c r="AG104" s="444" t="s">
        <v>81</v>
      </c>
      <c r="AH104" s="445" t="s">
        <v>82</v>
      </c>
      <c r="AI104" s="1046"/>
      <c r="AJ104" t="s">
        <v>196</v>
      </c>
      <c r="AK104" s="455" t="s">
        <v>197</v>
      </c>
      <c r="AL104" s="456" t="s">
        <v>19</v>
      </c>
      <c r="AM104" s="444" t="s">
        <v>198</v>
      </c>
      <c r="AN104" s="443" t="s">
        <v>199</v>
      </c>
      <c r="AO104" s="443" t="s">
        <v>138</v>
      </c>
      <c r="AP104" s="457" t="s">
        <v>200</v>
      </c>
      <c r="AQ104" s="457" t="s">
        <v>73</v>
      </c>
      <c r="AR104" s="447" t="s">
        <v>81</v>
      </c>
      <c r="AS104" s="446" t="s">
        <v>82</v>
      </c>
      <c r="AT104" s="458"/>
      <c r="AU104" s="444" t="s">
        <v>81</v>
      </c>
      <c r="AV104" s="459" t="s">
        <v>82</v>
      </c>
      <c r="AW104" s="444" t="s">
        <v>81</v>
      </c>
      <c r="AX104" s="460" t="s">
        <v>82</v>
      </c>
      <c r="AY104" s="461"/>
      <c r="AZ104" s="444" t="s">
        <v>81</v>
      </c>
      <c r="BA104" s="459" t="s">
        <v>82</v>
      </c>
      <c r="BB104" s="458"/>
      <c r="BC104" s="444" t="s">
        <v>81</v>
      </c>
      <c r="BD104" s="445" t="s">
        <v>82</v>
      </c>
      <c r="BE104" s="458"/>
      <c r="BF104" s="462"/>
      <c r="BG104" s="447" t="s">
        <v>81</v>
      </c>
      <c r="BH104" s="445" t="s">
        <v>82</v>
      </c>
      <c r="BI104" s="458"/>
      <c r="BJ104" s="46" t="s">
        <v>145</v>
      </c>
      <c r="BK104" s="19" t="s">
        <v>151</v>
      </c>
      <c r="BL104" s="19" t="s">
        <v>201</v>
      </c>
      <c r="BM104" s="19" t="s">
        <v>145</v>
      </c>
      <c r="BN104" s="37" t="s">
        <v>189</v>
      </c>
      <c r="BO104" s="19" t="s">
        <v>146</v>
      </c>
      <c r="BP104" s="48" t="s">
        <v>147</v>
      </c>
      <c r="BQ104" s="19" t="s">
        <v>202</v>
      </c>
      <c r="BR104" s="46" t="s">
        <v>203</v>
      </c>
      <c r="BS104" s="19" t="s">
        <v>132</v>
      </c>
      <c r="BT104" s="48" t="s">
        <v>191</v>
      </c>
      <c r="BU104" s="19" t="s">
        <v>199</v>
      </c>
      <c r="BV104" s="48" t="s">
        <v>78</v>
      </c>
      <c r="CC104" s="55" t="s">
        <v>150</v>
      </c>
      <c r="CD104" s="20" t="s">
        <v>184</v>
      </c>
      <c r="CE104" s="20"/>
      <c r="CF104" s="20" t="s">
        <v>204</v>
      </c>
      <c r="CG104" s="57"/>
      <c r="CT104" s="21" t="s">
        <v>205</v>
      </c>
      <c r="CU104" s="437" t="s">
        <v>206</v>
      </c>
      <c r="CV104" s="437" t="s">
        <v>207</v>
      </c>
      <c r="CW104" s="438" t="s">
        <v>208</v>
      </c>
      <c r="CX104" s="21" t="s">
        <v>209</v>
      </c>
      <c r="CY104" s="438" t="s">
        <v>209</v>
      </c>
    </row>
    <row r="105" spans="1:235" s="2" customFormat="1" ht="15" customHeight="1" x14ac:dyDescent="0.2">
      <c r="A105" s="28"/>
      <c r="B105" s="463" t="s">
        <v>210</v>
      </c>
      <c r="C105" s="464" t="s">
        <v>211</v>
      </c>
      <c r="D105" s="464">
        <v>1</v>
      </c>
      <c r="E105" s="465">
        <v>21.4</v>
      </c>
      <c r="F105" s="466">
        <v>21.9</v>
      </c>
      <c r="G105" s="467">
        <v>7.0566666666666675</v>
      </c>
      <c r="H105" s="468">
        <v>8.3133333333333344</v>
      </c>
      <c r="I105" s="469">
        <v>515.5</v>
      </c>
      <c r="J105" s="470">
        <v>2260</v>
      </c>
      <c r="K105" s="469">
        <v>365.5</v>
      </c>
      <c r="L105" s="471">
        <v>1615</v>
      </c>
      <c r="M105" s="470">
        <v>244.66666666666666</v>
      </c>
      <c r="N105" s="472">
        <v>1130</v>
      </c>
      <c r="O105" s="470">
        <v>106.33333333333333</v>
      </c>
      <c r="P105" s="473">
        <v>40.1</v>
      </c>
      <c r="R105" s="474" t="s">
        <v>210</v>
      </c>
      <c r="S105" s="475" t="s">
        <v>211</v>
      </c>
      <c r="T105" s="464">
        <v>1</v>
      </c>
      <c r="U105" s="470">
        <v>107.96078431372557</v>
      </c>
      <c r="V105" s="470">
        <v>72.169934640522726</v>
      </c>
      <c r="W105" s="476">
        <f>((U105-V105)/(U105))*100</f>
        <v>33.151713282479903</v>
      </c>
      <c r="X105" s="477">
        <v>145.0588235294118</v>
      </c>
      <c r="Y105" s="478">
        <v>99.346405228758087</v>
      </c>
      <c r="Z105" s="479">
        <f>((X105-Y105)/(X105))*100</f>
        <v>31.513021537352508</v>
      </c>
      <c r="AA105" s="480">
        <v>1426.6666666666667</v>
      </c>
      <c r="AB105" s="481">
        <v>675.66666666666663</v>
      </c>
      <c r="AC105" s="482">
        <f>((AA105-AB105)/(AA105))*100</f>
        <v>52.640186915887853</v>
      </c>
      <c r="AD105" s="483">
        <v>103.5</v>
      </c>
      <c r="AE105" s="484">
        <v>226</v>
      </c>
      <c r="AF105" s="482">
        <f>((AE105-AD105)/(AE105))*100</f>
        <v>54.203539823008853</v>
      </c>
      <c r="AG105" s="467">
        <v>0.10000000000000002</v>
      </c>
      <c r="AH105" s="473">
        <v>2.0333333333333332</v>
      </c>
      <c r="AI105" s="476">
        <f>((AH105-AG105)/(AH105))*100</f>
        <v>95.081967213114751</v>
      </c>
      <c r="AJ105" s="62">
        <v>5000</v>
      </c>
      <c r="AK105" s="485">
        <v>1</v>
      </c>
      <c r="AL105" s="486">
        <v>42772</v>
      </c>
      <c r="AM105" s="56">
        <v>55</v>
      </c>
      <c r="AN105" s="487">
        <f>AM105/24</f>
        <v>2.2916666666666665</v>
      </c>
      <c r="AO105" s="488">
        <v>1.1399999999999999</v>
      </c>
      <c r="AP105" s="58">
        <v>50</v>
      </c>
      <c r="AQ105" s="58">
        <v>5</v>
      </c>
      <c r="AR105" s="85">
        <v>17.55</v>
      </c>
      <c r="AS105" s="64">
        <v>19.866666666666667</v>
      </c>
      <c r="AT105" s="489">
        <f>((AR105-AS105)/(AR105))*100</f>
        <v>-13.200379867046532</v>
      </c>
      <c r="AU105" s="56">
        <v>105</v>
      </c>
      <c r="AV105" s="490">
        <v>82</v>
      </c>
      <c r="AW105" s="56">
        <v>322</v>
      </c>
      <c r="AX105" s="491">
        <v>933</v>
      </c>
      <c r="AY105" s="87">
        <f t="shared" ref="AY105:AY124" si="86">AV105/AX105</f>
        <v>8.7888531618435156E-2</v>
      </c>
      <c r="AZ105" s="56">
        <v>543</v>
      </c>
      <c r="BA105" s="59">
        <v>163</v>
      </c>
      <c r="BB105" s="492">
        <f>((AZ105-BA105)/(AZ105))*100</f>
        <v>69.981583793738494</v>
      </c>
      <c r="BC105" s="56">
        <v>325</v>
      </c>
      <c r="BD105" s="58">
        <v>50</v>
      </c>
      <c r="BE105" s="489">
        <f>((BC105-BD105)/(BC105))*100</f>
        <v>84.615384615384613</v>
      </c>
      <c r="BF105" s="87">
        <f>BC105/AZ105</f>
        <v>0.59852670349907922</v>
      </c>
      <c r="BG105" s="59">
        <v>122</v>
      </c>
      <c r="BH105" s="58">
        <v>98</v>
      </c>
      <c r="BI105" s="493">
        <f>((BG105-BH105)/(BG105))*100</f>
        <v>19.672131147540984</v>
      </c>
      <c r="BJ105" s="82">
        <v>7.0356666666666667</v>
      </c>
      <c r="BK105" s="62">
        <v>8.5545833333333334</v>
      </c>
      <c r="BL105" s="2">
        <v>0.5</v>
      </c>
      <c r="BM105" s="62">
        <v>2223.3333333333335</v>
      </c>
      <c r="BN105" s="62">
        <v>84.615384615384613</v>
      </c>
      <c r="BO105" s="9">
        <v>6.2</v>
      </c>
      <c r="BP105" s="28">
        <v>8.5</v>
      </c>
      <c r="BQ105" s="59">
        <v>5</v>
      </c>
      <c r="BR105" s="494">
        <v>74.556543874630876</v>
      </c>
      <c r="BS105" s="495">
        <v>95.480081244518288</v>
      </c>
      <c r="BT105" s="496">
        <v>19.672131147540984</v>
      </c>
      <c r="BU105" s="88">
        <v>2.2916666666666665</v>
      </c>
      <c r="BV105" s="279">
        <v>1.1399999999999999</v>
      </c>
      <c r="BY105" s="62"/>
      <c r="CC105" s="47" t="s">
        <v>73</v>
      </c>
      <c r="CD105" s="45" t="s">
        <v>81</v>
      </c>
      <c r="CE105" s="45" t="s">
        <v>82</v>
      </c>
      <c r="CF105" s="45" t="s">
        <v>81</v>
      </c>
      <c r="CG105" s="49" t="s">
        <v>82</v>
      </c>
      <c r="CL105" s="9"/>
      <c r="CT105" s="82">
        <v>102.333333333333</v>
      </c>
      <c r="CU105" s="62">
        <v>168.33333333333331</v>
      </c>
      <c r="CV105" s="6">
        <v>0.68333333333333302</v>
      </c>
      <c r="CW105" s="32">
        <v>1.3333333333333335</v>
      </c>
      <c r="CX105" s="56">
        <v>1.5</v>
      </c>
      <c r="CY105" s="64">
        <v>11</v>
      </c>
      <c r="CZ105" s="6"/>
      <c r="DA105" s="6"/>
      <c r="DB105" s="6"/>
    </row>
    <row r="106" spans="1:235" s="2" customFormat="1" ht="15" customHeight="1" x14ac:dyDescent="0.2">
      <c r="A106" s="28"/>
      <c r="B106" s="497" t="s">
        <v>212</v>
      </c>
      <c r="C106" s="498" t="s">
        <v>213</v>
      </c>
      <c r="D106" s="498">
        <v>2</v>
      </c>
      <c r="E106" s="3">
        <v>21.7</v>
      </c>
      <c r="F106" s="28">
        <v>20.9</v>
      </c>
      <c r="G106" s="3">
        <v>6.95</v>
      </c>
      <c r="H106" s="6">
        <v>8.5133333333333336</v>
      </c>
      <c r="I106" s="82">
        <v>1084.3333333333333</v>
      </c>
      <c r="J106" s="62">
        <v>1989</v>
      </c>
      <c r="K106" s="82">
        <v>774</v>
      </c>
      <c r="L106" s="74">
        <v>1425</v>
      </c>
      <c r="M106" s="62">
        <v>521.66666666666663</v>
      </c>
      <c r="N106" s="28">
        <v>998.5</v>
      </c>
      <c r="O106" s="62">
        <v>496</v>
      </c>
      <c r="P106" s="32">
        <v>24.933333333333334</v>
      </c>
      <c r="R106" s="497" t="s">
        <v>214</v>
      </c>
      <c r="S106" s="498" t="s">
        <v>213</v>
      </c>
      <c r="T106" s="498">
        <v>3</v>
      </c>
      <c r="U106" s="62">
        <v>414.99999999999989</v>
      </c>
      <c r="V106" s="62">
        <v>24.000000000000053</v>
      </c>
      <c r="W106" s="499">
        <f t="shared" ref="W106:W164" si="87">((U106-V106)/(U106))*100</f>
        <v>94.216867469879503</v>
      </c>
      <c r="X106" s="62">
        <v>464.99999999999989</v>
      </c>
      <c r="Y106" s="74">
        <v>60.999999999999943</v>
      </c>
      <c r="Z106" s="500">
        <f t="shared" ref="Z106:Z164" si="88">((X106-Y106)/(X106))*100</f>
        <v>86.881720430107535</v>
      </c>
      <c r="AA106" s="501">
        <v>2386.6666666666665</v>
      </c>
      <c r="AB106" s="73">
        <v>650</v>
      </c>
      <c r="AC106" s="502">
        <f t="shared" ref="AC106:AC164" si="89">((AA106-AB106)/(AA106))*100</f>
        <v>72.765363128491629</v>
      </c>
      <c r="AD106" s="82">
        <v>126</v>
      </c>
      <c r="AE106" s="74">
        <v>187</v>
      </c>
      <c r="AF106" s="502">
        <f t="shared" ref="AF106:AF164" si="90">((AE106-AD106)/(AE106))*100</f>
        <v>32.620320855614978</v>
      </c>
      <c r="AG106" s="35">
        <v>0.40000000000000008</v>
      </c>
      <c r="AH106" s="32">
        <v>1.0666666666666667</v>
      </c>
      <c r="AI106" s="499">
        <f t="shared" ref="AI106:AI139" si="91">((AH106-AG106)/(AH106))*100</f>
        <v>62.499999999999986</v>
      </c>
      <c r="AJ106" s="62">
        <v>5000</v>
      </c>
      <c r="AK106" s="503">
        <v>2</v>
      </c>
      <c r="AL106" s="504">
        <v>42984</v>
      </c>
      <c r="AM106" s="3">
        <v>55</v>
      </c>
      <c r="AN106" s="487">
        <f t="shared" ref="AN106:AN124" si="92">AM106/24</f>
        <v>2.2916666666666665</v>
      </c>
      <c r="AO106" s="505">
        <v>1.1100000000000001</v>
      </c>
      <c r="AP106" s="28">
        <v>50</v>
      </c>
      <c r="AQ106" s="28">
        <v>12</v>
      </c>
      <c r="AR106" s="82">
        <v>19.166666666666664</v>
      </c>
      <c r="AS106" s="74">
        <v>18.133333333333336</v>
      </c>
      <c r="AT106" s="506">
        <f t="shared" ref="AT106:AT124" si="93">((AR106-AS106)/(AR106))*100</f>
        <v>5.3913043478260594</v>
      </c>
      <c r="AU106" s="3">
        <v>196</v>
      </c>
      <c r="AV106" s="507">
        <v>91</v>
      </c>
      <c r="AW106" s="3">
        <v>420</v>
      </c>
      <c r="AX106" s="508">
        <v>538</v>
      </c>
      <c r="AY106" s="26">
        <f t="shared" si="86"/>
        <v>0.16914498141263939</v>
      </c>
      <c r="AZ106" s="3">
        <v>1125</v>
      </c>
      <c r="BA106" s="2">
        <v>77</v>
      </c>
      <c r="BB106" s="509">
        <f t="shared" ref="BB106:BB124" si="94">((AZ106-BA106)/(AZ106))*100</f>
        <v>93.155555555555551</v>
      </c>
      <c r="BC106" s="3">
        <v>450</v>
      </c>
      <c r="BD106" s="28">
        <v>10</v>
      </c>
      <c r="BE106" s="506">
        <f t="shared" ref="BE106:BE124" si="95">((BC106-BD106)/(BC106))*100</f>
        <v>97.777777777777771</v>
      </c>
      <c r="BF106" s="26">
        <f t="shared" ref="BF106:BF124" si="96">BC106/AZ106</f>
        <v>0.4</v>
      </c>
      <c r="BG106" s="2">
        <v>144</v>
      </c>
      <c r="BH106" s="28">
        <v>78</v>
      </c>
      <c r="BI106" s="510">
        <f t="shared" ref="BI106:BI124" si="97">((BG106-BH106)/(BG106))*100</f>
        <v>45.833333333333329</v>
      </c>
      <c r="BJ106" s="82">
        <v>6.9003333333333332</v>
      </c>
      <c r="BK106" s="62">
        <v>7.9053333333333331</v>
      </c>
      <c r="BL106" s="2">
        <v>0.5</v>
      </c>
      <c r="BM106" s="62">
        <v>2547.7777777777787</v>
      </c>
      <c r="BN106" s="62">
        <v>97.777777777777771</v>
      </c>
      <c r="BO106" s="9">
        <v>6.2</v>
      </c>
      <c r="BP106" s="28">
        <v>8.5</v>
      </c>
      <c r="BQ106" s="2">
        <v>12</v>
      </c>
      <c r="BR106" s="500">
        <v>70.863917443704054</v>
      </c>
      <c r="BS106" s="502">
        <v>80.433455433455464</v>
      </c>
      <c r="BT106" s="511">
        <v>45.833333333333329</v>
      </c>
      <c r="BU106" s="9">
        <v>2.2916666666666665</v>
      </c>
      <c r="BV106" s="32">
        <v>1.1100000000000001</v>
      </c>
      <c r="BY106" s="62"/>
      <c r="CC106" s="3">
        <v>5</v>
      </c>
      <c r="CD106" s="62">
        <v>17.55</v>
      </c>
      <c r="CE106" s="62">
        <v>19.866666666666667</v>
      </c>
      <c r="CG106" s="28"/>
      <c r="CL106" s="9"/>
      <c r="CT106" s="82">
        <v>97.444444444444443</v>
      </c>
      <c r="CU106" s="62">
        <v>147.66666666666666</v>
      </c>
      <c r="CV106" s="6">
        <v>0.14444444444444446</v>
      </c>
      <c r="CW106" s="32">
        <v>3.3055555555555554</v>
      </c>
      <c r="CX106" s="3">
        <v>1.5</v>
      </c>
      <c r="CY106" s="74">
        <v>11</v>
      </c>
      <c r="CZ106" s="6"/>
      <c r="DA106" s="6"/>
      <c r="DB106" s="6"/>
    </row>
    <row r="107" spans="1:235" s="2" customFormat="1" ht="15" customHeight="1" x14ac:dyDescent="0.2">
      <c r="A107" s="28"/>
      <c r="B107" s="497" t="s">
        <v>214</v>
      </c>
      <c r="C107" s="498" t="s">
        <v>215</v>
      </c>
      <c r="D107" s="498">
        <v>3</v>
      </c>
      <c r="E107" s="3">
        <v>21.7</v>
      </c>
      <c r="F107" s="28">
        <v>21.7</v>
      </c>
      <c r="G107" s="35">
        <v>7.6050000000000004</v>
      </c>
      <c r="H107" s="6">
        <v>8.59</v>
      </c>
      <c r="I107" s="82">
        <v>1073.5</v>
      </c>
      <c r="J107" s="2">
        <v>1778</v>
      </c>
      <c r="K107" s="3">
        <v>762</v>
      </c>
      <c r="L107" s="74">
        <v>1260</v>
      </c>
      <c r="M107" s="62">
        <v>512.66666666666663</v>
      </c>
      <c r="N107" s="28">
        <v>871.5</v>
      </c>
      <c r="O107" s="2">
        <v>388</v>
      </c>
      <c r="P107" s="32">
        <v>12.35</v>
      </c>
      <c r="R107" s="512">
        <v>42772</v>
      </c>
      <c r="S107" s="498" t="s">
        <v>215</v>
      </c>
      <c r="T107" s="513">
        <v>5</v>
      </c>
      <c r="U107" s="71">
        <v>522.00000000000023</v>
      </c>
      <c r="V107" s="71">
        <v>17.000000000000028</v>
      </c>
      <c r="W107" s="514">
        <f t="shared" si="87"/>
        <v>96.743295019157088</v>
      </c>
      <c r="X107" s="71">
        <v>526</v>
      </c>
      <c r="Y107" s="109">
        <v>45.999999999999943</v>
      </c>
      <c r="Z107" s="515">
        <f t="shared" si="88"/>
        <v>91.254752851711046</v>
      </c>
      <c r="AA107" s="516">
        <v>2856.6666666666665</v>
      </c>
      <c r="AB107" s="108">
        <v>675.66666666666663</v>
      </c>
      <c r="AC107" s="517">
        <f t="shared" si="89"/>
        <v>76.347724620770123</v>
      </c>
      <c r="AD107" s="112">
        <v>78.666666666666671</v>
      </c>
      <c r="AE107" s="109">
        <v>149.66666666666666</v>
      </c>
      <c r="AF107" s="517">
        <f t="shared" si="90"/>
        <v>47.438752783964361</v>
      </c>
      <c r="AG107" s="35">
        <v>0.96666666666666667</v>
      </c>
      <c r="AH107" s="32">
        <v>1.6</v>
      </c>
      <c r="AI107" s="514">
        <f t="shared" si="91"/>
        <v>39.583333333333336</v>
      </c>
      <c r="AJ107" s="62">
        <v>5000</v>
      </c>
      <c r="AK107" s="503">
        <v>3</v>
      </c>
      <c r="AL107" s="504" t="s">
        <v>216</v>
      </c>
      <c r="AM107" s="3">
        <v>55</v>
      </c>
      <c r="AN107" s="487">
        <f t="shared" si="92"/>
        <v>2.2916666666666665</v>
      </c>
      <c r="AO107" s="505">
        <v>1.1100000000000001</v>
      </c>
      <c r="AP107" s="28">
        <v>50</v>
      </c>
      <c r="AQ107" s="28">
        <v>19</v>
      </c>
      <c r="AR107" s="82">
        <v>21.1</v>
      </c>
      <c r="AS107" s="74">
        <v>22.56666666666667</v>
      </c>
      <c r="AT107" s="506">
        <f t="shared" si="93"/>
        <v>-6.9510268562401345</v>
      </c>
      <c r="AU107" s="3">
        <v>229</v>
      </c>
      <c r="AV107" s="507">
        <v>77</v>
      </c>
      <c r="AW107" s="3">
        <v>397</v>
      </c>
      <c r="AX107" s="508">
        <v>722</v>
      </c>
      <c r="AY107" s="26">
        <f t="shared" si="86"/>
        <v>0.10664819944598337</v>
      </c>
      <c r="AZ107" s="3">
        <v>1212</v>
      </c>
      <c r="BA107" s="2">
        <v>91</v>
      </c>
      <c r="BB107" s="509">
        <f t="shared" si="94"/>
        <v>92.491749174917487</v>
      </c>
      <c r="BC107" s="3">
        <v>525</v>
      </c>
      <c r="BD107" s="28">
        <v>35</v>
      </c>
      <c r="BE107" s="506">
        <f t="shared" si="95"/>
        <v>93.333333333333329</v>
      </c>
      <c r="BF107" s="26">
        <f t="shared" si="96"/>
        <v>0.43316831683168316</v>
      </c>
      <c r="BG107" s="2">
        <v>194</v>
      </c>
      <c r="BH107" s="28">
        <v>100</v>
      </c>
      <c r="BI107" s="510">
        <f t="shared" si="97"/>
        <v>48.453608247422679</v>
      </c>
      <c r="BJ107" s="82">
        <v>6.7583333333333302</v>
      </c>
      <c r="BK107" s="62">
        <v>8.1816666666666666</v>
      </c>
      <c r="BL107" s="2">
        <v>0.5</v>
      </c>
      <c r="BM107" s="62">
        <v>2543.3333333333298</v>
      </c>
      <c r="BN107" s="62">
        <v>93.333333333333329</v>
      </c>
      <c r="BO107" s="9">
        <v>6.2</v>
      </c>
      <c r="BP107" s="28">
        <v>8.5</v>
      </c>
      <c r="BQ107" s="2">
        <v>19</v>
      </c>
      <c r="BR107" s="500">
        <v>73.003178041769885</v>
      </c>
      <c r="BS107" s="502">
        <v>78.943243243243344</v>
      </c>
      <c r="BT107" s="511">
        <v>48.453608247422679</v>
      </c>
      <c r="BU107" s="9">
        <v>2.2916666666666665</v>
      </c>
      <c r="BV107" s="32">
        <v>1.1100000000000001</v>
      </c>
      <c r="BY107" s="62"/>
      <c r="CC107" s="3">
        <v>12</v>
      </c>
      <c r="CD107" s="62">
        <v>19.166666666666664</v>
      </c>
      <c r="CE107" s="62">
        <v>18.133333333333336</v>
      </c>
      <c r="CG107" s="28"/>
      <c r="CL107" s="9"/>
      <c r="CT107" s="82">
        <v>134.27777777777777</v>
      </c>
      <c r="CU107" s="62">
        <v>172</v>
      </c>
      <c r="CV107" s="6">
        <v>0.3</v>
      </c>
      <c r="CW107" s="32">
        <v>3.1333333333333333</v>
      </c>
      <c r="CX107" s="3">
        <v>1.5</v>
      </c>
      <c r="CY107" s="74">
        <v>11</v>
      </c>
      <c r="CZ107" s="6"/>
    </row>
    <row r="108" spans="1:235" s="2" customFormat="1" ht="15" customHeight="1" x14ac:dyDescent="0.2">
      <c r="A108" s="28"/>
      <c r="B108" s="497">
        <v>42741</v>
      </c>
      <c r="C108" s="498"/>
      <c r="D108" s="498">
        <v>4</v>
      </c>
      <c r="E108" s="3">
        <v>22.3</v>
      </c>
      <c r="F108" s="28">
        <v>22.2</v>
      </c>
      <c r="G108" s="3">
        <v>6.830000000000001</v>
      </c>
      <c r="H108" s="6">
        <v>8.3866666666666685</v>
      </c>
      <c r="I108" s="3">
        <v>1090</v>
      </c>
      <c r="J108" s="62">
        <v>1577.6666666666667</v>
      </c>
      <c r="K108" s="82">
        <v>774.5</v>
      </c>
      <c r="L108" s="28">
        <v>1120</v>
      </c>
      <c r="M108" s="62">
        <v>536.66666666666663</v>
      </c>
      <c r="N108" s="74">
        <v>781.66666666666663</v>
      </c>
      <c r="O108" s="2">
        <v>392</v>
      </c>
      <c r="P108" s="32">
        <v>10.57</v>
      </c>
      <c r="R108" s="497">
        <v>42861</v>
      </c>
      <c r="S108" s="475" t="s">
        <v>211</v>
      </c>
      <c r="T108" s="475">
        <v>8</v>
      </c>
      <c r="U108" s="62">
        <v>130.00000000000014</v>
      </c>
      <c r="V108" s="62">
        <v>12.5</v>
      </c>
      <c r="W108" s="499">
        <f t="shared" si="87"/>
        <v>90.384615384615401</v>
      </c>
      <c r="X108" s="62">
        <v>239.00000000000006</v>
      </c>
      <c r="Y108" s="74">
        <v>407.49999999999989</v>
      </c>
      <c r="Z108" s="518">
        <f t="shared" si="88"/>
        <v>-70.502092050209114</v>
      </c>
      <c r="AA108" s="519">
        <v>2881.6666666666702</v>
      </c>
      <c r="AB108" s="63">
        <v>768.33333333333337</v>
      </c>
      <c r="AC108" s="494">
        <f t="shared" si="89"/>
        <v>73.337189126662835</v>
      </c>
      <c r="AD108" s="520">
        <v>112.33333333333333</v>
      </c>
      <c r="AE108" s="521">
        <v>154.66666666666666</v>
      </c>
      <c r="AF108" s="494">
        <f>((AE108-AD108)/(AE108))*100</f>
        <v>27.370689655172413</v>
      </c>
      <c r="AG108" s="522">
        <v>3.3333333333333333E-2</v>
      </c>
      <c r="AH108" s="279">
        <v>3.6999999999999997</v>
      </c>
      <c r="AI108" s="523">
        <f t="shared" si="91"/>
        <v>99.099099099099092</v>
      </c>
      <c r="AJ108" s="62">
        <v>5000</v>
      </c>
      <c r="AK108" s="524">
        <v>4</v>
      </c>
      <c r="AL108" s="525" t="s">
        <v>217</v>
      </c>
      <c r="AM108" s="47">
        <v>55</v>
      </c>
      <c r="AN108" s="487">
        <f t="shared" si="92"/>
        <v>2.2916666666666665</v>
      </c>
      <c r="AO108" s="526">
        <v>1.36</v>
      </c>
      <c r="AP108" s="49">
        <v>50</v>
      </c>
      <c r="AQ108" s="49">
        <v>26</v>
      </c>
      <c r="AR108" s="112">
        <v>21.150000000000002</v>
      </c>
      <c r="AS108" s="109">
        <v>20.299999999999997</v>
      </c>
      <c r="AT108" s="527">
        <f t="shared" si="93"/>
        <v>4.0189125295508505</v>
      </c>
      <c r="AU108" s="47">
        <v>112</v>
      </c>
      <c r="AV108" s="528">
        <v>81</v>
      </c>
      <c r="AW108" s="47">
        <v>408</v>
      </c>
      <c r="AX108" s="529">
        <v>550</v>
      </c>
      <c r="AY108" s="76">
        <f t="shared" si="86"/>
        <v>0.14727272727272728</v>
      </c>
      <c r="AZ108" s="47">
        <v>1804</v>
      </c>
      <c r="BA108" s="45">
        <v>77</v>
      </c>
      <c r="BB108" s="530">
        <f t="shared" si="94"/>
        <v>95.731707317073173</v>
      </c>
      <c r="BC108" s="47">
        <v>875</v>
      </c>
      <c r="BD108" s="49">
        <v>20</v>
      </c>
      <c r="BE108" s="527">
        <f t="shared" si="95"/>
        <v>97.714285714285708</v>
      </c>
      <c r="BF108" s="76">
        <f t="shared" si="96"/>
        <v>0.48503325942350334</v>
      </c>
      <c r="BG108" s="45">
        <v>238</v>
      </c>
      <c r="BH108" s="49">
        <v>78</v>
      </c>
      <c r="BI108" s="531">
        <f t="shared" si="97"/>
        <v>67.226890756302524</v>
      </c>
      <c r="BJ108" s="82">
        <v>6.921333333333334</v>
      </c>
      <c r="BK108" s="62">
        <v>8.043333333333333</v>
      </c>
      <c r="BL108" s="2">
        <v>0.5</v>
      </c>
      <c r="BM108" s="62">
        <v>3107.7777777777774</v>
      </c>
      <c r="BN108" s="62">
        <v>97.714285714285708</v>
      </c>
      <c r="BO108" s="9">
        <v>6.2</v>
      </c>
      <c r="BP108" s="28">
        <v>8.5</v>
      </c>
      <c r="BQ108" s="45">
        <v>26</v>
      </c>
      <c r="BR108" s="515">
        <v>78.221848759086811</v>
      </c>
      <c r="BS108" s="517">
        <v>89.913049281615585</v>
      </c>
      <c r="BT108" s="532">
        <v>67.226890756302524</v>
      </c>
      <c r="BU108" s="102">
        <v>2.2916666666666665</v>
      </c>
      <c r="BV108" s="40">
        <v>1.36</v>
      </c>
      <c r="BW108" s="6"/>
      <c r="BX108" s="9"/>
      <c r="BY108" s="9"/>
      <c r="BZ108" s="9"/>
      <c r="CC108" s="3">
        <v>19</v>
      </c>
      <c r="CD108" s="62">
        <v>21.1</v>
      </c>
      <c r="CE108" s="62">
        <v>22.56666666666667</v>
      </c>
      <c r="CF108" s="62"/>
      <c r="CG108" s="74"/>
      <c r="CI108" s="62"/>
      <c r="CJ108" s="62"/>
      <c r="CL108" s="9"/>
      <c r="CM108" s="9"/>
      <c r="CT108" s="82">
        <v>126.55555555555554</v>
      </c>
      <c r="CU108" s="62">
        <v>162.55555555555557</v>
      </c>
      <c r="CV108" s="6">
        <v>1.2</v>
      </c>
      <c r="CW108" s="32">
        <v>5.5777777777777784</v>
      </c>
      <c r="CX108" s="3">
        <v>1.5</v>
      </c>
      <c r="CY108" s="74">
        <v>11</v>
      </c>
      <c r="CZ108" s="6"/>
    </row>
    <row r="109" spans="1:235" s="2" customFormat="1" ht="15" customHeight="1" x14ac:dyDescent="0.2">
      <c r="A109" s="28"/>
      <c r="B109" s="512">
        <v>42772</v>
      </c>
      <c r="C109" s="513"/>
      <c r="D109" s="513">
        <v>5</v>
      </c>
      <c r="E109" s="47">
        <v>21.5</v>
      </c>
      <c r="F109" s="49">
        <v>21.9</v>
      </c>
      <c r="G109" s="35">
        <v>6.7366666666666672</v>
      </c>
      <c r="H109" s="6">
        <v>8.2933333333333312</v>
      </c>
      <c r="I109" s="3">
        <v>1182</v>
      </c>
      <c r="J109" s="62">
        <v>1582.5</v>
      </c>
      <c r="K109" s="82">
        <v>841.66666666666663</v>
      </c>
      <c r="L109" s="28">
        <v>1120</v>
      </c>
      <c r="M109" s="2">
        <v>572</v>
      </c>
      <c r="N109" s="74">
        <v>772.66666666666663</v>
      </c>
      <c r="O109" s="62">
        <v>509</v>
      </c>
      <c r="P109" s="32">
        <v>10.533333333333333</v>
      </c>
      <c r="Q109" s="533">
        <f>AVERAGE(H106:H109)</f>
        <v>8.4458333333333329</v>
      </c>
      <c r="R109" s="497">
        <v>42922</v>
      </c>
      <c r="S109" s="498" t="s">
        <v>218</v>
      </c>
      <c r="T109" s="498">
        <v>10</v>
      </c>
      <c r="U109" s="62">
        <v>227.49999999999986</v>
      </c>
      <c r="V109" s="62">
        <v>89.999999999999858</v>
      </c>
      <c r="W109" s="499">
        <f t="shared" si="87"/>
        <v>60.439560439560481</v>
      </c>
      <c r="X109" s="62">
        <v>305.00000000000006</v>
      </c>
      <c r="Y109" s="74">
        <v>232.49999999999994</v>
      </c>
      <c r="Z109" s="500">
        <f t="shared" si="88"/>
        <v>23.77049180327872</v>
      </c>
      <c r="AA109" s="501">
        <v>2566.6666666666665</v>
      </c>
      <c r="AB109" s="74">
        <v>730.66666666666663</v>
      </c>
      <c r="AC109" s="500">
        <f t="shared" si="89"/>
        <v>71.532467532467535</v>
      </c>
      <c r="AD109" s="82">
        <v>91</v>
      </c>
      <c r="AE109" s="62">
        <v>150.66666666666666</v>
      </c>
      <c r="AF109" s="500">
        <f t="shared" si="90"/>
        <v>39.601769911504419</v>
      </c>
      <c r="AG109" s="35">
        <v>0.10000000000000002</v>
      </c>
      <c r="AH109" s="32">
        <v>2.1500000000000004</v>
      </c>
      <c r="AI109" s="499">
        <f t="shared" si="91"/>
        <v>95.348837209302317</v>
      </c>
      <c r="AJ109" s="62">
        <v>5000</v>
      </c>
      <c r="AK109" s="485">
        <v>5</v>
      </c>
      <c r="AL109" s="486" t="s">
        <v>30</v>
      </c>
      <c r="AM109" s="56">
        <v>96</v>
      </c>
      <c r="AN109" s="534">
        <f t="shared" si="92"/>
        <v>4</v>
      </c>
      <c r="AO109" s="488">
        <v>0.7</v>
      </c>
      <c r="AP109" s="58">
        <v>50</v>
      </c>
      <c r="AQ109" s="58">
        <v>33</v>
      </c>
      <c r="AR109" s="62">
        <v>20.25</v>
      </c>
      <c r="AS109" s="62">
        <v>19.633333333333333</v>
      </c>
      <c r="AT109" s="489">
        <f t="shared" si="93"/>
        <v>3.0452674897119363</v>
      </c>
      <c r="AU109" s="56">
        <v>481</v>
      </c>
      <c r="AV109" s="490">
        <v>104</v>
      </c>
      <c r="AW109" s="56">
        <v>467</v>
      </c>
      <c r="AX109" s="491">
        <v>449</v>
      </c>
      <c r="AY109" s="87">
        <f t="shared" si="86"/>
        <v>0.23162583518930957</v>
      </c>
      <c r="AZ109" s="56">
        <v>1497</v>
      </c>
      <c r="BA109" s="59">
        <v>114</v>
      </c>
      <c r="BB109" s="492">
        <f t="shared" si="94"/>
        <v>92.384769539078164</v>
      </c>
      <c r="BC109" s="56">
        <v>1000</v>
      </c>
      <c r="BD109" s="58">
        <v>170</v>
      </c>
      <c r="BE109" s="489">
        <f t="shared" si="95"/>
        <v>83</v>
      </c>
      <c r="BF109" s="87">
        <f t="shared" si="96"/>
        <v>0.66800267201068808</v>
      </c>
      <c r="BG109" s="59">
        <v>254</v>
      </c>
      <c r="BH109" s="58">
        <v>68</v>
      </c>
      <c r="BI109" s="493">
        <f t="shared" si="97"/>
        <v>73.228346456692918</v>
      </c>
      <c r="BJ109" s="82">
        <v>6.7553333333333345</v>
      </c>
      <c r="BK109" s="62">
        <v>7.7553333333333345</v>
      </c>
      <c r="BL109" s="2">
        <v>0.5</v>
      </c>
      <c r="BM109" s="62">
        <v>2819.4444444444448</v>
      </c>
      <c r="BN109" s="62">
        <v>83</v>
      </c>
      <c r="BO109" s="9">
        <v>6.2</v>
      </c>
      <c r="BP109" s="28">
        <v>8.5</v>
      </c>
      <c r="BQ109" s="59">
        <v>33</v>
      </c>
      <c r="BR109" s="494">
        <v>79.143785031753524</v>
      </c>
      <c r="BS109" s="495">
        <v>86.456416164638867</v>
      </c>
      <c r="BT109" s="496">
        <v>73.228346456692918</v>
      </c>
      <c r="BU109" s="88">
        <v>4</v>
      </c>
      <c r="BV109" s="279">
        <v>0.7</v>
      </c>
      <c r="BW109" s="6"/>
      <c r="BX109" s="9"/>
      <c r="BY109" s="9"/>
      <c r="BZ109" s="9"/>
      <c r="CC109" s="3">
        <v>26</v>
      </c>
      <c r="CD109" s="62">
        <v>21.150000000000002</v>
      </c>
      <c r="CE109" s="62">
        <v>20.299999999999997</v>
      </c>
      <c r="CF109" s="62"/>
      <c r="CG109" s="74"/>
      <c r="CI109" s="62"/>
      <c r="CJ109" s="62"/>
      <c r="CL109" s="9"/>
      <c r="CT109" s="82">
        <v>121.83333333333333</v>
      </c>
      <c r="CU109" s="62">
        <v>135.11111111111111</v>
      </c>
      <c r="CV109" s="6">
        <v>0.49777777777777782</v>
      </c>
      <c r="CW109" s="32">
        <v>4.4833333333333334</v>
      </c>
      <c r="CX109" s="3">
        <v>1.5</v>
      </c>
      <c r="CY109" s="74">
        <v>11</v>
      </c>
      <c r="CZ109" s="6"/>
    </row>
    <row r="110" spans="1:235" s="2" customFormat="1" ht="15" customHeight="1" x14ac:dyDescent="0.2">
      <c r="B110" s="497">
        <v>42861</v>
      </c>
      <c r="C110" s="475" t="s">
        <v>211</v>
      </c>
      <c r="D110" s="58">
        <v>8</v>
      </c>
      <c r="E110" s="2">
        <v>19.3</v>
      </c>
      <c r="F110" s="28">
        <v>19.5</v>
      </c>
      <c r="G110" s="56">
        <v>6.94</v>
      </c>
      <c r="H110" s="535">
        <v>8.1333333333333329</v>
      </c>
      <c r="I110" s="56">
        <v>1189</v>
      </c>
      <c r="J110" s="53">
        <v>1491.6666666666667</v>
      </c>
      <c r="K110" s="56">
        <v>844</v>
      </c>
      <c r="L110" s="64">
        <v>1063.3333333333333</v>
      </c>
      <c r="M110" s="53">
        <v>612.33333333333337</v>
      </c>
      <c r="N110" s="58">
        <v>781</v>
      </c>
      <c r="O110" s="53">
        <v>170.33333333333334</v>
      </c>
      <c r="P110" s="279">
        <v>7.706666666666667</v>
      </c>
      <c r="Q110" s="533"/>
      <c r="R110" s="512">
        <v>42984</v>
      </c>
      <c r="S110" s="498" t="s">
        <v>215</v>
      </c>
      <c r="T110" s="513">
        <v>12</v>
      </c>
      <c r="U110" s="62">
        <v>209.9999999999998</v>
      </c>
      <c r="V110" s="62">
        <v>19.999999999999929</v>
      </c>
      <c r="W110" s="499">
        <f t="shared" si="87"/>
        <v>90.47619047619051</v>
      </c>
      <c r="X110" s="62">
        <v>342.49999999999977</v>
      </c>
      <c r="Y110" s="74">
        <v>127.50000000000021</v>
      </c>
      <c r="Z110" s="500">
        <f t="shared" si="88"/>
        <v>62.773722627737136</v>
      </c>
      <c r="AA110" s="516">
        <v>2195</v>
      </c>
      <c r="AB110" s="109">
        <v>708.5</v>
      </c>
      <c r="AC110" s="515">
        <f t="shared" si="89"/>
        <v>67.722095671981776</v>
      </c>
      <c r="AD110" s="82">
        <v>89</v>
      </c>
      <c r="AE110" s="62">
        <v>137.66666666666666</v>
      </c>
      <c r="AF110" s="515">
        <f t="shared" si="90"/>
        <v>35.351089588377718</v>
      </c>
      <c r="AG110" s="35">
        <v>0.3</v>
      </c>
      <c r="AH110" s="32">
        <v>4.0666666666666664</v>
      </c>
      <c r="AI110" s="514">
        <f t="shared" si="91"/>
        <v>92.622950819672127</v>
      </c>
      <c r="AJ110" s="62">
        <v>5000</v>
      </c>
      <c r="AK110" s="503">
        <v>6</v>
      </c>
      <c r="AL110" s="504">
        <v>42923</v>
      </c>
      <c r="AM110" s="3">
        <v>96</v>
      </c>
      <c r="AN110" s="487">
        <f t="shared" si="92"/>
        <v>4</v>
      </c>
      <c r="AO110" s="505">
        <v>0.77</v>
      </c>
      <c r="AP110" s="28">
        <v>50</v>
      </c>
      <c r="AQ110" s="28">
        <v>40</v>
      </c>
      <c r="AR110" s="62">
        <v>20.666666666666668</v>
      </c>
      <c r="AS110" s="62">
        <v>21</v>
      </c>
      <c r="AT110" s="506">
        <f t="shared" si="93"/>
        <v>-1.6129032258064457</v>
      </c>
      <c r="AU110" s="3">
        <v>351</v>
      </c>
      <c r="AV110" s="507">
        <v>142</v>
      </c>
      <c r="AW110" s="3">
        <v>479</v>
      </c>
      <c r="AX110" s="508">
        <v>430</v>
      </c>
      <c r="AY110" s="26">
        <f t="shared" si="86"/>
        <v>0.33023255813953489</v>
      </c>
      <c r="AZ110" s="3">
        <v>1364</v>
      </c>
      <c r="BA110" s="2">
        <v>100</v>
      </c>
      <c r="BB110" s="509">
        <f t="shared" si="94"/>
        <v>92.668621700879754</v>
      </c>
      <c r="BC110" s="3">
        <v>750</v>
      </c>
      <c r="BD110" s="28">
        <v>10</v>
      </c>
      <c r="BE110" s="506">
        <f t="shared" si="95"/>
        <v>98.666666666666671</v>
      </c>
      <c r="BF110" s="26">
        <f t="shared" si="96"/>
        <v>0.54985337243401755</v>
      </c>
      <c r="BG110" s="2">
        <v>286</v>
      </c>
      <c r="BH110" s="28">
        <v>46</v>
      </c>
      <c r="BI110" s="510">
        <f t="shared" si="97"/>
        <v>83.91608391608392</v>
      </c>
      <c r="BJ110" s="82">
        <v>6.8393333333333333</v>
      </c>
      <c r="BK110" s="62">
        <v>7.4719999999999995</v>
      </c>
      <c r="BL110" s="2">
        <v>0.5</v>
      </c>
      <c r="BM110" s="62">
        <v>3093.8888888888887</v>
      </c>
      <c r="BN110" s="62">
        <v>98.666666666666671</v>
      </c>
      <c r="BO110" s="9">
        <v>6.2</v>
      </c>
      <c r="BP110" s="28">
        <v>8.5</v>
      </c>
      <c r="BQ110" s="2">
        <v>40</v>
      </c>
      <c r="BR110" s="500">
        <v>76.682296081776215</v>
      </c>
      <c r="BS110" s="502">
        <v>78.855089420023774</v>
      </c>
      <c r="BT110" s="511">
        <v>83.91608391608392</v>
      </c>
      <c r="BU110" s="9">
        <v>4</v>
      </c>
      <c r="BV110" s="32">
        <v>0.77</v>
      </c>
      <c r="BW110" s="6"/>
      <c r="BX110" s="9"/>
      <c r="BY110" s="9"/>
      <c r="BZ110" s="9"/>
      <c r="CC110" s="3">
        <v>33</v>
      </c>
      <c r="CD110" s="62">
        <v>20.25</v>
      </c>
      <c r="CE110" s="62">
        <v>19.633333333333333</v>
      </c>
      <c r="CF110" s="62"/>
      <c r="CG110" s="74"/>
      <c r="CI110" s="62"/>
      <c r="CL110" s="9"/>
      <c r="CT110" s="82">
        <v>123.33333333333333</v>
      </c>
      <c r="CU110" s="62">
        <v>131.77777777777777</v>
      </c>
      <c r="CV110" s="6">
        <v>0.48888888888888893</v>
      </c>
      <c r="CW110" s="32">
        <v>7.3277777777777784</v>
      </c>
      <c r="CX110" s="3">
        <v>1.5</v>
      </c>
      <c r="CY110" s="74">
        <v>11</v>
      </c>
      <c r="CZ110" s="6"/>
    </row>
    <row r="111" spans="1:235" s="2" customFormat="1" ht="15" customHeight="1" x14ac:dyDescent="0.2">
      <c r="B111" s="536">
        <v>42892</v>
      </c>
      <c r="C111" s="498" t="s">
        <v>218</v>
      </c>
      <c r="D111" s="498">
        <v>9</v>
      </c>
      <c r="E111" s="2">
        <v>20.399999999999999</v>
      </c>
      <c r="F111" s="28">
        <v>21.5</v>
      </c>
      <c r="G111" s="35">
        <v>7.2549999999999999</v>
      </c>
      <c r="H111" s="2">
        <v>7.56</v>
      </c>
      <c r="I111" s="3">
        <v>1075</v>
      </c>
      <c r="J111" s="2">
        <v>1021</v>
      </c>
      <c r="K111" s="82">
        <v>767.66666666666663</v>
      </c>
      <c r="L111" s="28">
        <v>726</v>
      </c>
      <c r="M111" s="62">
        <v>557.33333333333337</v>
      </c>
      <c r="N111" s="28">
        <v>529</v>
      </c>
      <c r="O111" s="62">
        <v>354.66666666666669</v>
      </c>
      <c r="P111" s="32">
        <v>15.956666666666669</v>
      </c>
      <c r="Q111" s="533"/>
      <c r="R111" s="474">
        <v>43075</v>
      </c>
      <c r="S111" s="475" t="s">
        <v>211</v>
      </c>
      <c r="T111" s="475">
        <v>15</v>
      </c>
      <c r="U111" s="53">
        <v>454.5454545454545</v>
      </c>
      <c r="V111" s="53">
        <v>65.454545454545737</v>
      </c>
      <c r="W111" s="523">
        <f t="shared" si="87"/>
        <v>85.599999999999937</v>
      </c>
      <c r="X111" s="53">
        <v>940.45454545454618</v>
      </c>
      <c r="Y111" s="64">
        <v>608.63636363636419</v>
      </c>
      <c r="Z111" s="494">
        <f t="shared" si="88"/>
        <v>35.282745287578535</v>
      </c>
      <c r="AA111" s="501">
        <v>2628.3333333333335</v>
      </c>
      <c r="AB111" s="61">
        <v>716.66666666666663</v>
      </c>
      <c r="AC111" s="494">
        <f t="shared" si="89"/>
        <v>72.733037412809139</v>
      </c>
      <c r="AD111" s="85">
        <v>121.33333333333333</v>
      </c>
      <c r="AE111" s="64">
        <v>154</v>
      </c>
      <c r="AF111" s="494">
        <f t="shared" si="90"/>
        <v>21.212121212121215</v>
      </c>
      <c r="AG111" s="537">
        <v>0.26666666666666666</v>
      </c>
      <c r="AH111" s="538">
        <v>3.4333333333333336</v>
      </c>
      <c r="AI111" s="523">
        <f t="shared" si="91"/>
        <v>92.233009708737868</v>
      </c>
      <c r="AJ111" s="62">
        <v>5000</v>
      </c>
      <c r="AK111" s="503">
        <v>7</v>
      </c>
      <c r="AL111" s="504" t="s">
        <v>33</v>
      </c>
      <c r="AM111" s="3">
        <v>96</v>
      </c>
      <c r="AN111" s="487">
        <f t="shared" si="92"/>
        <v>4</v>
      </c>
      <c r="AO111" s="505">
        <v>0.84</v>
      </c>
      <c r="AP111" s="28">
        <v>50</v>
      </c>
      <c r="AQ111" s="28">
        <v>47</v>
      </c>
      <c r="AR111" s="82"/>
      <c r="AS111" s="62"/>
      <c r="AT111" s="506" t="e">
        <f t="shared" si="93"/>
        <v>#DIV/0!</v>
      </c>
      <c r="AU111" s="3">
        <v>311</v>
      </c>
      <c r="AV111" s="507">
        <v>134</v>
      </c>
      <c r="AW111" s="3">
        <v>533</v>
      </c>
      <c r="AX111" s="508">
        <v>639</v>
      </c>
      <c r="AY111" s="26">
        <f t="shared" si="86"/>
        <v>0.20970266040688576</v>
      </c>
      <c r="AZ111" s="3">
        <v>1724</v>
      </c>
      <c r="BA111" s="2">
        <v>129</v>
      </c>
      <c r="BB111" s="509">
        <f t="shared" si="94"/>
        <v>92.517401392111367</v>
      </c>
      <c r="BC111" s="3">
        <v>1050</v>
      </c>
      <c r="BD111" s="28">
        <v>60</v>
      </c>
      <c r="BE111" s="506">
        <f t="shared" si="95"/>
        <v>94.285714285714278</v>
      </c>
      <c r="BF111" s="26">
        <f t="shared" si="96"/>
        <v>0.60904872389791187</v>
      </c>
      <c r="BG111" s="2">
        <v>202</v>
      </c>
      <c r="BH111" s="28">
        <v>24</v>
      </c>
      <c r="BI111" s="510">
        <f t="shared" si="97"/>
        <v>88.118811881188122</v>
      </c>
      <c r="BJ111" s="82">
        <v>6.8650000000000002</v>
      </c>
      <c r="BK111" s="62">
        <v>8.0650000000000013</v>
      </c>
      <c r="BL111" s="2">
        <v>0.5</v>
      </c>
      <c r="BM111" s="62">
        <v>3360</v>
      </c>
      <c r="BN111" s="62">
        <v>94.285714285714278</v>
      </c>
      <c r="BO111" s="9">
        <v>6.2</v>
      </c>
      <c r="BP111" s="28">
        <v>8.5</v>
      </c>
      <c r="BQ111" s="2">
        <v>47</v>
      </c>
      <c r="BR111" s="500">
        <v>77.220274986333536</v>
      </c>
      <c r="BS111" s="502">
        <v>91.516135170294049</v>
      </c>
      <c r="BT111" s="511">
        <v>88.118811881188122</v>
      </c>
      <c r="BU111" s="9">
        <v>4</v>
      </c>
      <c r="BV111" s="32">
        <v>0.84</v>
      </c>
      <c r="BW111" s="6"/>
      <c r="BX111" s="9"/>
      <c r="BY111" s="9"/>
      <c r="BZ111" s="9"/>
      <c r="CB111" s="2" t="s">
        <v>219</v>
      </c>
      <c r="CC111" s="3">
        <v>40</v>
      </c>
      <c r="CD111" s="62">
        <v>20.666666666666668</v>
      </c>
      <c r="CE111" s="62">
        <v>21</v>
      </c>
      <c r="CF111" s="62"/>
      <c r="CG111" s="74"/>
      <c r="CI111" s="62"/>
      <c r="CJ111" s="62"/>
      <c r="CL111" s="9"/>
      <c r="CT111" s="82">
        <v>138.7777777777778</v>
      </c>
      <c r="CU111" s="62">
        <v>170.05555555555554</v>
      </c>
      <c r="CV111" s="6">
        <v>1.3388888888888888</v>
      </c>
      <c r="CW111" s="32">
        <v>7.8</v>
      </c>
      <c r="CX111" s="3">
        <v>1.5</v>
      </c>
      <c r="CY111" s="74">
        <v>11</v>
      </c>
      <c r="CZ111" s="6"/>
    </row>
    <row r="112" spans="1:235" s="2" customFormat="1" ht="15" customHeight="1" x14ac:dyDescent="0.2">
      <c r="B112" s="536">
        <v>42922</v>
      </c>
      <c r="C112" s="498" t="s">
        <v>215</v>
      </c>
      <c r="D112" s="498">
        <v>10</v>
      </c>
      <c r="E112" s="2">
        <v>16.100000000000001</v>
      </c>
      <c r="F112" s="28">
        <v>17.100000000000001</v>
      </c>
      <c r="G112" s="35">
        <v>6.7666666666666666</v>
      </c>
      <c r="H112" s="6">
        <v>7.9366666666666665</v>
      </c>
      <c r="I112" s="82">
        <v>1221</v>
      </c>
      <c r="J112" s="2">
        <v>1558</v>
      </c>
      <c r="K112" s="82">
        <v>866</v>
      </c>
      <c r="L112" s="28">
        <v>1110</v>
      </c>
      <c r="M112" s="2">
        <v>607</v>
      </c>
      <c r="N112" s="74">
        <v>791.33333333333337</v>
      </c>
      <c r="O112" s="62">
        <v>233</v>
      </c>
      <c r="P112" s="32">
        <v>30.066666666666666</v>
      </c>
      <c r="Q112" s="533"/>
      <c r="R112" s="497" t="s">
        <v>220</v>
      </c>
      <c r="S112" s="498" t="s">
        <v>218</v>
      </c>
      <c r="T112" s="498">
        <v>17</v>
      </c>
      <c r="U112" s="2">
        <v>370.00000000000028</v>
      </c>
      <c r="V112" s="2">
        <v>74.999999999998579</v>
      </c>
      <c r="W112" s="499">
        <f t="shared" si="87"/>
        <v>79.729729729730124</v>
      </c>
      <c r="X112" s="2">
        <v>1180.0000000000009</v>
      </c>
      <c r="Y112" s="28">
        <v>945.00000000000023</v>
      </c>
      <c r="Z112" s="500">
        <f t="shared" si="88"/>
        <v>19.915254237288178</v>
      </c>
      <c r="AA112" s="501">
        <v>2576.6666666666665</v>
      </c>
      <c r="AB112" s="61">
        <v>751</v>
      </c>
      <c r="AC112" s="500">
        <f t="shared" si="89"/>
        <v>70.853816300129367</v>
      </c>
      <c r="AD112" s="82">
        <v>117</v>
      </c>
      <c r="AE112" s="74">
        <v>159.5</v>
      </c>
      <c r="AF112" s="500">
        <f t="shared" si="90"/>
        <v>26.645768025078372</v>
      </c>
      <c r="AG112" s="539">
        <v>0.53333333333333333</v>
      </c>
      <c r="AH112" s="540">
        <v>2.9333333333333336</v>
      </c>
      <c r="AI112" s="499">
        <f t="shared" si="91"/>
        <v>81.818181818181827</v>
      </c>
      <c r="AJ112" s="62">
        <v>5000</v>
      </c>
      <c r="AK112" s="524">
        <v>8</v>
      </c>
      <c r="AL112" s="525" t="s">
        <v>38</v>
      </c>
      <c r="AM112" s="541">
        <v>96</v>
      </c>
      <c r="AN112" s="542">
        <f t="shared" si="92"/>
        <v>4</v>
      </c>
      <c r="AO112" s="543">
        <v>0.8</v>
      </c>
      <c r="AP112" s="544">
        <v>75</v>
      </c>
      <c r="AQ112" s="545">
        <v>54</v>
      </c>
      <c r="AR112" s="112">
        <v>42</v>
      </c>
      <c r="AS112" s="546" t="e">
        <v>#DIV/0!</v>
      </c>
      <c r="AT112" s="527" t="e">
        <f t="shared" si="93"/>
        <v>#DIV/0!</v>
      </c>
      <c r="AU112" s="547">
        <v>898</v>
      </c>
      <c r="AV112" s="548">
        <v>379</v>
      </c>
      <c r="AW112" s="547">
        <v>773</v>
      </c>
      <c r="AX112" s="549">
        <v>743</v>
      </c>
      <c r="AY112" s="550">
        <f t="shared" si="86"/>
        <v>0.51009421265141319</v>
      </c>
      <c r="AZ112" s="541">
        <v>2043</v>
      </c>
      <c r="BA112" s="551">
        <v>135</v>
      </c>
      <c r="BB112" s="552">
        <f t="shared" si="94"/>
        <v>93.392070484581495</v>
      </c>
      <c r="BC112" s="541">
        <v>1200</v>
      </c>
      <c r="BD112" s="544">
        <v>10</v>
      </c>
      <c r="BE112" s="553">
        <f t="shared" si="95"/>
        <v>99.166666666666671</v>
      </c>
      <c r="BF112" s="76">
        <f t="shared" si="96"/>
        <v>0.58737151248164465</v>
      </c>
      <c r="BG112" s="45">
        <v>258</v>
      </c>
      <c r="BH112" s="49">
        <v>62</v>
      </c>
      <c r="BI112" s="531">
        <f t="shared" si="97"/>
        <v>75.968992248062023</v>
      </c>
      <c r="BJ112" s="82">
        <v>7.0540000000000003</v>
      </c>
      <c r="BK112" s="62">
        <v>7.9786666666666672</v>
      </c>
      <c r="BL112" s="2">
        <v>0.5</v>
      </c>
      <c r="BM112" s="62">
        <v>2908.8888888888887</v>
      </c>
      <c r="BN112" s="62">
        <v>99.166666666666671</v>
      </c>
      <c r="BO112" s="554">
        <v>5.5</v>
      </c>
      <c r="BP112" s="555">
        <v>12</v>
      </c>
      <c r="BQ112" s="556">
        <v>54</v>
      </c>
      <c r="BR112" s="557">
        <v>76.259082825518462</v>
      </c>
      <c r="BS112" s="558">
        <v>81.931041358850024</v>
      </c>
      <c r="BT112" s="559">
        <v>75.968992248062023</v>
      </c>
      <c r="BU112" s="560">
        <v>4</v>
      </c>
      <c r="BV112" s="561">
        <v>0.8</v>
      </c>
      <c r="BW112" s="6"/>
      <c r="BX112" s="9"/>
      <c r="BY112" s="9"/>
      <c r="BZ112" s="9"/>
      <c r="CB112" s="2">
        <v>400</v>
      </c>
      <c r="CC112" s="3">
        <v>47</v>
      </c>
      <c r="CD112" s="62"/>
      <c r="CE112" s="62"/>
      <c r="CF112" s="62"/>
      <c r="CG112" s="74"/>
      <c r="CI112" s="62"/>
      <c r="CJ112" s="62"/>
      <c r="CL112" s="9"/>
      <c r="CM112" s="9"/>
      <c r="CT112" s="82">
        <v>180.61111111111111</v>
      </c>
      <c r="CU112" s="62">
        <v>199.44444444444446</v>
      </c>
      <c r="CV112" s="6">
        <v>0.78333333333333333</v>
      </c>
      <c r="CW112" s="32">
        <v>13.472222222222223</v>
      </c>
      <c r="CX112" s="3">
        <v>1.5</v>
      </c>
      <c r="CY112" s="74">
        <v>11</v>
      </c>
      <c r="CZ112" s="6"/>
    </row>
    <row r="113" spans="1:104" s="2" customFormat="1" ht="15" customHeight="1" x14ac:dyDescent="0.2">
      <c r="B113" s="536">
        <v>42953</v>
      </c>
      <c r="C113" s="498"/>
      <c r="D113" s="498">
        <v>11</v>
      </c>
      <c r="E113" s="2">
        <v>19.5</v>
      </c>
      <c r="F113" s="28">
        <v>19.899999999999999</v>
      </c>
      <c r="G113" s="35">
        <v>6.7266666666666666</v>
      </c>
      <c r="H113" s="2">
        <v>8.02</v>
      </c>
      <c r="I113" s="82">
        <v>1143</v>
      </c>
      <c r="J113" s="62">
        <v>1456.3333333333333</v>
      </c>
      <c r="K113" s="82">
        <v>819.5</v>
      </c>
      <c r="L113" s="74">
        <v>1036.6666666666667</v>
      </c>
      <c r="M113" s="2">
        <v>579</v>
      </c>
      <c r="N113" s="74">
        <v>741.66666666666663</v>
      </c>
      <c r="O113" s="2">
        <v>468</v>
      </c>
      <c r="P113" s="32">
        <v>7.2366666666666672</v>
      </c>
      <c r="Q113" s="533"/>
      <c r="R113" s="512" t="s">
        <v>216</v>
      </c>
      <c r="S113" s="498" t="s">
        <v>215</v>
      </c>
      <c r="T113" s="513">
        <v>19</v>
      </c>
      <c r="U113" s="71">
        <v>333.33333333333331</v>
      </c>
      <c r="V113" s="45">
        <v>95.000000000000028</v>
      </c>
      <c r="W113" s="514">
        <f t="shared" si="87"/>
        <v>71.499999999999986</v>
      </c>
      <c r="X113" s="71">
        <v>725.00000000000023</v>
      </c>
      <c r="Y113" s="109">
        <v>560.90909090909167</v>
      </c>
      <c r="Z113" s="515">
        <f t="shared" si="88"/>
        <v>22.633228840125312</v>
      </c>
      <c r="AA113" s="501">
        <v>2425</v>
      </c>
      <c r="AB113" s="61">
        <v>596</v>
      </c>
      <c r="AC113" s="515">
        <f t="shared" si="89"/>
        <v>75.422680412371136</v>
      </c>
      <c r="AD113" s="112">
        <v>164.5</v>
      </c>
      <c r="AE113" s="109">
        <v>202.5</v>
      </c>
      <c r="AF113" s="515">
        <f t="shared" si="90"/>
        <v>18.765432098765434</v>
      </c>
      <c r="AG113" s="562">
        <v>0.10000000000000002</v>
      </c>
      <c r="AH113" s="563">
        <v>3.0333333333333332</v>
      </c>
      <c r="AI113" s="514">
        <f t="shared" si="91"/>
        <v>96.703296703296701</v>
      </c>
      <c r="AJ113" s="62">
        <v>5000</v>
      </c>
      <c r="AK113" s="485">
        <v>9</v>
      </c>
      <c r="AL113" s="486" t="s">
        <v>43</v>
      </c>
      <c r="AM113" s="75">
        <v>48</v>
      </c>
      <c r="AN113" s="564">
        <f t="shared" si="92"/>
        <v>2</v>
      </c>
      <c r="AO113" s="565">
        <v>1.92</v>
      </c>
      <c r="AP113" s="66">
        <v>100</v>
      </c>
      <c r="AQ113" s="566">
        <v>61</v>
      </c>
      <c r="AR113" s="85">
        <v>38</v>
      </c>
      <c r="AS113" s="53">
        <v>27.333333333333332</v>
      </c>
      <c r="AT113" s="489">
        <f t="shared" si="93"/>
        <v>28.070175438596497</v>
      </c>
      <c r="AU113" s="567">
        <v>672</v>
      </c>
      <c r="AV113" s="568">
        <v>387</v>
      </c>
      <c r="AW113" s="567">
        <v>923</v>
      </c>
      <c r="AX113" s="569">
        <v>781</v>
      </c>
      <c r="AY113" s="570">
        <f t="shared" si="86"/>
        <v>0.49551856594110116</v>
      </c>
      <c r="AZ113" s="75">
        <v>3286</v>
      </c>
      <c r="BA113" s="54">
        <v>173</v>
      </c>
      <c r="BB113" s="571">
        <f t="shared" si="94"/>
        <v>94.735240413877051</v>
      </c>
      <c r="BC113" s="75">
        <v>1700</v>
      </c>
      <c r="BD113" s="66">
        <v>175</v>
      </c>
      <c r="BE113" s="572">
        <f t="shared" si="95"/>
        <v>89.705882352941174</v>
      </c>
      <c r="BF113" s="87">
        <f t="shared" si="96"/>
        <v>0.5173463177115033</v>
      </c>
      <c r="BG113" s="59">
        <v>406</v>
      </c>
      <c r="BH113" s="58">
        <v>30</v>
      </c>
      <c r="BI113" s="493">
        <f t="shared" si="97"/>
        <v>92.610837438423644</v>
      </c>
      <c r="BJ113" s="82">
        <v>7.1219999999999999</v>
      </c>
      <c r="BK113" s="62">
        <v>7.809333333333333</v>
      </c>
      <c r="BL113" s="2">
        <v>0.5</v>
      </c>
      <c r="BM113" s="62">
        <v>3923.8888888888887</v>
      </c>
      <c r="BN113" s="62"/>
      <c r="BO113" s="554">
        <v>5.5</v>
      </c>
      <c r="BP113" s="555">
        <v>12</v>
      </c>
      <c r="BQ113" s="59">
        <v>61</v>
      </c>
      <c r="BR113" s="494">
        <v>82.344909855741506</v>
      </c>
      <c r="BS113" s="495">
        <v>88.365465385392838</v>
      </c>
      <c r="BT113" s="496">
        <v>92.610837438423644</v>
      </c>
      <c r="BU113" s="88">
        <v>2</v>
      </c>
      <c r="BV113" s="279">
        <v>1.92</v>
      </c>
      <c r="BW113" s="6"/>
      <c r="BX113" s="9"/>
      <c r="BY113" s="9"/>
      <c r="BZ113" s="9"/>
      <c r="CB113" s="2">
        <v>400</v>
      </c>
      <c r="CC113" s="3">
        <v>54</v>
      </c>
      <c r="CD113" s="62">
        <v>42</v>
      </c>
      <c r="CE113" s="62" t="e">
        <v>#DIV/0!</v>
      </c>
      <c r="CF113" s="62"/>
      <c r="CG113" s="74"/>
      <c r="CI113" s="62"/>
      <c r="CL113" s="9"/>
      <c r="CM113" s="9"/>
      <c r="CT113" s="82">
        <v>226.7777777777778</v>
      </c>
      <c r="CU113" s="62">
        <v>219.61111111111109</v>
      </c>
      <c r="CV113" s="6">
        <v>1.7222222222222221</v>
      </c>
      <c r="CW113" s="32">
        <v>14.049999999999999</v>
      </c>
      <c r="CX113" s="3">
        <v>1.5</v>
      </c>
      <c r="CY113" s="74">
        <v>11</v>
      </c>
      <c r="CZ113" s="6"/>
    </row>
    <row r="114" spans="1:104" s="2" customFormat="1" ht="15" customHeight="1" x14ac:dyDescent="0.2">
      <c r="B114" s="573">
        <v>42984</v>
      </c>
      <c r="C114" s="513"/>
      <c r="D114" s="513">
        <v>12</v>
      </c>
      <c r="E114" s="2">
        <v>18.899999999999999</v>
      </c>
      <c r="F114" s="26">
        <v>18.8</v>
      </c>
      <c r="G114" s="42">
        <v>6.8133333333333326</v>
      </c>
      <c r="H114" s="38">
        <v>7.8766666666666678</v>
      </c>
      <c r="I114" s="112">
        <v>1166.6666666666667</v>
      </c>
      <c r="J114" s="71">
        <v>1472.6666666666667</v>
      </c>
      <c r="K114" s="112">
        <v>829.33333333333337</v>
      </c>
      <c r="L114" s="109">
        <v>1046.6666666666667</v>
      </c>
      <c r="M114" s="45">
        <v>580</v>
      </c>
      <c r="N114" s="109">
        <v>740.66666666666663</v>
      </c>
      <c r="O114" s="71">
        <v>284.33333333333331</v>
      </c>
      <c r="P114" s="40">
        <v>4.6366666666666667</v>
      </c>
      <c r="Q114" s="533">
        <f>AVERAGE(H110:H114)</f>
        <v>7.9053333333333331</v>
      </c>
      <c r="R114" s="474" t="s">
        <v>221</v>
      </c>
      <c r="S114" s="475" t="s">
        <v>211</v>
      </c>
      <c r="T114" s="475">
        <v>22</v>
      </c>
      <c r="U114" s="62">
        <v>635.22727272727252</v>
      </c>
      <c r="V114" s="62">
        <v>63.636363636363896</v>
      </c>
      <c r="W114" s="499">
        <f t="shared" si="87"/>
        <v>89.982110912343444</v>
      </c>
      <c r="X114" s="62">
        <v>1058.3333333333337</v>
      </c>
      <c r="Y114" s="74">
        <v>577.27272727272816</v>
      </c>
      <c r="Z114" s="494">
        <f t="shared" si="88"/>
        <v>45.454545454545389</v>
      </c>
      <c r="AA114" s="519">
        <v>3216.6666666666665</v>
      </c>
      <c r="AB114" s="63">
        <v>615.66666666666663</v>
      </c>
      <c r="AC114" s="494">
        <f t="shared" si="89"/>
        <v>80.860103626943015</v>
      </c>
      <c r="AD114" s="85">
        <v>130.66666666666666</v>
      </c>
      <c r="AE114" s="53">
        <v>173.33333333333334</v>
      </c>
      <c r="AF114" s="494">
        <f t="shared" si="90"/>
        <v>24.615384615384624</v>
      </c>
      <c r="AG114" s="35">
        <v>1.5999999999999999</v>
      </c>
      <c r="AH114" s="32">
        <v>4.2333333333333334</v>
      </c>
      <c r="AI114" s="523">
        <f t="shared" si="91"/>
        <v>62.204724409448829</v>
      </c>
      <c r="AJ114" s="62">
        <v>5000</v>
      </c>
      <c r="AK114" s="503">
        <v>10</v>
      </c>
      <c r="AL114" s="504">
        <v>42833</v>
      </c>
      <c r="AM114" s="36">
        <v>48</v>
      </c>
      <c r="AN114" s="542">
        <f t="shared" si="92"/>
        <v>2</v>
      </c>
      <c r="AO114" s="574">
        <v>1.76</v>
      </c>
      <c r="AP114" s="33">
        <v>100</v>
      </c>
      <c r="AQ114" s="216">
        <v>68</v>
      </c>
      <c r="AR114" s="82">
        <v>29.333333333333332</v>
      </c>
      <c r="AS114" s="62">
        <v>21.333333333333332</v>
      </c>
      <c r="AT114" s="506">
        <f t="shared" si="93"/>
        <v>27.272727272727277</v>
      </c>
      <c r="AU114" s="575">
        <v>474</v>
      </c>
      <c r="AV114" s="576">
        <v>402</v>
      </c>
      <c r="AW114" s="575">
        <v>473</v>
      </c>
      <c r="AX114" s="577">
        <v>408</v>
      </c>
      <c r="AY114" s="578">
        <f t="shared" si="86"/>
        <v>0.98529411764705888</v>
      </c>
      <c r="AZ114" s="36">
        <v>2329</v>
      </c>
      <c r="BA114" s="217">
        <v>172</v>
      </c>
      <c r="BB114" s="579">
        <f t="shared" si="94"/>
        <v>92.614856161442688</v>
      </c>
      <c r="BC114" s="36">
        <v>1500</v>
      </c>
      <c r="BD114" s="33">
        <v>165</v>
      </c>
      <c r="BE114" s="580">
        <f t="shared" si="95"/>
        <v>89</v>
      </c>
      <c r="BF114" s="26">
        <f t="shared" si="96"/>
        <v>0.64405324173465006</v>
      </c>
      <c r="BG114" s="2">
        <v>494</v>
      </c>
      <c r="BH114" s="28">
        <v>32</v>
      </c>
      <c r="BI114" s="510">
        <f t="shared" si="97"/>
        <v>93.522267206477736</v>
      </c>
      <c r="BJ114" s="82">
        <v>6.9986666666666668</v>
      </c>
      <c r="BK114" s="62">
        <v>7.4106666666666667</v>
      </c>
      <c r="BL114" s="2">
        <v>0.5</v>
      </c>
      <c r="BM114" s="62">
        <v>3554.4444444444448</v>
      </c>
      <c r="BN114" s="62">
        <v>89</v>
      </c>
      <c r="BO114" s="554">
        <v>5.5</v>
      </c>
      <c r="BP114" s="555">
        <v>12</v>
      </c>
      <c r="BQ114" s="2">
        <v>68</v>
      </c>
      <c r="BR114" s="500">
        <v>78.346872471010542</v>
      </c>
      <c r="BS114" s="502">
        <v>90.4739761187368</v>
      </c>
      <c r="BT114" s="511">
        <v>93.522267206477736</v>
      </c>
      <c r="BU114" s="9">
        <v>2</v>
      </c>
      <c r="BV114" s="32">
        <v>1.76</v>
      </c>
      <c r="BW114" s="6"/>
      <c r="BX114" s="9"/>
      <c r="BY114" s="9"/>
      <c r="BZ114" s="9"/>
      <c r="CB114" s="2">
        <v>400</v>
      </c>
      <c r="CC114" s="56">
        <v>61</v>
      </c>
      <c r="CD114" s="53">
        <v>38</v>
      </c>
      <c r="CE114" s="64">
        <v>27.333333333333332</v>
      </c>
      <c r="CF114" s="85">
        <f>CD114*$CF$103</f>
        <v>116.508</v>
      </c>
      <c r="CG114" s="64">
        <f>CE114*$CF$103</f>
        <v>83.803999999999988</v>
      </c>
      <c r="CI114" s="62"/>
      <c r="CL114" s="9"/>
      <c r="CM114" s="9"/>
      <c r="CT114" s="82">
        <v>164.55555555555554</v>
      </c>
      <c r="CU114" s="62">
        <v>192.2777777777778</v>
      </c>
      <c r="CV114" s="6">
        <v>2.3777777777777778</v>
      </c>
      <c r="CW114" s="32">
        <v>19.616666666666664</v>
      </c>
      <c r="CX114" s="3">
        <v>1.5</v>
      </c>
      <c r="CY114" s="74">
        <v>11</v>
      </c>
      <c r="CZ114" s="6"/>
    </row>
    <row r="115" spans="1:104" s="2" customFormat="1" ht="15" customHeight="1" x14ac:dyDescent="0.2">
      <c r="B115" s="581">
        <v>43075</v>
      </c>
      <c r="C115" s="475" t="s">
        <v>211</v>
      </c>
      <c r="D115" s="56">
        <v>15</v>
      </c>
      <c r="E115" s="56">
        <v>18.3</v>
      </c>
      <c r="F115" s="58">
        <v>19.3</v>
      </c>
      <c r="G115" s="56">
        <v>6.7600000000000007</v>
      </c>
      <c r="H115" s="535">
        <v>7.8033333333333337</v>
      </c>
      <c r="I115" s="56">
        <v>1238</v>
      </c>
      <c r="J115" s="53">
        <v>1551</v>
      </c>
      <c r="K115" s="85">
        <v>874.5</v>
      </c>
      <c r="L115" s="64">
        <v>1113.3333333333333</v>
      </c>
      <c r="M115" s="53">
        <v>623.66666666666663</v>
      </c>
      <c r="N115" s="58">
        <v>799</v>
      </c>
      <c r="O115" s="53">
        <v>475.5</v>
      </c>
      <c r="P115" s="279">
        <v>10.37</v>
      </c>
      <c r="Q115" s="533"/>
      <c r="R115" s="497" t="s">
        <v>222</v>
      </c>
      <c r="S115" s="498" t="s">
        <v>223</v>
      </c>
      <c r="T115" s="498">
        <v>24</v>
      </c>
      <c r="U115" s="2">
        <v>414.99999999999841</v>
      </c>
      <c r="V115" s="62">
        <v>33.33333333333286</v>
      </c>
      <c r="W115" s="499">
        <f t="shared" si="87"/>
        <v>91.96787148594386</v>
      </c>
      <c r="X115" s="62">
        <v>913.33333333333212</v>
      </c>
      <c r="Y115" s="74">
        <v>493.33333333333258</v>
      </c>
      <c r="Z115" s="500">
        <f t="shared" si="88"/>
        <v>45.985401459854025</v>
      </c>
      <c r="AA115" s="501">
        <v>2876.6666666666665</v>
      </c>
      <c r="AB115" s="73">
        <v>690</v>
      </c>
      <c r="AC115" s="500">
        <f t="shared" si="89"/>
        <v>76.013904982618769</v>
      </c>
      <c r="AD115" s="82">
        <v>140</v>
      </c>
      <c r="AE115" s="62">
        <v>170</v>
      </c>
      <c r="AF115" s="500">
        <f t="shared" si="90"/>
        <v>17.647058823529413</v>
      </c>
      <c r="AG115" s="35">
        <v>0.6333333333333333</v>
      </c>
      <c r="AH115" s="32">
        <v>7.3</v>
      </c>
      <c r="AI115" s="499">
        <f t="shared" si="91"/>
        <v>91.324200913242009</v>
      </c>
      <c r="AJ115" s="62">
        <v>5000</v>
      </c>
      <c r="AK115" s="503">
        <v>11</v>
      </c>
      <c r="AL115" s="504">
        <v>43047</v>
      </c>
      <c r="AM115" s="3">
        <v>48</v>
      </c>
      <c r="AN115" s="487">
        <f t="shared" si="92"/>
        <v>2</v>
      </c>
      <c r="AO115" s="505">
        <v>2.1800000000000002</v>
      </c>
      <c r="AP115" s="28">
        <v>100</v>
      </c>
      <c r="AQ115" s="218">
        <v>75</v>
      </c>
      <c r="AR115" s="82">
        <v>42.333333333333336</v>
      </c>
      <c r="AS115" s="62">
        <v>25</v>
      </c>
      <c r="AT115" s="506">
        <f t="shared" si="93"/>
        <v>40.944881889763785</v>
      </c>
      <c r="AU115" s="3">
        <v>366</v>
      </c>
      <c r="AV115" s="507">
        <v>88</v>
      </c>
      <c r="AW115" s="3">
        <v>443</v>
      </c>
      <c r="AX115" s="508">
        <v>395</v>
      </c>
      <c r="AY115" s="26">
        <f t="shared" si="86"/>
        <v>0.22278481012658227</v>
      </c>
      <c r="AZ115" s="3">
        <v>4241</v>
      </c>
      <c r="BA115" s="2">
        <v>148</v>
      </c>
      <c r="BB115" s="509">
        <f t="shared" si="94"/>
        <v>96.510257014854986</v>
      </c>
      <c r="BC115" s="3">
        <v>2125</v>
      </c>
      <c r="BD115" s="28">
        <v>60</v>
      </c>
      <c r="BE115" s="506">
        <f t="shared" si="95"/>
        <v>97.176470588235304</v>
      </c>
      <c r="BF115" s="26">
        <f t="shared" si="96"/>
        <v>0.50106107050224002</v>
      </c>
      <c r="BG115" s="2">
        <v>584</v>
      </c>
      <c r="BH115" s="28">
        <v>35</v>
      </c>
      <c r="BI115" s="510">
        <f t="shared" si="97"/>
        <v>94.006849315068493</v>
      </c>
      <c r="BJ115" s="82">
        <v>6.9239999999999995</v>
      </c>
      <c r="BK115" s="62">
        <v>7.0860000000000003</v>
      </c>
      <c r="BL115" s="2">
        <v>0.5</v>
      </c>
      <c r="BM115" s="62">
        <v>4361.6666666666661</v>
      </c>
      <c r="BN115" s="62">
        <v>97.176470588235304</v>
      </c>
      <c r="BO115" s="554">
        <v>5.5</v>
      </c>
      <c r="BP115" s="555">
        <v>12</v>
      </c>
      <c r="BQ115" s="2">
        <v>75</v>
      </c>
      <c r="BR115" s="500">
        <v>78.677729713873575</v>
      </c>
      <c r="BS115" s="502">
        <v>91.11894082795402</v>
      </c>
      <c r="BT115" s="511">
        <v>94.006849315068493</v>
      </c>
      <c r="BU115" s="9">
        <v>2</v>
      </c>
      <c r="BV115" s="32">
        <v>2.1800000000000002</v>
      </c>
      <c r="BW115" s="6"/>
      <c r="BX115" s="9"/>
      <c r="BY115" s="9"/>
      <c r="BZ115" s="9"/>
      <c r="CB115" s="2">
        <v>400</v>
      </c>
      <c r="CC115" s="3">
        <v>68</v>
      </c>
      <c r="CD115" s="62">
        <v>29.333333333333332</v>
      </c>
      <c r="CE115" s="74">
        <v>21.333333333333332</v>
      </c>
      <c r="CF115" s="82">
        <f t="shared" ref="CF115:CG125" si="98">CD115*$CF$103</f>
        <v>89.935999999999993</v>
      </c>
      <c r="CG115" s="74">
        <f t="shared" si="98"/>
        <v>65.407999999999987</v>
      </c>
      <c r="CI115" s="62"/>
      <c r="CL115" s="9"/>
      <c r="CM115" s="9"/>
      <c r="CT115" s="82">
        <v>204.94444444444446</v>
      </c>
      <c r="CU115" s="62">
        <v>175.88888888888891</v>
      </c>
      <c r="CV115" s="6">
        <v>3.4666666666666668</v>
      </c>
      <c r="CW115" s="32">
        <v>20.3</v>
      </c>
      <c r="CX115" s="3">
        <v>1.5</v>
      </c>
      <c r="CY115" s="74">
        <v>11</v>
      </c>
      <c r="CZ115" s="6"/>
    </row>
    <row r="116" spans="1:104" s="2" customFormat="1" ht="15" customHeight="1" x14ac:dyDescent="0.2">
      <c r="A116" s="582"/>
      <c r="B116" s="583" t="s">
        <v>224</v>
      </c>
      <c r="C116" s="584" t="s">
        <v>218</v>
      </c>
      <c r="D116" s="585">
        <v>16</v>
      </c>
      <c r="E116" s="586"/>
      <c r="F116" s="587"/>
      <c r="G116" s="586"/>
      <c r="H116" s="588"/>
      <c r="I116" s="586"/>
      <c r="J116" s="588"/>
      <c r="K116" s="586"/>
      <c r="L116" s="587"/>
      <c r="M116" s="589"/>
      <c r="N116" s="590"/>
      <c r="O116" s="589"/>
      <c r="P116" s="591"/>
      <c r="Q116" s="533"/>
      <c r="R116" s="512" t="s">
        <v>217</v>
      </c>
      <c r="S116" s="513" t="s">
        <v>215</v>
      </c>
      <c r="T116" s="513">
        <v>26</v>
      </c>
      <c r="U116" s="71">
        <v>517.42424242424147</v>
      </c>
      <c r="V116" s="71">
        <v>63.181818181817434</v>
      </c>
      <c r="W116" s="514">
        <f t="shared" si="87"/>
        <v>87.789165446559409</v>
      </c>
      <c r="X116" s="62">
        <v>971.21212121212056</v>
      </c>
      <c r="Y116" s="74">
        <v>553.6363636363634</v>
      </c>
      <c r="Z116" s="515">
        <f t="shared" si="88"/>
        <v>42.995319812792502</v>
      </c>
      <c r="AA116" s="501">
        <v>3230</v>
      </c>
      <c r="AB116" s="73">
        <v>717.33333333333337</v>
      </c>
      <c r="AC116" s="515">
        <f t="shared" si="89"/>
        <v>77.791537667698648</v>
      </c>
      <c r="AD116" s="112">
        <v>109</v>
      </c>
      <c r="AE116" s="71">
        <v>144.33333333333334</v>
      </c>
      <c r="AF116" s="515">
        <f t="shared" si="90"/>
        <v>24.480369515011553</v>
      </c>
      <c r="AG116" s="42">
        <v>1.3666666666666665</v>
      </c>
      <c r="AH116" s="40">
        <v>5.2</v>
      </c>
      <c r="AI116" s="514">
        <f t="shared" si="91"/>
        <v>73.71794871794873</v>
      </c>
      <c r="AJ116" s="62">
        <v>5000</v>
      </c>
      <c r="AK116" s="524">
        <v>12</v>
      </c>
      <c r="AL116" s="525" t="s">
        <v>49</v>
      </c>
      <c r="AM116" s="47">
        <v>48</v>
      </c>
      <c r="AN116" s="592">
        <f t="shared" si="92"/>
        <v>2</v>
      </c>
      <c r="AO116" s="526">
        <v>1.98</v>
      </c>
      <c r="AP116" s="49">
        <v>100</v>
      </c>
      <c r="AQ116" s="593">
        <v>82</v>
      </c>
      <c r="AR116" s="112">
        <v>35.666666666666664</v>
      </c>
      <c r="AS116" s="71">
        <v>29</v>
      </c>
      <c r="AT116" s="527">
        <f t="shared" si="93"/>
        <v>18.691588785046722</v>
      </c>
      <c r="AU116" s="47">
        <v>345</v>
      </c>
      <c r="AV116" s="528">
        <v>58</v>
      </c>
      <c r="AW116" s="47">
        <v>458</v>
      </c>
      <c r="AX116" s="529">
        <v>660</v>
      </c>
      <c r="AY116" s="76">
        <f t="shared" si="86"/>
        <v>8.7878787878787876E-2</v>
      </c>
      <c r="AZ116" s="47">
        <v>2975</v>
      </c>
      <c r="BA116" s="45">
        <v>145</v>
      </c>
      <c r="BB116" s="530">
        <f t="shared" si="94"/>
        <v>95.126050420168056</v>
      </c>
      <c r="BC116" s="47">
        <v>1500</v>
      </c>
      <c r="BD116" s="49">
        <v>155</v>
      </c>
      <c r="BE116" s="527">
        <f t="shared" si="95"/>
        <v>89.666666666666657</v>
      </c>
      <c r="BF116" s="76">
        <f t="shared" si="96"/>
        <v>0.50420168067226889</v>
      </c>
      <c r="BG116" s="45">
        <v>382</v>
      </c>
      <c r="BH116" s="49">
        <v>46</v>
      </c>
      <c r="BI116" s="531">
        <f t="shared" si="97"/>
        <v>87.958115183246079</v>
      </c>
      <c r="BJ116" s="82">
        <v>6.5586666666666655</v>
      </c>
      <c r="BK116" s="62">
        <v>7.7626666666666662</v>
      </c>
      <c r="BL116" s="2">
        <v>0.5</v>
      </c>
      <c r="BM116" s="62">
        <v>3950.5555555555561</v>
      </c>
      <c r="BN116" s="62">
        <v>89.666666666666657</v>
      </c>
      <c r="BO116" s="554">
        <v>5.5</v>
      </c>
      <c r="BP116" s="555">
        <v>12</v>
      </c>
      <c r="BQ116" s="45">
        <v>82</v>
      </c>
      <c r="BR116" s="515">
        <v>77.730061999671648</v>
      </c>
      <c r="BS116" s="517">
        <v>89.013533520077587</v>
      </c>
      <c r="BT116" s="532">
        <v>87.958115183246079</v>
      </c>
      <c r="BU116" s="102">
        <v>2</v>
      </c>
      <c r="BV116" s="40">
        <v>1.98</v>
      </c>
      <c r="BW116" s="6"/>
      <c r="BX116" s="9"/>
      <c r="BY116" s="9"/>
      <c r="BZ116" s="9"/>
      <c r="CB116" s="2">
        <v>400</v>
      </c>
      <c r="CC116" s="3">
        <v>75</v>
      </c>
      <c r="CD116" s="62">
        <v>42.333333333333336</v>
      </c>
      <c r="CE116" s="74">
        <v>25</v>
      </c>
      <c r="CF116" s="82">
        <f t="shared" si="98"/>
        <v>129.79400000000001</v>
      </c>
      <c r="CG116" s="74">
        <f t="shared" si="98"/>
        <v>76.649999999999991</v>
      </c>
      <c r="CI116" s="62"/>
      <c r="CL116" s="9"/>
      <c r="CM116" s="9"/>
      <c r="CT116" s="82">
        <v>220.83333333333334</v>
      </c>
      <c r="CU116" s="62">
        <v>204</v>
      </c>
      <c r="CV116" s="6">
        <v>1.4122222222222225</v>
      </c>
      <c r="CW116" s="32">
        <v>14.033333333333333</v>
      </c>
      <c r="CX116" s="3">
        <v>1.5</v>
      </c>
      <c r="CY116" s="74">
        <v>11</v>
      </c>
      <c r="CZ116" s="6"/>
    </row>
    <row r="117" spans="1:104" s="2" customFormat="1" ht="15" customHeight="1" x14ac:dyDescent="0.2">
      <c r="B117" s="536" t="s">
        <v>220</v>
      </c>
      <c r="C117" s="498" t="s">
        <v>215</v>
      </c>
      <c r="D117" s="3">
        <v>17</v>
      </c>
      <c r="E117" s="3">
        <v>21.5</v>
      </c>
      <c r="F117" s="28">
        <v>21.2</v>
      </c>
      <c r="G117" s="35">
        <v>6.6533333333333333</v>
      </c>
      <c r="H117" s="6">
        <v>8.2766666666666673</v>
      </c>
      <c r="I117" s="3">
        <v>1148</v>
      </c>
      <c r="J117" s="2">
        <v>1646</v>
      </c>
      <c r="K117" s="82">
        <v>814.33333333333337</v>
      </c>
      <c r="L117" s="28">
        <v>1180</v>
      </c>
      <c r="M117" s="2">
        <v>578</v>
      </c>
      <c r="N117" s="74">
        <v>851.66666666666663</v>
      </c>
      <c r="O117" s="62">
        <v>229.66666666666666</v>
      </c>
      <c r="P117" s="32">
        <v>32.700000000000003</v>
      </c>
      <c r="Q117" s="533"/>
      <c r="R117" s="497" t="s">
        <v>26</v>
      </c>
      <c r="S117" s="498" t="s">
        <v>225</v>
      </c>
      <c r="T117" s="498">
        <v>29</v>
      </c>
      <c r="U117" s="62">
        <v>593.18181818181893</v>
      </c>
      <c r="V117" s="62">
        <v>86.363636363635578</v>
      </c>
      <c r="W117" s="494">
        <f t="shared" si="87"/>
        <v>85.440613026820074</v>
      </c>
      <c r="X117" s="85">
        <v>937.50000000000091</v>
      </c>
      <c r="Y117" s="64">
        <v>605.90909090909042</v>
      </c>
      <c r="Z117" s="502">
        <f t="shared" si="88"/>
        <v>35.369696969697081</v>
      </c>
      <c r="AA117" s="519">
        <v>3240</v>
      </c>
      <c r="AB117" s="63">
        <v>699</v>
      </c>
      <c r="AC117" s="500">
        <f t="shared" si="89"/>
        <v>78.425925925925924</v>
      </c>
      <c r="AD117" s="82">
        <v>158.5</v>
      </c>
      <c r="AE117" s="62">
        <v>148.33333333333334</v>
      </c>
      <c r="AF117" s="500">
        <f>((AE117-AD117)/(AE117))*100</f>
        <v>-6.8539325842696561</v>
      </c>
      <c r="AG117" s="522">
        <v>0.83333333333333337</v>
      </c>
      <c r="AH117" s="279">
        <v>4.0333333333333332</v>
      </c>
      <c r="AI117" s="499">
        <f t="shared" si="91"/>
        <v>79.338842975206603</v>
      </c>
      <c r="AJ117" s="62">
        <v>5000</v>
      </c>
      <c r="AK117" s="485">
        <v>13</v>
      </c>
      <c r="AL117" s="486" t="s">
        <v>54</v>
      </c>
      <c r="AM117" s="56">
        <v>36</v>
      </c>
      <c r="AN117" s="487">
        <f t="shared" si="92"/>
        <v>1.5</v>
      </c>
      <c r="AO117" s="488">
        <v>3.2</v>
      </c>
      <c r="AP117" s="58">
        <v>100</v>
      </c>
      <c r="AQ117" s="594">
        <v>89</v>
      </c>
      <c r="AR117" s="62">
        <v>34.666666666666664</v>
      </c>
      <c r="AS117" s="62">
        <v>31</v>
      </c>
      <c r="AT117" s="489">
        <f t="shared" si="93"/>
        <v>10.576923076923071</v>
      </c>
      <c r="AU117" s="56">
        <v>295</v>
      </c>
      <c r="AV117" s="490">
        <v>87</v>
      </c>
      <c r="AW117" s="56">
        <v>459</v>
      </c>
      <c r="AX117" s="491">
        <v>474</v>
      </c>
      <c r="AY117" s="87">
        <f t="shared" si="86"/>
        <v>0.18354430379746836</v>
      </c>
      <c r="AZ117" s="56">
        <v>3723</v>
      </c>
      <c r="BA117" s="59">
        <v>152</v>
      </c>
      <c r="BB117" s="492">
        <f t="shared" si="94"/>
        <v>95.917271017996242</v>
      </c>
      <c r="BC117" s="56">
        <v>1750</v>
      </c>
      <c r="BD117" s="58">
        <v>85</v>
      </c>
      <c r="BE117" s="489">
        <f t="shared" si="95"/>
        <v>95.142857142857139</v>
      </c>
      <c r="BF117" s="87">
        <f t="shared" si="96"/>
        <v>0.47005103411227506</v>
      </c>
      <c r="BG117" s="59">
        <v>472</v>
      </c>
      <c r="BH117" s="58">
        <v>49</v>
      </c>
      <c r="BI117" s="493">
        <f t="shared" si="97"/>
        <v>89.618644067796609</v>
      </c>
      <c r="BJ117" s="82">
        <v>6.5126666666666662</v>
      </c>
      <c r="BK117" s="62">
        <v>7.5933333333333337</v>
      </c>
      <c r="BL117" s="2">
        <v>0.5</v>
      </c>
      <c r="BM117" s="62">
        <v>4800</v>
      </c>
      <c r="BN117" s="62">
        <v>95.142857142857139</v>
      </c>
      <c r="BO117" s="554">
        <v>5.5</v>
      </c>
      <c r="BP117" s="555">
        <v>12</v>
      </c>
      <c r="BQ117" s="59">
        <v>89</v>
      </c>
      <c r="BR117" s="494">
        <v>82.709893554726477</v>
      </c>
      <c r="BS117" s="495">
        <v>95.732054750928953</v>
      </c>
      <c r="BT117" s="496">
        <v>89.618644067796609</v>
      </c>
      <c r="BU117" s="88">
        <v>1.5</v>
      </c>
      <c r="BV117" s="279">
        <v>3.2</v>
      </c>
      <c r="BW117" s="6"/>
      <c r="BX117" s="9"/>
      <c r="BY117" s="9"/>
      <c r="BZ117" s="9"/>
      <c r="CB117" s="2">
        <v>400</v>
      </c>
      <c r="CC117" s="3">
        <v>82</v>
      </c>
      <c r="CD117" s="62">
        <v>35.666666666666664</v>
      </c>
      <c r="CE117" s="74">
        <v>29</v>
      </c>
      <c r="CF117" s="82">
        <f t="shared" si="98"/>
        <v>109.35399999999998</v>
      </c>
      <c r="CG117" s="74">
        <f t="shared" si="98"/>
        <v>88.914000000000001</v>
      </c>
      <c r="CI117" s="62"/>
      <c r="CL117" s="9"/>
      <c r="CM117" s="9"/>
      <c r="CT117" s="82">
        <v>222</v>
      </c>
      <c r="CU117" s="62">
        <v>182.66666666666666</v>
      </c>
      <c r="CV117" s="6">
        <v>2.5322222222222224</v>
      </c>
      <c r="CW117" s="32">
        <v>17.95</v>
      </c>
      <c r="CX117" s="3">
        <v>1.5</v>
      </c>
      <c r="CY117" s="74">
        <v>11</v>
      </c>
      <c r="CZ117" s="6"/>
    </row>
    <row r="118" spans="1:104" s="2" customFormat="1" ht="15" customHeight="1" x14ac:dyDescent="0.2">
      <c r="B118" s="536" t="s">
        <v>226</v>
      </c>
      <c r="C118" s="498"/>
      <c r="D118" s="3">
        <v>18</v>
      </c>
      <c r="E118" s="3">
        <v>19.5</v>
      </c>
      <c r="F118" s="28">
        <v>20.2</v>
      </c>
      <c r="G118" s="35">
        <v>6.7433333333333332</v>
      </c>
      <c r="H118" s="2">
        <v>8.36</v>
      </c>
      <c r="I118" s="82">
        <v>1151.6666666666667</v>
      </c>
      <c r="J118" s="62">
        <v>1921.6666666666667</v>
      </c>
      <c r="K118" s="82">
        <v>820.66666666666663</v>
      </c>
      <c r="L118" s="74">
        <v>1363.3333333333333</v>
      </c>
      <c r="M118" s="2">
        <v>588</v>
      </c>
      <c r="N118" s="74">
        <v>1003.3333333333334</v>
      </c>
      <c r="O118" s="2">
        <v>332</v>
      </c>
      <c r="P118" s="32">
        <v>8.1733333333333338</v>
      </c>
      <c r="Q118" s="533"/>
      <c r="R118" s="497" t="s">
        <v>28</v>
      </c>
      <c r="S118" s="498" t="s">
        <v>227</v>
      </c>
      <c r="T118" s="498">
        <v>31</v>
      </c>
      <c r="U118" s="62">
        <v>460.90909090909042</v>
      </c>
      <c r="V118" s="62">
        <v>36.363636363638172</v>
      </c>
      <c r="W118" s="500">
        <f t="shared" si="87"/>
        <v>92.110453648914785</v>
      </c>
      <c r="X118" s="82">
        <v>1202.2727272727268</v>
      </c>
      <c r="Y118" s="74">
        <v>713.63636363636442</v>
      </c>
      <c r="Z118" s="502">
        <f t="shared" si="88"/>
        <v>40.642722117202176</v>
      </c>
      <c r="AA118" s="501">
        <v>2728.3333333333335</v>
      </c>
      <c r="AB118" s="73">
        <v>590.33333333333337</v>
      </c>
      <c r="AC118" s="500">
        <f t="shared" si="89"/>
        <v>78.362858888210141</v>
      </c>
      <c r="AD118" s="82">
        <v>108.5</v>
      </c>
      <c r="AE118" s="62">
        <v>138</v>
      </c>
      <c r="AF118" s="500">
        <f t="shared" si="90"/>
        <v>21.376811594202898</v>
      </c>
      <c r="AG118" s="35">
        <v>0.5</v>
      </c>
      <c r="AH118" s="32">
        <v>6.9666666666666659</v>
      </c>
      <c r="AI118" s="499">
        <f t="shared" si="91"/>
        <v>92.822966507177028</v>
      </c>
      <c r="AJ118" s="62">
        <v>5000</v>
      </c>
      <c r="AK118" s="503">
        <v>14</v>
      </c>
      <c r="AL118" s="504">
        <v>42744</v>
      </c>
      <c r="AM118" s="3">
        <v>36</v>
      </c>
      <c r="AN118" s="487">
        <f t="shared" si="92"/>
        <v>1.5</v>
      </c>
      <c r="AO118" s="505">
        <v>3.64</v>
      </c>
      <c r="AP118" s="28">
        <v>100</v>
      </c>
      <c r="AQ118" s="218">
        <v>96</v>
      </c>
      <c r="AR118" s="62">
        <v>34.333333333333336</v>
      </c>
      <c r="AS118" s="62">
        <v>30.333333333333332</v>
      </c>
      <c r="AT118" s="506">
        <f t="shared" si="93"/>
        <v>11.650485436893215</v>
      </c>
      <c r="AU118" s="3">
        <v>414</v>
      </c>
      <c r="AV118" s="507">
        <v>73</v>
      </c>
      <c r="AW118" s="3">
        <v>430</v>
      </c>
      <c r="AX118" s="508">
        <v>481</v>
      </c>
      <c r="AY118" s="26">
        <f t="shared" si="86"/>
        <v>0.15176715176715178</v>
      </c>
      <c r="AZ118" s="3">
        <v>4466</v>
      </c>
      <c r="BA118" s="2">
        <v>138</v>
      </c>
      <c r="BB118" s="509">
        <f t="shared" si="94"/>
        <v>96.909986565158974</v>
      </c>
      <c r="BC118" s="3">
        <v>2375</v>
      </c>
      <c r="BD118" s="28">
        <v>160</v>
      </c>
      <c r="BE118" s="506">
        <f t="shared" si="95"/>
        <v>93.263157894736835</v>
      </c>
      <c r="BF118" s="26">
        <f t="shared" si="96"/>
        <v>0.53179579041648006</v>
      </c>
      <c r="BG118" s="2">
        <v>584</v>
      </c>
      <c r="BH118" s="28">
        <v>52</v>
      </c>
      <c r="BI118" s="510">
        <f t="shared" si="97"/>
        <v>91.095890410958901</v>
      </c>
      <c r="BJ118" s="82">
        <v>6.5973333333333333</v>
      </c>
      <c r="BK118" s="62">
        <v>7.5406666666666666</v>
      </c>
      <c r="BL118" s="2">
        <v>0.5</v>
      </c>
      <c r="BM118" s="62">
        <v>5460.5555555555547</v>
      </c>
      <c r="BN118" s="62">
        <v>93.263157894736835</v>
      </c>
      <c r="BO118" s="554">
        <v>5.5</v>
      </c>
      <c r="BP118" s="555">
        <v>12</v>
      </c>
      <c r="BQ118" s="2">
        <v>96</v>
      </c>
      <c r="BR118" s="500">
        <v>85.255795066950796</v>
      </c>
      <c r="BS118" s="502">
        <v>96.058096199407714</v>
      </c>
      <c r="BT118" s="511">
        <v>91.095890410958901</v>
      </c>
      <c r="BU118" s="9">
        <v>1.5</v>
      </c>
      <c r="BV118" s="32">
        <v>3.64</v>
      </c>
      <c r="BW118" s="6"/>
      <c r="BX118" s="9"/>
      <c r="BY118" s="9"/>
      <c r="BZ118" s="9"/>
      <c r="CB118" s="2">
        <v>400</v>
      </c>
      <c r="CC118" s="3">
        <v>89</v>
      </c>
      <c r="CD118" s="62">
        <v>34.666666666666664</v>
      </c>
      <c r="CE118" s="74">
        <v>31</v>
      </c>
      <c r="CF118" s="82">
        <f t="shared" si="98"/>
        <v>106.28799999999998</v>
      </c>
      <c r="CG118" s="74">
        <f t="shared" si="98"/>
        <v>95.045999999999992</v>
      </c>
      <c r="CI118" s="62"/>
      <c r="CL118" s="9"/>
      <c r="CM118" s="9"/>
      <c r="CT118" s="82">
        <v>212.44444444444446</v>
      </c>
      <c r="CU118" s="62">
        <v>172.83333333333334</v>
      </c>
      <c r="CV118" s="6">
        <v>4.511111111111112</v>
      </c>
      <c r="CW118" s="32">
        <v>15</v>
      </c>
      <c r="CX118" s="3">
        <v>1.5</v>
      </c>
      <c r="CY118" s="74">
        <v>11</v>
      </c>
      <c r="CZ118" s="6"/>
    </row>
    <row r="119" spans="1:104" s="2" customFormat="1" ht="15" customHeight="1" x14ac:dyDescent="0.2">
      <c r="B119" s="573" t="s">
        <v>216</v>
      </c>
      <c r="C119" s="513"/>
      <c r="D119" s="47">
        <v>19</v>
      </c>
      <c r="E119" s="47">
        <v>19.600000000000001</v>
      </c>
      <c r="F119" s="76">
        <v>20</v>
      </c>
      <c r="G119" s="42">
        <v>6.876666666666666</v>
      </c>
      <c r="H119" s="38">
        <v>8.2866666666666671</v>
      </c>
      <c r="I119" s="112">
        <v>1153.6666666666667</v>
      </c>
      <c r="J119" s="71">
        <v>1841.6666666666667</v>
      </c>
      <c r="K119" s="47">
        <v>819</v>
      </c>
      <c r="L119" s="109">
        <v>1306.6666666666667</v>
      </c>
      <c r="M119" s="71">
        <v>587.66666666666663</v>
      </c>
      <c r="N119" s="49">
        <v>958</v>
      </c>
      <c r="O119" s="45">
        <v>176</v>
      </c>
      <c r="P119" s="40">
        <v>6.0533333333333337</v>
      </c>
      <c r="Q119" s="533">
        <f>AVERAGE(H115:H119)</f>
        <v>8.1816666666666666</v>
      </c>
      <c r="R119" s="497" t="s">
        <v>30</v>
      </c>
      <c r="S119" s="498" t="s">
        <v>215</v>
      </c>
      <c r="T119" s="498">
        <v>33</v>
      </c>
      <c r="U119" s="62">
        <v>384.99999999999943</v>
      </c>
      <c r="V119" s="62">
        <v>70.000000000000284</v>
      </c>
      <c r="W119" s="515">
        <f t="shared" si="87"/>
        <v>81.818181818181714</v>
      </c>
      <c r="X119" s="47">
        <v>1279.9999999999995</v>
      </c>
      <c r="Y119" s="49">
        <v>984.99999999999955</v>
      </c>
      <c r="Z119" s="502">
        <f t="shared" si="88"/>
        <v>23.046875000000007</v>
      </c>
      <c r="AA119" s="501">
        <v>2490</v>
      </c>
      <c r="AB119" s="73">
        <v>482</v>
      </c>
      <c r="AC119" s="500">
        <f t="shared" si="89"/>
        <v>80.642570281124492</v>
      </c>
      <c r="AD119" s="82">
        <v>98.5</v>
      </c>
      <c r="AE119" s="62">
        <v>119</v>
      </c>
      <c r="AF119" s="500">
        <f t="shared" si="90"/>
        <v>17.22689075630252</v>
      </c>
      <c r="AG119" s="35">
        <v>0.16</v>
      </c>
      <c r="AH119" s="32">
        <v>2.4500000000000002</v>
      </c>
      <c r="AI119" s="499">
        <f t="shared" si="91"/>
        <v>93.469387755102034</v>
      </c>
      <c r="AJ119" s="62">
        <v>5000</v>
      </c>
      <c r="AK119" s="503">
        <v>15</v>
      </c>
      <c r="AL119" s="504">
        <v>42956</v>
      </c>
      <c r="AM119" s="3">
        <v>36</v>
      </c>
      <c r="AN119" s="487">
        <f t="shared" si="92"/>
        <v>1.5</v>
      </c>
      <c r="AO119" s="505">
        <v>4.8899999999999997</v>
      </c>
      <c r="AP119" s="28">
        <v>100</v>
      </c>
      <c r="AQ119" s="218">
        <v>103</v>
      </c>
      <c r="AR119" s="82">
        <v>35.666666666666664</v>
      </c>
      <c r="AS119" s="62">
        <v>29</v>
      </c>
      <c r="AT119" s="506">
        <f t="shared" si="93"/>
        <v>18.691588785046722</v>
      </c>
      <c r="AU119" s="3"/>
      <c r="AV119" s="507">
        <v>67</v>
      </c>
      <c r="AW119" s="3"/>
      <c r="AX119" s="508">
        <v>494</v>
      </c>
      <c r="AY119" s="26">
        <f t="shared" si="86"/>
        <v>0.13562753036437247</v>
      </c>
      <c r="AZ119" s="3">
        <v>5634</v>
      </c>
      <c r="BA119" s="2">
        <v>137</v>
      </c>
      <c r="BB119" s="509">
        <f t="shared" si="94"/>
        <v>97.568335108271214</v>
      </c>
      <c r="BC119" s="82">
        <v>4000</v>
      </c>
      <c r="BD119" s="74">
        <v>95</v>
      </c>
      <c r="BE119" s="506">
        <f t="shared" si="95"/>
        <v>97.625</v>
      </c>
      <c r="BF119" s="26">
        <f t="shared" si="96"/>
        <v>0.70997515086971952</v>
      </c>
      <c r="BG119" s="62">
        <v>1194</v>
      </c>
      <c r="BH119" s="74">
        <v>28</v>
      </c>
      <c r="BI119" s="510">
        <f t="shared" si="97"/>
        <v>97.654941373534342</v>
      </c>
      <c r="BJ119" s="82">
        <v>6.6349999999999998</v>
      </c>
      <c r="BK119" s="62">
        <v>7.7008333333333328</v>
      </c>
      <c r="BL119" s="2">
        <v>0.5</v>
      </c>
      <c r="BM119" s="62">
        <v>7339.4444444444443</v>
      </c>
      <c r="BN119" s="62">
        <v>97.625</v>
      </c>
      <c r="BO119" s="554">
        <v>5.5</v>
      </c>
      <c r="BP119" s="555">
        <v>12</v>
      </c>
      <c r="BQ119" s="2">
        <v>103</v>
      </c>
      <c r="BR119" s="500">
        <v>88.127396956189315</v>
      </c>
      <c r="BS119" s="502">
        <v>94.16572399196825</v>
      </c>
      <c r="BT119" s="511">
        <v>97.654941373534342</v>
      </c>
      <c r="BU119" s="9">
        <v>1.5</v>
      </c>
      <c r="BV119" s="32">
        <v>4.8899999999999997</v>
      </c>
      <c r="BW119" s="6"/>
      <c r="BX119" s="9"/>
      <c r="BY119" s="9"/>
      <c r="BZ119" s="9"/>
      <c r="CB119" s="2">
        <v>400</v>
      </c>
      <c r="CC119" s="3">
        <v>96</v>
      </c>
      <c r="CD119" s="62">
        <v>34.333333333333336</v>
      </c>
      <c r="CE119" s="74">
        <v>30.333333333333332</v>
      </c>
      <c r="CF119" s="82">
        <f t="shared" si="98"/>
        <v>105.26600000000001</v>
      </c>
      <c r="CG119" s="74">
        <f t="shared" si="98"/>
        <v>93.001999999999995</v>
      </c>
      <c r="CI119" s="62"/>
      <c r="CL119" s="9"/>
      <c r="CM119" s="9"/>
      <c r="CT119" s="82">
        <v>246.44444444444446</v>
      </c>
      <c r="CU119" s="62">
        <v>200.83333333333334</v>
      </c>
      <c r="CV119" s="6">
        <v>3.8944444444444444</v>
      </c>
      <c r="CW119" s="32">
        <v>13.883333333333333</v>
      </c>
      <c r="CX119" s="3">
        <v>1.5</v>
      </c>
      <c r="CY119" s="74">
        <v>11</v>
      </c>
      <c r="CZ119" s="6"/>
    </row>
    <row r="120" spans="1:104" s="2" customFormat="1" ht="15" customHeight="1" x14ac:dyDescent="0.2">
      <c r="B120" s="581" t="s">
        <v>221</v>
      </c>
      <c r="C120" s="475" t="s">
        <v>211</v>
      </c>
      <c r="D120" s="475">
        <v>22</v>
      </c>
      <c r="E120" s="56">
        <v>20.5</v>
      </c>
      <c r="F120" s="58">
        <v>20.5</v>
      </c>
      <c r="G120" s="35">
        <v>7.0066666666666668</v>
      </c>
      <c r="H120" s="6">
        <v>8.2200000000000006</v>
      </c>
      <c r="I120" s="3">
        <v>1172</v>
      </c>
      <c r="J120" s="2">
        <v>1556</v>
      </c>
      <c r="K120" s="82">
        <v>833.33333333333337</v>
      </c>
      <c r="L120" s="28">
        <v>1110</v>
      </c>
      <c r="M120" s="2">
        <v>610</v>
      </c>
      <c r="N120" s="74">
        <v>814.66666666666663</v>
      </c>
      <c r="O120" s="2">
        <v>642</v>
      </c>
      <c r="P120" s="32">
        <v>8.6199999999999992</v>
      </c>
      <c r="Q120" s="533"/>
      <c r="R120" s="474">
        <v>42801</v>
      </c>
      <c r="S120" s="475" t="s">
        <v>225</v>
      </c>
      <c r="T120" s="475">
        <v>36</v>
      </c>
      <c r="U120" s="53">
        <v>126.1437908496742</v>
      </c>
      <c r="V120" s="64">
        <v>47.058823529410766</v>
      </c>
      <c r="W120" s="523">
        <f t="shared" si="87"/>
        <v>62.694300518135805</v>
      </c>
      <c r="X120" s="62">
        <v>1123.2026143790847</v>
      </c>
      <c r="Y120" s="62">
        <v>1111.7647058823532</v>
      </c>
      <c r="Z120" s="494">
        <f t="shared" si="88"/>
        <v>1.0183299389001617</v>
      </c>
      <c r="AA120" s="519">
        <v>2900</v>
      </c>
      <c r="AB120" s="63">
        <v>624.33333333333337</v>
      </c>
      <c r="AC120" s="494">
        <f t="shared" si="89"/>
        <v>78.47126436781609</v>
      </c>
      <c r="AD120" s="85">
        <v>114.33333333333333</v>
      </c>
      <c r="AE120" s="53">
        <v>117.33333333333333</v>
      </c>
      <c r="AF120" s="494">
        <f t="shared" si="90"/>
        <v>2.5568181818181821</v>
      </c>
      <c r="AG120" s="522">
        <v>0.10000000000000002</v>
      </c>
      <c r="AH120" s="279">
        <v>5.95</v>
      </c>
      <c r="AI120" s="523">
        <f t="shared" si="91"/>
        <v>98.319327731092443</v>
      </c>
      <c r="AJ120" s="62">
        <v>5000</v>
      </c>
      <c r="AK120" s="524">
        <v>16</v>
      </c>
      <c r="AL120" s="525" t="s">
        <v>61</v>
      </c>
      <c r="AM120" s="47">
        <v>36</v>
      </c>
      <c r="AN120" s="592">
        <f t="shared" si="92"/>
        <v>1.5</v>
      </c>
      <c r="AO120" s="526">
        <v>4.6500000000000004</v>
      </c>
      <c r="AP120" s="49">
        <v>100</v>
      </c>
      <c r="AQ120" s="593">
        <v>110</v>
      </c>
      <c r="AR120" s="112">
        <v>34.666666666666664</v>
      </c>
      <c r="AS120" s="71">
        <v>31</v>
      </c>
      <c r="AT120" s="527">
        <f t="shared" si="93"/>
        <v>10.576923076923071</v>
      </c>
      <c r="AU120" s="47"/>
      <c r="AV120" s="528">
        <v>77</v>
      </c>
      <c r="AW120" s="47"/>
      <c r="AX120" s="529">
        <v>347</v>
      </c>
      <c r="AY120" s="76">
        <f t="shared" si="86"/>
        <v>0.22190201729106629</v>
      </c>
      <c r="AZ120" s="47">
        <v>4635</v>
      </c>
      <c r="BA120" s="45">
        <v>176</v>
      </c>
      <c r="BB120" s="530">
        <f t="shared" si="94"/>
        <v>96.202804746494067</v>
      </c>
      <c r="BC120" s="112">
        <v>3250</v>
      </c>
      <c r="BD120" s="109">
        <v>125</v>
      </c>
      <c r="BE120" s="527">
        <f t="shared" si="95"/>
        <v>96.15384615384616</v>
      </c>
      <c r="BF120" s="76">
        <f>BC120/AZ120</f>
        <v>0.70118662351672056</v>
      </c>
      <c r="BG120" s="71">
        <v>1012</v>
      </c>
      <c r="BH120" s="109">
        <v>42</v>
      </c>
      <c r="BI120" s="531">
        <f t="shared" si="97"/>
        <v>95.8498023715415</v>
      </c>
      <c r="BJ120" s="82">
        <v>6.5840000000000005</v>
      </c>
      <c r="BK120" s="62">
        <v>7.2386666666666653</v>
      </c>
      <c r="BL120" s="2">
        <v>0.5</v>
      </c>
      <c r="BM120" s="62">
        <v>6971.1111111111122</v>
      </c>
      <c r="BN120" s="62">
        <v>96.15384615384616</v>
      </c>
      <c r="BO120" s="554">
        <v>5.5</v>
      </c>
      <c r="BP120" s="555">
        <v>12</v>
      </c>
      <c r="BQ120" s="45">
        <v>110</v>
      </c>
      <c r="BR120" s="515">
        <v>86.015191544513186</v>
      </c>
      <c r="BS120" s="517">
        <v>93.47354568381968</v>
      </c>
      <c r="BT120" s="532">
        <v>95.8498023715415</v>
      </c>
      <c r="BU120" s="102">
        <v>1.5</v>
      </c>
      <c r="BV120" s="40">
        <v>4.6500000000000004</v>
      </c>
      <c r="BW120" s="6"/>
      <c r="BX120" s="9"/>
      <c r="BY120" s="9"/>
      <c r="BZ120" s="9"/>
      <c r="CB120" s="2">
        <v>400</v>
      </c>
      <c r="CC120" s="3">
        <v>103</v>
      </c>
      <c r="CD120" s="62">
        <v>35.666666666666664</v>
      </c>
      <c r="CE120" s="74">
        <v>29</v>
      </c>
      <c r="CF120" s="82">
        <f t="shared" si="98"/>
        <v>109.35399999999998</v>
      </c>
      <c r="CG120" s="74">
        <f t="shared" si="98"/>
        <v>88.914000000000001</v>
      </c>
      <c r="CL120" s="9"/>
      <c r="CM120" s="9"/>
      <c r="CT120" s="82">
        <v>205.16666666666666</v>
      </c>
      <c r="CU120" s="62">
        <v>143.05555555555554</v>
      </c>
      <c r="CV120" s="6">
        <v>8.5777777777777775</v>
      </c>
      <c r="CW120" s="32">
        <v>19.433333333333334</v>
      </c>
      <c r="CX120" s="3">
        <v>1.5</v>
      </c>
      <c r="CY120" s="74">
        <v>11</v>
      </c>
      <c r="CZ120" s="6"/>
    </row>
    <row r="121" spans="1:104" s="2" customFormat="1" ht="15" customHeight="1" x14ac:dyDescent="0.2">
      <c r="B121" s="536" t="s">
        <v>228</v>
      </c>
      <c r="C121" s="498" t="s">
        <v>223</v>
      </c>
      <c r="D121" s="498">
        <v>23</v>
      </c>
      <c r="E121" s="25">
        <v>19.7</v>
      </c>
      <c r="F121" s="26">
        <v>19.600000000000001</v>
      </c>
      <c r="G121" s="3">
        <v>6.93</v>
      </c>
      <c r="H121" s="6">
        <v>8.0333333333333332</v>
      </c>
      <c r="I121" s="3">
        <v>1100</v>
      </c>
      <c r="J121" s="2">
        <v>1402</v>
      </c>
      <c r="K121" s="82">
        <v>787.5</v>
      </c>
      <c r="L121" s="74">
        <v>995.33333333333337</v>
      </c>
      <c r="M121" s="62">
        <v>586.5</v>
      </c>
      <c r="N121" s="74">
        <v>748.33333333333337</v>
      </c>
      <c r="O121" s="62">
        <v>440.66666666666669</v>
      </c>
      <c r="P121" s="32">
        <v>6.6150000000000002</v>
      </c>
      <c r="Q121" s="533"/>
      <c r="R121" s="497">
        <v>42862</v>
      </c>
      <c r="S121" s="498" t="s">
        <v>229</v>
      </c>
      <c r="T121" s="498">
        <v>38</v>
      </c>
      <c r="U121" s="62">
        <v>587.12121212121212</v>
      </c>
      <c r="V121" s="74">
        <v>125.00000000000142</v>
      </c>
      <c r="W121" s="499">
        <f t="shared" si="87"/>
        <v>78.709677419354591</v>
      </c>
      <c r="X121" s="62">
        <v>1270.0757575757571</v>
      </c>
      <c r="Y121" s="62">
        <v>1095.0000000000005</v>
      </c>
      <c r="Z121" s="500">
        <f t="shared" si="88"/>
        <v>13.784670444378097</v>
      </c>
      <c r="AA121" s="501">
        <v>3331.6666666666665</v>
      </c>
      <c r="AB121" s="73">
        <v>805</v>
      </c>
      <c r="AC121" s="500">
        <f t="shared" si="89"/>
        <v>75.837918959479751</v>
      </c>
      <c r="AD121" s="82">
        <v>133</v>
      </c>
      <c r="AE121" s="62">
        <v>154</v>
      </c>
      <c r="AF121" s="500">
        <f t="shared" si="90"/>
        <v>13.636363636363635</v>
      </c>
      <c r="AG121" s="35">
        <v>0.33333333333333331</v>
      </c>
      <c r="AH121" s="32">
        <v>7.0333333333333341</v>
      </c>
      <c r="AI121" s="499">
        <f t="shared" si="91"/>
        <v>95.260663507109015</v>
      </c>
      <c r="AJ121" s="62">
        <v>5000</v>
      </c>
      <c r="AK121" s="485">
        <v>17</v>
      </c>
      <c r="AL121" s="486" t="s">
        <v>66</v>
      </c>
      <c r="AM121" s="56">
        <v>24</v>
      </c>
      <c r="AN121" s="534">
        <f t="shared" si="92"/>
        <v>1</v>
      </c>
      <c r="AO121" s="488">
        <v>4.71</v>
      </c>
      <c r="AP121" s="58">
        <v>100</v>
      </c>
      <c r="AQ121" s="594">
        <v>117</v>
      </c>
      <c r="AR121" s="85">
        <v>34.333333333333336</v>
      </c>
      <c r="AS121" s="53">
        <v>30.3333333333333</v>
      </c>
      <c r="AT121" s="489">
        <f t="shared" si="93"/>
        <v>11.650485436893307</v>
      </c>
      <c r="AU121" s="56"/>
      <c r="AV121" s="490">
        <v>40</v>
      </c>
      <c r="AW121" s="56"/>
      <c r="AX121" s="491">
        <v>496</v>
      </c>
      <c r="AY121" s="87">
        <f t="shared" si="86"/>
        <v>8.0645161290322578E-2</v>
      </c>
      <c r="AZ121" s="56">
        <v>3523</v>
      </c>
      <c r="BA121" s="59">
        <v>136</v>
      </c>
      <c r="BB121" s="492">
        <f t="shared" si="94"/>
        <v>96.13965370422936</v>
      </c>
      <c r="BC121" s="56">
        <v>2125</v>
      </c>
      <c r="BD121" s="58">
        <v>130</v>
      </c>
      <c r="BE121" s="489">
        <f t="shared" si="95"/>
        <v>93.882352941176478</v>
      </c>
      <c r="BF121" s="87">
        <f t="shared" si="96"/>
        <v>0.60317910871416403</v>
      </c>
      <c r="BG121" s="59">
        <v>430</v>
      </c>
      <c r="BH121" s="58">
        <v>39</v>
      </c>
      <c r="BI121" s="493">
        <f t="shared" si="97"/>
        <v>90.930232558139537</v>
      </c>
      <c r="BJ121" s="82">
        <v>6.3449999999999998</v>
      </c>
      <c r="BK121" s="62">
        <v>7.7949999999999999</v>
      </c>
      <c r="BL121" s="2">
        <v>0.5</v>
      </c>
      <c r="BM121" s="62">
        <v>4712.2222222222217</v>
      </c>
      <c r="BN121" s="62">
        <v>93.882352941176478</v>
      </c>
      <c r="BO121" s="554">
        <v>5.5</v>
      </c>
      <c r="BP121" s="555">
        <v>12</v>
      </c>
      <c r="BQ121" s="2">
        <v>117</v>
      </c>
      <c r="BR121" s="500">
        <v>83.760764504197638</v>
      </c>
      <c r="BS121" s="502">
        <v>96.508691221107128</v>
      </c>
      <c r="BT121" s="511">
        <v>90.930232558139537</v>
      </c>
      <c r="BU121" s="9">
        <v>1</v>
      </c>
      <c r="BV121" s="32">
        <v>4.71</v>
      </c>
      <c r="BW121" s="6"/>
      <c r="BX121" s="9"/>
      <c r="BY121" s="9"/>
      <c r="BZ121" s="9"/>
      <c r="CB121" s="2">
        <v>400</v>
      </c>
      <c r="CC121" s="3">
        <v>110</v>
      </c>
      <c r="CD121" s="62">
        <v>34.666666666666664</v>
      </c>
      <c r="CE121" s="74">
        <v>31</v>
      </c>
      <c r="CF121" s="82">
        <f t="shared" si="98"/>
        <v>106.28799999999998</v>
      </c>
      <c r="CG121" s="74">
        <f t="shared" si="98"/>
        <v>95.045999999999992</v>
      </c>
      <c r="CI121" s="62"/>
      <c r="CL121" s="9"/>
      <c r="CM121" s="9"/>
      <c r="CT121" s="82">
        <v>177.5</v>
      </c>
      <c r="CU121" s="62">
        <v>189.5</v>
      </c>
      <c r="CV121" s="6">
        <v>1.4444444444444446</v>
      </c>
      <c r="CW121" s="32">
        <v>7.9222222222222216</v>
      </c>
      <c r="CX121" s="3">
        <v>1.5</v>
      </c>
      <c r="CY121" s="74">
        <v>11</v>
      </c>
      <c r="CZ121" s="6"/>
    </row>
    <row r="122" spans="1:104" s="2" customFormat="1" ht="15" customHeight="1" x14ac:dyDescent="0.2">
      <c r="B122" s="536" t="s">
        <v>222</v>
      </c>
      <c r="C122" s="498" t="s">
        <v>215</v>
      </c>
      <c r="D122" s="498">
        <v>24</v>
      </c>
      <c r="E122" s="2">
        <v>19.5</v>
      </c>
      <c r="F122" s="28">
        <v>19.3</v>
      </c>
      <c r="G122" s="35">
        <v>6.8066666666666675</v>
      </c>
      <c r="H122" s="6">
        <v>7.9033333333333333</v>
      </c>
      <c r="I122" s="82">
        <v>1133.3333333333333</v>
      </c>
      <c r="J122" s="62">
        <v>1396.6666666666667</v>
      </c>
      <c r="K122" s="82">
        <v>803.66666666666663</v>
      </c>
      <c r="L122" s="74">
        <v>990.66666666666663</v>
      </c>
      <c r="M122" s="62">
        <v>602.66666666666663</v>
      </c>
      <c r="N122" s="74">
        <v>749.33333333333337</v>
      </c>
      <c r="O122" s="62">
        <v>407.33333333333331</v>
      </c>
      <c r="P122" s="32">
        <v>8.0133333333333336</v>
      </c>
      <c r="Q122" s="533"/>
      <c r="R122" s="512">
        <v>42923</v>
      </c>
      <c r="S122" s="498" t="s">
        <v>215</v>
      </c>
      <c r="T122" s="513">
        <v>40</v>
      </c>
      <c r="U122" s="71">
        <v>364.70588235294053</v>
      </c>
      <c r="V122" s="109">
        <v>17.647058823528408</v>
      </c>
      <c r="W122" s="514">
        <f t="shared" si="87"/>
        <v>95.161290322580911</v>
      </c>
      <c r="X122" s="71">
        <v>1535.2941176470586</v>
      </c>
      <c r="Y122" s="71">
        <v>1464.7058823529399</v>
      </c>
      <c r="Z122" s="515">
        <f t="shared" si="88"/>
        <v>4.5977011494253563</v>
      </c>
      <c r="AA122" s="516">
        <v>3050</v>
      </c>
      <c r="AB122" s="108">
        <v>740</v>
      </c>
      <c r="AC122" s="515">
        <f t="shared" si="89"/>
        <v>75.73770491803279</v>
      </c>
      <c r="AD122" s="112">
        <v>122.66666666666667</v>
      </c>
      <c r="AE122" s="71">
        <v>124</v>
      </c>
      <c r="AF122" s="515">
        <f t="shared" si="90"/>
        <v>1.0752688172042972</v>
      </c>
      <c r="AG122" s="35">
        <v>1.0333333333333334</v>
      </c>
      <c r="AH122" s="32">
        <v>9</v>
      </c>
      <c r="AI122" s="514">
        <f t="shared" si="91"/>
        <v>88.518518518518519</v>
      </c>
      <c r="AJ122" s="62">
        <v>5000</v>
      </c>
      <c r="AK122" s="503">
        <v>18</v>
      </c>
      <c r="AL122" s="504" t="s">
        <v>71</v>
      </c>
      <c r="AM122" s="3">
        <v>24</v>
      </c>
      <c r="AN122" s="487">
        <f t="shared" si="92"/>
        <v>1</v>
      </c>
      <c r="AO122" s="505">
        <v>8.0500000000000007</v>
      </c>
      <c r="AP122" s="28">
        <v>100</v>
      </c>
      <c r="AQ122" s="218">
        <v>124</v>
      </c>
      <c r="AR122" s="62">
        <v>42</v>
      </c>
      <c r="AS122" s="62">
        <v>30.6666666666667</v>
      </c>
      <c r="AT122" s="506">
        <f t="shared" si="93"/>
        <v>26.984126984126906</v>
      </c>
      <c r="AU122" s="3"/>
      <c r="AV122" s="507">
        <v>21</v>
      </c>
      <c r="AW122" s="3"/>
      <c r="AX122" s="508">
        <v>685</v>
      </c>
      <c r="AY122" s="26">
        <f t="shared" si="86"/>
        <v>3.0656934306569343E-2</v>
      </c>
      <c r="AZ122" s="3">
        <v>7760</v>
      </c>
      <c r="BA122" s="2">
        <v>201</v>
      </c>
      <c r="BB122" s="509">
        <f t="shared" si="94"/>
        <v>97.409793814432987</v>
      </c>
      <c r="BC122" s="3">
        <v>4750</v>
      </c>
      <c r="BD122" s="28">
        <v>60</v>
      </c>
      <c r="BE122" s="506">
        <f t="shared" si="95"/>
        <v>98.73684210526315</v>
      </c>
      <c r="BF122" s="26">
        <f t="shared" si="96"/>
        <v>0.61211340206185572</v>
      </c>
      <c r="BG122" s="2">
        <v>1614</v>
      </c>
      <c r="BH122" s="28">
        <v>39</v>
      </c>
      <c r="BI122" s="510">
        <f t="shared" si="97"/>
        <v>97.583643122676577</v>
      </c>
      <c r="BJ122" s="82">
        <v>6.3286666666666669</v>
      </c>
      <c r="BK122" s="62">
        <v>7.7766666666666664</v>
      </c>
      <c r="BL122" s="2">
        <v>0.5</v>
      </c>
      <c r="BM122" s="62">
        <v>8051.1111111111104</v>
      </c>
      <c r="BN122" s="62">
        <v>98.73684210526315</v>
      </c>
      <c r="BO122" s="554">
        <v>5.5</v>
      </c>
      <c r="BP122" s="555">
        <v>12</v>
      </c>
      <c r="BQ122" s="2">
        <v>124</v>
      </c>
      <c r="BR122" s="500">
        <v>89.858095379261897</v>
      </c>
      <c r="BS122" s="502">
        <v>98.45796825802465</v>
      </c>
      <c r="BT122" s="511">
        <v>97.583643122676577</v>
      </c>
      <c r="BU122" s="9">
        <v>1</v>
      </c>
      <c r="BV122" s="32">
        <v>8.0500000000000007</v>
      </c>
      <c r="BW122" s="6"/>
      <c r="BX122" s="9"/>
      <c r="BY122" s="9"/>
      <c r="BZ122" s="9"/>
      <c r="CB122" s="2">
        <v>400</v>
      </c>
      <c r="CC122" s="3">
        <v>117</v>
      </c>
      <c r="CD122" s="62">
        <v>34.333333333333336</v>
      </c>
      <c r="CE122" s="74">
        <v>30.3333333333333</v>
      </c>
      <c r="CF122" s="82">
        <f t="shared" si="98"/>
        <v>105.26600000000001</v>
      </c>
      <c r="CG122" s="74">
        <f t="shared" si="98"/>
        <v>93.001999999999896</v>
      </c>
      <c r="CI122" s="62"/>
      <c r="CL122" s="9"/>
      <c r="CM122" s="9"/>
      <c r="CT122" s="82">
        <v>188.38888888888889</v>
      </c>
      <c r="CU122" s="62">
        <v>176.38888888888889</v>
      </c>
      <c r="CV122" s="6">
        <v>2.2777777777777777</v>
      </c>
      <c r="CW122" s="32">
        <v>13.02222222222222</v>
      </c>
      <c r="CX122" s="3">
        <v>1.5</v>
      </c>
      <c r="CY122" s="74">
        <v>11</v>
      </c>
      <c r="CZ122" s="6"/>
    </row>
    <row r="123" spans="1:104" s="2" customFormat="1" ht="15" customHeight="1" x14ac:dyDescent="0.2">
      <c r="B123" s="536" t="s">
        <v>230</v>
      </c>
      <c r="C123" s="498"/>
      <c r="D123" s="498">
        <v>25</v>
      </c>
      <c r="E123" s="2">
        <v>20.100000000000001</v>
      </c>
      <c r="F123" s="28">
        <v>20.100000000000001</v>
      </c>
      <c r="G123" s="35">
        <v>6.8966666666666674</v>
      </c>
      <c r="H123" s="6">
        <v>8.0699999999999985</v>
      </c>
      <c r="I123" s="3">
        <v>1116</v>
      </c>
      <c r="J123" s="62">
        <v>1363.5</v>
      </c>
      <c r="K123" s="82">
        <v>793</v>
      </c>
      <c r="L123" s="28">
        <v>978</v>
      </c>
      <c r="M123" s="2">
        <v>591</v>
      </c>
      <c r="N123" s="28">
        <v>736</v>
      </c>
      <c r="O123" s="62">
        <v>539.33333333333337</v>
      </c>
      <c r="P123" s="32">
        <v>6.6166666666666671</v>
      </c>
      <c r="Q123" s="533"/>
      <c r="R123" s="474">
        <v>43015</v>
      </c>
      <c r="S123" s="475" t="s">
        <v>225</v>
      </c>
      <c r="T123" s="475">
        <v>43</v>
      </c>
      <c r="U123" s="53">
        <v>541.66666666666549</v>
      </c>
      <c r="V123" s="64">
        <v>39.090909090908291</v>
      </c>
      <c r="W123" s="523">
        <f t="shared" si="87"/>
        <v>92.783216783216915</v>
      </c>
      <c r="X123" s="53">
        <v>1091.6666666666674</v>
      </c>
      <c r="Y123" s="53">
        <v>808.18181818181802</v>
      </c>
      <c r="Z123" s="494">
        <f t="shared" si="88"/>
        <v>25.968077723802978</v>
      </c>
      <c r="AA123" s="501">
        <v>2710</v>
      </c>
      <c r="AB123" s="73">
        <v>750</v>
      </c>
      <c r="AC123" s="494">
        <f t="shared" si="89"/>
        <v>72.32472324723247</v>
      </c>
      <c r="AD123" s="85">
        <v>103.66666666666667</v>
      </c>
      <c r="AE123" s="53">
        <v>111</v>
      </c>
      <c r="AF123" s="494">
        <f t="shared" si="90"/>
        <v>6.6066066066066025</v>
      </c>
      <c r="AG123" s="522">
        <v>1.25</v>
      </c>
      <c r="AH123" s="279">
        <v>11.7</v>
      </c>
      <c r="AI123" s="523">
        <f t="shared" si="91"/>
        <v>89.316239316239319</v>
      </c>
      <c r="AJ123" s="62">
        <v>5000</v>
      </c>
      <c r="AK123" s="503">
        <v>19</v>
      </c>
      <c r="AL123" s="504">
        <v>42896</v>
      </c>
      <c r="AM123" s="3">
        <v>24</v>
      </c>
      <c r="AN123" s="487">
        <f t="shared" si="92"/>
        <v>1</v>
      </c>
      <c r="AO123" s="505">
        <v>6.63</v>
      </c>
      <c r="AP123" s="28">
        <v>100</v>
      </c>
      <c r="AQ123" s="218">
        <v>131</v>
      </c>
      <c r="AR123" s="62">
        <v>54</v>
      </c>
      <c r="AS123" s="62">
        <v>46</v>
      </c>
      <c r="AT123" s="506">
        <f t="shared" si="93"/>
        <v>14.814814814814813</v>
      </c>
      <c r="AU123" s="3"/>
      <c r="AV123" s="507">
        <v>34</v>
      </c>
      <c r="AW123" s="3"/>
      <c r="AX123" s="508">
        <v>703</v>
      </c>
      <c r="AY123" s="26">
        <f t="shared" si="86"/>
        <v>4.8364153627311522E-2</v>
      </c>
      <c r="AZ123" s="3">
        <v>8847</v>
      </c>
      <c r="BA123" s="2">
        <v>219</v>
      </c>
      <c r="BB123" s="509">
        <f t="shared" si="94"/>
        <v>97.524584604950832</v>
      </c>
      <c r="BC123" s="3">
        <v>5000</v>
      </c>
      <c r="BD123" s="28">
        <v>150</v>
      </c>
      <c r="BE123" s="506">
        <f t="shared" si="95"/>
        <v>97</v>
      </c>
      <c r="BF123" s="26">
        <f t="shared" si="96"/>
        <v>0.56516333220300663</v>
      </c>
      <c r="BG123" s="2">
        <v>1710</v>
      </c>
      <c r="BH123" s="28">
        <v>40</v>
      </c>
      <c r="BI123" s="510">
        <f t="shared" si="97"/>
        <v>97.660818713450297</v>
      </c>
      <c r="BJ123" s="82">
        <v>6.46</v>
      </c>
      <c r="BK123" s="62">
        <v>7.8166666666666664</v>
      </c>
      <c r="BL123" s="2">
        <v>0.5</v>
      </c>
      <c r="BM123" s="62">
        <v>6633.8888888888905</v>
      </c>
      <c r="BN123" s="62">
        <v>97</v>
      </c>
      <c r="BO123" s="554">
        <v>5.5</v>
      </c>
      <c r="BP123" s="555">
        <v>12</v>
      </c>
      <c r="BQ123" s="2">
        <v>131</v>
      </c>
      <c r="BR123" s="500">
        <v>86.496489370086081</v>
      </c>
      <c r="BS123" s="502">
        <v>86.037067835874254</v>
      </c>
      <c r="BT123" s="511">
        <v>97.660818713450297</v>
      </c>
      <c r="BU123" s="9">
        <v>1</v>
      </c>
      <c r="BV123" s="32">
        <v>6.63</v>
      </c>
      <c r="BW123" s="6"/>
      <c r="BX123" s="9"/>
      <c r="BY123" s="9"/>
      <c r="BZ123" s="9"/>
      <c r="CB123" s="2">
        <v>400</v>
      </c>
      <c r="CC123" s="3">
        <v>124</v>
      </c>
      <c r="CD123" s="62">
        <v>42</v>
      </c>
      <c r="CE123" s="74">
        <v>30.6666666666667</v>
      </c>
      <c r="CF123" s="82">
        <f t="shared" si="98"/>
        <v>128.77199999999999</v>
      </c>
      <c r="CG123" s="74">
        <f t="shared" si="98"/>
        <v>94.0240000000001</v>
      </c>
      <c r="CL123" s="9"/>
      <c r="CM123" s="9"/>
      <c r="CT123" s="82">
        <v>298.83333333333331</v>
      </c>
      <c r="CU123" s="62">
        <v>181.33333333333334</v>
      </c>
      <c r="CV123" s="6">
        <v>6.9666666666666677</v>
      </c>
      <c r="CW123" s="32">
        <v>16.916666666666668</v>
      </c>
      <c r="CX123" s="3">
        <v>1.5</v>
      </c>
      <c r="CY123" s="74">
        <v>11</v>
      </c>
      <c r="CZ123" s="6"/>
    </row>
    <row r="124" spans="1:104" s="2" customFormat="1" ht="15" customHeight="1" x14ac:dyDescent="0.2">
      <c r="B124" s="573" t="s">
        <v>217</v>
      </c>
      <c r="C124" s="513"/>
      <c r="D124" s="513">
        <v>26</v>
      </c>
      <c r="E124" s="47">
        <v>20.6</v>
      </c>
      <c r="F124" s="49">
        <v>20.5</v>
      </c>
      <c r="G124" s="42">
        <v>6.9666666666666659</v>
      </c>
      <c r="H124" s="38">
        <v>7.9899999999999993</v>
      </c>
      <c r="I124" s="112">
        <v>1152.6666666666667</v>
      </c>
      <c r="J124" s="71">
        <v>1392.6666666666667</v>
      </c>
      <c r="K124" s="112">
        <v>818.66666666666663</v>
      </c>
      <c r="L124" s="109">
        <v>988</v>
      </c>
      <c r="M124" s="45">
        <v>611</v>
      </c>
      <c r="N124" s="49">
        <v>744</v>
      </c>
      <c r="O124" s="71">
        <v>562.5</v>
      </c>
      <c r="P124" s="40">
        <v>7.953333333333334</v>
      </c>
      <c r="Q124" s="533">
        <f>AVERAGE(H120:H124)</f>
        <v>8.043333333333333</v>
      </c>
      <c r="R124" s="497">
        <v>43076</v>
      </c>
      <c r="S124" s="498" t="s">
        <v>231</v>
      </c>
      <c r="T124" s="498">
        <v>45</v>
      </c>
      <c r="U124" s="62">
        <v>501.66666666666799</v>
      </c>
      <c r="V124" s="74">
        <v>54.545454545455321</v>
      </c>
      <c r="W124" s="499">
        <f t="shared" si="87"/>
        <v>89.127151917849474</v>
      </c>
      <c r="X124" s="62">
        <v>920</v>
      </c>
      <c r="Y124" s="62">
        <v>604.54545454545496</v>
      </c>
      <c r="Z124" s="500">
        <f t="shared" si="88"/>
        <v>34.288537549407074</v>
      </c>
      <c r="AA124" s="501">
        <v>3858.3333333333335</v>
      </c>
      <c r="AB124" s="73">
        <v>753.33333333333337</v>
      </c>
      <c r="AC124" s="500">
        <f t="shared" si="89"/>
        <v>80.475161987041034</v>
      </c>
      <c r="AD124" s="82">
        <v>143</v>
      </c>
      <c r="AE124" s="62">
        <v>186.5</v>
      </c>
      <c r="AF124" s="500">
        <f t="shared" si="90"/>
        <v>23.324396782841823</v>
      </c>
      <c r="AG124" s="35">
        <v>0.96666666666666667</v>
      </c>
      <c r="AH124" s="32">
        <v>4.7</v>
      </c>
      <c r="AI124" s="499">
        <f t="shared" si="91"/>
        <v>79.432624113475185</v>
      </c>
      <c r="AJ124" s="62">
        <v>5000</v>
      </c>
      <c r="AK124" s="524">
        <v>20</v>
      </c>
      <c r="AL124" s="525" t="s">
        <v>72</v>
      </c>
      <c r="AM124" s="47">
        <v>24</v>
      </c>
      <c r="AN124" s="592">
        <f t="shared" si="92"/>
        <v>1</v>
      </c>
      <c r="AO124" s="526">
        <v>3.55</v>
      </c>
      <c r="AP124" s="49">
        <v>100</v>
      </c>
      <c r="AQ124" s="593">
        <v>138</v>
      </c>
      <c r="AR124" s="112">
        <v>38.666666666666664</v>
      </c>
      <c r="AS124" s="71">
        <v>36</v>
      </c>
      <c r="AT124" s="527">
        <f t="shared" si="93"/>
        <v>6.8965517241379253</v>
      </c>
      <c r="AU124" s="47"/>
      <c r="AV124" s="528">
        <v>58</v>
      </c>
      <c r="AW124" s="47"/>
      <c r="AX124" s="529">
        <v>824</v>
      </c>
      <c r="AY124" s="76">
        <f t="shared" si="86"/>
        <v>7.0388349514563103E-2</v>
      </c>
      <c r="AZ124" s="47">
        <v>1597</v>
      </c>
      <c r="BA124" s="45">
        <v>183</v>
      </c>
      <c r="BB124" s="530">
        <f t="shared" si="94"/>
        <v>88.541014402003754</v>
      </c>
      <c r="BC124" s="47">
        <v>925</v>
      </c>
      <c r="BD124" s="49">
        <v>170</v>
      </c>
      <c r="BE124" s="527">
        <f t="shared" si="95"/>
        <v>81.621621621621614</v>
      </c>
      <c r="BF124" s="76">
        <f t="shared" si="96"/>
        <v>0.57921102066374452</v>
      </c>
      <c r="BG124" s="45">
        <v>156</v>
      </c>
      <c r="BH124" s="49">
        <v>43</v>
      </c>
      <c r="BI124" s="531">
        <f t="shared" si="97"/>
        <v>72.435897435897431</v>
      </c>
      <c r="BJ124" s="112">
        <v>6.9316666666666666</v>
      </c>
      <c r="BK124" s="71">
        <v>7.7283333333333335</v>
      </c>
      <c r="BL124" s="45">
        <v>0.5</v>
      </c>
      <c r="BM124" s="71">
        <v>3553.6111111111113</v>
      </c>
      <c r="BN124" s="71"/>
      <c r="BO124" s="595">
        <v>5.5</v>
      </c>
      <c r="BP124" s="596">
        <v>12</v>
      </c>
      <c r="BQ124" s="45">
        <v>138</v>
      </c>
      <c r="BR124" s="515">
        <v>81.542207221584803</v>
      </c>
      <c r="BS124" s="517">
        <v>79.470954278073421</v>
      </c>
      <c r="BT124" s="532">
        <v>72.435897435897431</v>
      </c>
      <c r="BU124" s="102">
        <v>1</v>
      </c>
      <c r="BV124" s="40">
        <v>3.55</v>
      </c>
      <c r="BW124" s="6"/>
      <c r="BX124" s="9"/>
      <c r="BY124" s="9"/>
      <c r="BZ124" s="9"/>
      <c r="CB124" s="2">
        <v>400</v>
      </c>
      <c r="CC124" s="3">
        <v>131</v>
      </c>
      <c r="CD124" s="62">
        <v>54</v>
      </c>
      <c r="CE124" s="74">
        <v>46</v>
      </c>
      <c r="CF124" s="82">
        <f t="shared" si="98"/>
        <v>165.56399999999999</v>
      </c>
      <c r="CG124" s="74">
        <f t="shared" si="98"/>
        <v>141.036</v>
      </c>
      <c r="CL124" s="9"/>
      <c r="CM124" s="9"/>
      <c r="CT124" s="112">
        <v>231.27777777777774</v>
      </c>
      <c r="CU124" s="71">
        <v>216.2222222222222</v>
      </c>
      <c r="CV124" s="38">
        <v>1.4555555555555557</v>
      </c>
      <c r="CW124" s="40">
        <v>20.311111111111114</v>
      </c>
      <c r="CX124" s="3">
        <v>1.5</v>
      </c>
      <c r="CY124" s="74">
        <v>11</v>
      </c>
      <c r="CZ124" s="6"/>
    </row>
    <row r="125" spans="1:104" s="2" customFormat="1" x14ac:dyDescent="0.2">
      <c r="B125" s="536" t="s">
        <v>26</v>
      </c>
      <c r="C125" s="498" t="s">
        <v>225</v>
      </c>
      <c r="D125" s="498">
        <v>29</v>
      </c>
      <c r="E125" s="3">
        <v>19.5</v>
      </c>
      <c r="F125" s="28">
        <v>19.399999999999999</v>
      </c>
      <c r="G125" s="522">
        <v>6.7366666666666672</v>
      </c>
      <c r="H125" s="279">
        <v>7.7766666666666664</v>
      </c>
      <c r="I125" s="59">
        <v>1103</v>
      </c>
      <c r="J125" s="58">
        <v>1362</v>
      </c>
      <c r="K125" s="85">
        <v>784.66666666666663</v>
      </c>
      <c r="L125" s="64">
        <v>967</v>
      </c>
      <c r="M125" s="53">
        <v>590.66666666666663</v>
      </c>
      <c r="N125" s="58">
        <v>729</v>
      </c>
      <c r="O125" s="53">
        <v>566</v>
      </c>
      <c r="P125" s="279">
        <v>4.9066666666666663</v>
      </c>
      <c r="Q125" s="533"/>
      <c r="R125" s="512" t="s">
        <v>33</v>
      </c>
      <c r="S125" s="498" t="s">
        <v>232</v>
      </c>
      <c r="T125" s="513">
        <v>47</v>
      </c>
      <c r="U125" s="62">
        <v>679.16666666666697</v>
      </c>
      <c r="V125" s="74">
        <v>50.000000000001037</v>
      </c>
      <c r="W125" s="499">
        <f t="shared" si="87"/>
        <v>92.638036809815802</v>
      </c>
      <c r="X125" s="62">
        <v>1145.8333333333335</v>
      </c>
      <c r="Y125" s="62">
        <v>459.09090909090878</v>
      </c>
      <c r="Z125" s="500">
        <f t="shared" si="88"/>
        <v>59.933884297520692</v>
      </c>
      <c r="AA125" s="516">
        <v>3511.6666666666665</v>
      </c>
      <c r="AB125" s="108">
        <v>742.33333333333337</v>
      </c>
      <c r="AC125" s="500">
        <f t="shared" si="89"/>
        <v>78.860939724727103</v>
      </c>
      <c r="AD125" s="112">
        <v>169.66666666666666</v>
      </c>
      <c r="AE125" s="71">
        <v>212.66666666666666</v>
      </c>
      <c r="AF125" s="500">
        <f t="shared" si="90"/>
        <v>20.219435736677116</v>
      </c>
      <c r="AG125" s="42">
        <v>1.8</v>
      </c>
      <c r="AH125" s="40">
        <v>7</v>
      </c>
      <c r="AI125" s="499">
        <f t="shared" si="91"/>
        <v>74.285714285714292</v>
      </c>
      <c r="AJ125" s="62">
        <v>5000</v>
      </c>
      <c r="AL125" s="597"/>
      <c r="AN125" s="9"/>
      <c r="AR125" s="62"/>
      <c r="AS125" s="62"/>
      <c r="AT125" s="598"/>
      <c r="AY125" s="9"/>
      <c r="BB125" s="502"/>
      <c r="BE125" s="9">
        <f>STDEV(BE105:BE124)</f>
        <v>5.4045746649450805</v>
      </c>
      <c r="BF125" s="9"/>
      <c r="BI125" s="502"/>
      <c r="BK125" s="6"/>
      <c r="BM125" s="6"/>
      <c r="BN125" s="62"/>
      <c r="BU125" s="62"/>
      <c r="BV125" s="6">
        <f>STDEV(BV105:BV124)</f>
        <v>2.1135390001755718</v>
      </c>
      <c r="CB125" s="2">
        <v>400</v>
      </c>
      <c r="CC125" s="47">
        <v>138</v>
      </c>
      <c r="CD125" s="71">
        <v>38.666666666666664</v>
      </c>
      <c r="CE125" s="109">
        <v>36</v>
      </c>
      <c r="CF125" s="112">
        <f t="shared" si="98"/>
        <v>118.55199999999999</v>
      </c>
      <c r="CG125" s="109">
        <f t="shared" si="98"/>
        <v>110.37599999999999</v>
      </c>
      <c r="CT125" s="62"/>
      <c r="CU125" s="62"/>
      <c r="CX125" s="3">
        <v>1.5</v>
      </c>
      <c r="CY125" s="74">
        <v>11</v>
      </c>
      <c r="CZ125" s="6"/>
    </row>
    <row r="126" spans="1:104" s="2" customFormat="1" x14ac:dyDescent="0.2">
      <c r="B126" s="536" t="s">
        <v>27</v>
      </c>
      <c r="C126" s="498" t="s">
        <v>227</v>
      </c>
      <c r="D126" s="498">
        <v>30</v>
      </c>
      <c r="E126" s="3">
        <v>20.100000000000001</v>
      </c>
      <c r="F126" s="28">
        <v>20.100000000000001</v>
      </c>
      <c r="G126" s="35">
        <v>6.6833333333333336</v>
      </c>
      <c r="H126" s="28">
        <v>7.6400000000000006</v>
      </c>
      <c r="I126" s="62">
        <v>1135.6666666666667</v>
      </c>
      <c r="J126" s="74">
        <v>1309.3333333333333</v>
      </c>
      <c r="K126" s="82">
        <v>806.33333333333337</v>
      </c>
      <c r="L126" s="74">
        <v>929.66666666666663</v>
      </c>
      <c r="M126" s="62">
        <v>601.33333333333337</v>
      </c>
      <c r="N126" s="74">
        <v>697.33333333333337</v>
      </c>
      <c r="O126" s="82">
        <v>254.5</v>
      </c>
      <c r="P126" s="32">
        <v>4.97</v>
      </c>
      <c r="Q126" s="533"/>
      <c r="R126" s="474" t="s">
        <v>34</v>
      </c>
      <c r="S126" s="475" t="s">
        <v>225</v>
      </c>
      <c r="T126" s="475">
        <v>50</v>
      </c>
      <c r="U126" s="53">
        <v>279.09090909090963</v>
      </c>
      <c r="V126" s="64">
        <v>81.818181818182339</v>
      </c>
      <c r="W126" s="523">
        <f t="shared" si="87"/>
        <v>70.684039087947752</v>
      </c>
      <c r="X126" s="53">
        <v>1119.0909090909076</v>
      </c>
      <c r="Y126" s="53">
        <v>881.81818181818176</v>
      </c>
      <c r="Z126" s="494">
        <f t="shared" si="88"/>
        <v>21.202274573517368</v>
      </c>
      <c r="AA126" s="501">
        <v>2801.6666666666665</v>
      </c>
      <c r="AB126" s="73">
        <v>705.33333333333337</v>
      </c>
      <c r="AC126" s="494">
        <f t="shared" si="89"/>
        <v>74.824509220701955</v>
      </c>
      <c r="AD126" s="85">
        <v>172.33333333333334</v>
      </c>
      <c r="AE126" s="53">
        <v>195.33333333333334</v>
      </c>
      <c r="AF126" s="494">
        <f t="shared" si="90"/>
        <v>11.774744027303754</v>
      </c>
      <c r="AG126" s="35">
        <v>0.63333333333333341</v>
      </c>
      <c r="AH126" s="32">
        <v>10.45</v>
      </c>
      <c r="AI126" s="523">
        <f t="shared" si="91"/>
        <v>93.939393939393938</v>
      </c>
      <c r="AJ126" s="62">
        <v>5000</v>
      </c>
      <c r="AL126" s="597"/>
      <c r="AN126" s="62"/>
      <c r="AR126" s="62"/>
      <c r="AS126" s="62"/>
      <c r="AT126" s="598"/>
      <c r="AY126" s="9"/>
      <c r="BB126" s="502"/>
      <c r="BE126" s="9"/>
      <c r="BF126" s="9"/>
      <c r="BI126" s="502"/>
      <c r="BM126" s="6"/>
      <c r="BN126" s="62"/>
      <c r="BU126" s="62"/>
      <c r="CT126" s="62"/>
      <c r="CU126" s="62"/>
      <c r="CX126" s="3">
        <v>1.5</v>
      </c>
      <c r="CY126" s="74">
        <v>11</v>
      </c>
      <c r="CZ126" s="6"/>
    </row>
    <row r="127" spans="1:104" s="2" customFormat="1" x14ac:dyDescent="0.2">
      <c r="B127" s="536" t="s">
        <v>28</v>
      </c>
      <c r="C127" s="498" t="s">
        <v>215</v>
      </c>
      <c r="D127" s="498">
        <v>31</v>
      </c>
      <c r="E127" s="3">
        <v>19.8</v>
      </c>
      <c r="F127" s="28">
        <v>19.8</v>
      </c>
      <c r="G127" s="35">
        <v>6.7866666666666662</v>
      </c>
      <c r="H127" s="32">
        <v>7.6133333333333333</v>
      </c>
      <c r="I127" s="3">
        <v>1151</v>
      </c>
      <c r="J127" s="62">
        <v>1303.5</v>
      </c>
      <c r="K127" s="82">
        <v>817.33333333333337</v>
      </c>
      <c r="L127" s="28">
        <v>924</v>
      </c>
      <c r="M127" s="62">
        <v>615.66666666666663</v>
      </c>
      <c r="N127" s="62">
        <v>697.66666666666663</v>
      </c>
      <c r="O127" s="82">
        <v>339.5</v>
      </c>
      <c r="P127" s="32">
        <v>5.31</v>
      </c>
      <c r="Q127" s="533"/>
      <c r="R127" s="497" t="s">
        <v>36</v>
      </c>
      <c r="S127" s="498" t="s">
        <v>233</v>
      </c>
      <c r="T127" s="498">
        <v>52</v>
      </c>
      <c r="U127" s="62">
        <v>370.00000000000028</v>
      </c>
      <c r="V127" s="74">
        <v>60.000000000002274</v>
      </c>
      <c r="W127" s="499">
        <f t="shared" si="87"/>
        <v>83.783783783783178</v>
      </c>
      <c r="X127" s="62">
        <v>1359.9999999999995</v>
      </c>
      <c r="Y127" s="62">
        <v>980.00000000000114</v>
      </c>
      <c r="Z127" s="500">
        <f t="shared" si="88"/>
        <v>27.941176470588125</v>
      </c>
      <c r="AA127" s="501">
        <v>2855</v>
      </c>
      <c r="AB127" s="73">
        <v>723.5</v>
      </c>
      <c r="AC127" s="500">
        <f t="shared" si="89"/>
        <v>74.658493870402793</v>
      </c>
      <c r="AD127" s="82">
        <v>183</v>
      </c>
      <c r="AE127" s="62">
        <v>175</v>
      </c>
      <c r="AF127" s="500">
        <f t="shared" si="90"/>
        <v>-4.5714285714285712</v>
      </c>
      <c r="AG127" s="35">
        <v>0.3666666666666667</v>
      </c>
      <c r="AH127" s="32">
        <v>10.100000000000001</v>
      </c>
      <c r="AI127" s="499">
        <f t="shared" si="91"/>
        <v>96.369636963696365</v>
      </c>
      <c r="AJ127" s="62">
        <v>5000</v>
      </c>
      <c r="AK127" s="2" t="s">
        <v>234</v>
      </c>
      <c r="AL127" s="597"/>
      <c r="AN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502"/>
      <c r="BM127" s="6"/>
      <c r="BN127" s="62"/>
      <c r="CT127" s="62"/>
      <c r="CU127" s="62"/>
      <c r="CX127" s="3">
        <v>1.5</v>
      </c>
      <c r="CY127" s="74">
        <v>11</v>
      </c>
      <c r="CZ127" s="6"/>
    </row>
    <row r="128" spans="1:104" s="2" customFormat="1" ht="15" x14ac:dyDescent="0.2">
      <c r="B128" s="536" t="s">
        <v>29</v>
      </c>
      <c r="C128" s="498"/>
      <c r="D128" s="498">
        <v>32</v>
      </c>
      <c r="E128" s="3">
        <v>19.7</v>
      </c>
      <c r="F128" s="28">
        <v>19.7</v>
      </c>
      <c r="G128" s="3">
        <v>6.7299999999999995</v>
      </c>
      <c r="H128" s="28">
        <v>7.93</v>
      </c>
      <c r="I128" s="3">
        <v>1129</v>
      </c>
      <c r="J128" s="28">
        <v>1288</v>
      </c>
      <c r="K128" s="3">
        <v>801</v>
      </c>
      <c r="L128" s="74">
        <v>915.66666666666663</v>
      </c>
      <c r="M128" s="2">
        <v>604</v>
      </c>
      <c r="N128" s="74">
        <v>692.66666666666663</v>
      </c>
      <c r="O128" s="82">
        <v>357.66666666666669</v>
      </c>
      <c r="P128" s="32">
        <v>7.663333333333334</v>
      </c>
      <c r="Q128" s="533"/>
      <c r="R128" s="512" t="s">
        <v>38</v>
      </c>
      <c r="S128" s="498" t="s">
        <v>235</v>
      </c>
      <c r="T128" s="599">
        <v>54</v>
      </c>
      <c r="U128" s="71">
        <v>419.19191919191877</v>
      </c>
      <c r="V128" s="109">
        <v>36.363636363636878</v>
      </c>
      <c r="W128" s="514">
        <f t="shared" si="87"/>
        <v>91.325301204819141</v>
      </c>
      <c r="X128" s="62">
        <v>1003.2828282828282</v>
      </c>
      <c r="Y128" s="62">
        <v>532.42424242424249</v>
      </c>
      <c r="Z128" s="500">
        <f t="shared" si="88"/>
        <v>46.931789579662706</v>
      </c>
      <c r="AA128" s="516">
        <v>3070</v>
      </c>
      <c r="AB128" s="109">
        <v>635.66666666666663</v>
      </c>
      <c r="AC128" s="515">
        <f t="shared" si="89"/>
        <v>79.294245385450608</v>
      </c>
      <c r="AD128" s="112">
        <v>186.5</v>
      </c>
      <c r="AE128" s="71">
        <v>228</v>
      </c>
      <c r="AF128" s="515">
        <f t="shared" si="90"/>
        <v>18.201754385964914</v>
      </c>
      <c r="AG128" s="42">
        <v>1.35</v>
      </c>
      <c r="AH128" s="40">
        <v>19.866666666666667</v>
      </c>
      <c r="AI128" s="514">
        <f t="shared" si="91"/>
        <v>93.204697986577173</v>
      </c>
      <c r="AJ128" s="62">
        <v>5000</v>
      </c>
      <c r="AK128" s="2">
        <v>1000</v>
      </c>
      <c r="AL128" s="597"/>
      <c r="AN128" s="62"/>
      <c r="AR128" s="9"/>
      <c r="AS128" s="62"/>
      <c r="AT128" s="598"/>
      <c r="AY128" s="9"/>
      <c r="BB128" s="502"/>
      <c r="BE128" s="62"/>
      <c r="BF128" s="9"/>
      <c r="BI128" s="502"/>
      <c r="BN128" s="62"/>
      <c r="BU128" s="62"/>
      <c r="CT128" s="62"/>
      <c r="CU128" s="62"/>
      <c r="CX128" s="3">
        <v>1.5</v>
      </c>
      <c r="CY128" s="74">
        <v>11</v>
      </c>
      <c r="CZ128" s="6"/>
    </row>
    <row r="129" spans="1:104" s="2" customFormat="1" ht="15" x14ac:dyDescent="0.2">
      <c r="B129" s="536" t="s">
        <v>30</v>
      </c>
      <c r="C129" s="513"/>
      <c r="D129" s="498">
        <v>33</v>
      </c>
      <c r="E129" s="3">
        <v>19.8</v>
      </c>
      <c r="F129" s="28">
        <v>19.600000000000001</v>
      </c>
      <c r="G129" s="47">
        <v>6.84</v>
      </c>
      <c r="H129" s="40">
        <v>7.8166666666666673</v>
      </c>
      <c r="I129" s="45">
        <v>1149</v>
      </c>
      <c r="J129" s="109">
        <v>1298.3333333333333</v>
      </c>
      <c r="K129" s="112">
        <v>815.66666666666663</v>
      </c>
      <c r="L129" s="109">
        <v>921.66666666666663</v>
      </c>
      <c r="M129" s="45">
        <v>617</v>
      </c>
      <c r="N129" s="109">
        <v>700.33333333333337</v>
      </c>
      <c r="O129" s="71">
        <v>432.5</v>
      </c>
      <c r="P129" s="40">
        <v>5.0166666666666666</v>
      </c>
      <c r="Q129" s="533">
        <f>AVERAGE(H125:H129)</f>
        <v>7.7553333333333345</v>
      </c>
      <c r="R129" s="600" t="s">
        <v>39</v>
      </c>
      <c r="S129" s="475" t="s">
        <v>225</v>
      </c>
      <c r="T129" s="601">
        <v>57</v>
      </c>
      <c r="U129" s="71">
        <v>840.00000000000057</v>
      </c>
      <c r="V129" s="109">
        <v>80.000000000001137</v>
      </c>
      <c r="W129" s="514">
        <f t="shared" si="87"/>
        <v>90.476190476190339</v>
      </c>
      <c r="X129" s="602">
        <v>1684.9999999999995</v>
      </c>
      <c r="Y129" s="603">
        <v>1005.0000000000011</v>
      </c>
      <c r="Z129" s="604">
        <f t="shared" si="88"/>
        <v>40.356083086053331</v>
      </c>
      <c r="AA129" s="501">
        <v>4090</v>
      </c>
      <c r="AB129" s="62">
        <v>564.33333333333337</v>
      </c>
      <c r="AC129" s="604">
        <f t="shared" si="89"/>
        <v>86.202118989405051</v>
      </c>
      <c r="AD129" s="112">
        <v>240.33333333333334</v>
      </c>
      <c r="AE129" s="71">
        <v>171</v>
      </c>
      <c r="AF129" s="604">
        <f t="shared" si="90"/>
        <v>-40.5458089668616</v>
      </c>
      <c r="AG129" s="605">
        <v>2.0666666666666664</v>
      </c>
      <c r="AH129" s="606">
        <v>19.8</v>
      </c>
      <c r="AI129" s="607">
        <f t="shared" si="91"/>
        <v>89.562289562289564</v>
      </c>
      <c r="AJ129" s="62">
        <v>5000</v>
      </c>
      <c r="AK129" s="2">
        <v>1000</v>
      </c>
      <c r="AN129" s="62"/>
      <c r="AR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N129" s="62"/>
      <c r="BU129" s="62"/>
      <c r="CT129" s="62"/>
      <c r="CU129" s="62"/>
      <c r="CX129" s="3">
        <v>1.5</v>
      </c>
      <c r="CY129" s="74">
        <v>11</v>
      </c>
      <c r="CZ129" s="6"/>
    </row>
    <row r="130" spans="1:104" s="2" customFormat="1" ht="15" x14ac:dyDescent="0.2">
      <c r="B130" s="581">
        <v>42801</v>
      </c>
      <c r="C130" s="475" t="s">
        <v>225</v>
      </c>
      <c r="D130" s="475">
        <v>36</v>
      </c>
      <c r="E130" s="56">
        <v>20.100000000000001</v>
      </c>
      <c r="F130" s="58">
        <v>20</v>
      </c>
      <c r="G130" s="56">
        <v>6.8900000000000006</v>
      </c>
      <c r="H130" s="535">
        <v>7.4766666666666666</v>
      </c>
      <c r="I130" s="56">
        <v>1311</v>
      </c>
      <c r="J130" s="64">
        <v>1372.6666666666667</v>
      </c>
      <c r="K130" s="56">
        <v>931</v>
      </c>
      <c r="L130" s="53">
        <v>975.33333333333337</v>
      </c>
      <c r="M130" s="56">
        <v>650</v>
      </c>
      <c r="N130" s="64">
        <v>682.33333333333337</v>
      </c>
      <c r="O130" s="53">
        <v>131.33333333333334</v>
      </c>
      <c r="P130" s="279">
        <v>3.78</v>
      </c>
      <c r="Q130" s="533"/>
      <c r="R130" s="497" t="s">
        <v>41</v>
      </c>
      <c r="S130" s="475" t="s">
        <v>236</v>
      </c>
      <c r="T130" s="608">
        <v>59</v>
      </c>
      <c r="U130" s="62">
        <v>675</v>
      </c>
      <c r="V130" s="74">
        <v>155.00000000000114</v>
      </c>
      <c r="W130" s="499">
        <f t="shared" si="87"/>
        <v>77.037037037036868</v>
      </c>
      <c r="X130" s="3">
        <v>1590.0000000000005</v>
      </c>
      <c r="Y130" s="2">
        <v>1035.0000000000009</v>
      </c>
      <c r="Z130" s="500">
        <f t="shared" si="88"/>
        <v>34.905660377358451</v>
      </c>
      <c r="AA130" s="519">
        <v>3661.6666666666665</v>
      </c>
      <c r="AB130" s="64">
        <v>734.33333333333337</v>
      </c>
      <c r="AC130" s="502">
        <f t="shared" si="89"/>
        <v>79.945380063723263</v>
      </c>
      <c r="AD130" s="82">
        <v>252</v>
      </c>
      <c r="AE130" s="62">
        <v>204.5</v>
      </c>
      <c r="AF130" s="500">
        <f t="shared" si="90"/>
        <v>-23.227383863080682</v>
      </c>
      <c r="AG130" s="522">
        <v>1.5333333333333332</v>
      </c>
      <c r="AH130" s="279">
        <v>8.4499999999999993</v>
      </c>
      <c r="AI130" s="499">
        <f t="shared" si="91"/>
        <v>81.854043392504934</v>
      </c>
      <c r="AJ130" s="62">
        <v>5000</v>
      </c>
      <c r="AK130" s="2">
        <v>1000</v>
      </c>
      <c r="AN130" s="62"/>
      <c r="BK130" s="6"/>
      <c r="BN130" s="62"/>
      <c r="CT130" s="62"/>
      <c r="CU130" s="62"/>
      <c r="CX130" s="3">
        <v>1.5</v>
      </c>
      <c r="CY130" s="74">
        <v>11</v>
      </c>
      <c r="CZ130" s="6"/>
    </row>
    <row r="131" spans="1:104" s="2" customFormat="1" ht="15" x14ac:dyDescent="0.2">
      <c r="B131" s="536">
        <v>42832</v>
      </c>
      <c r="C131" s="498" t="s">
        <v>229</v>
      </c>
      <c r="D131" s="498">
        <v>37</v>
      </c>
      <c r="E131" s="3">
        <v>19.399999999999999</v>
      </c>
      <c r="F131" s="28">
        <v>19.5</v>
      </c>
      <c r="G131" s="35">
        <v>6.7399999999999993</v>
      </c>
      <c r="H131" s="2">
        <v>7.4600000000000009</v>
      </c>
      <c r="I131" s="82">
        <v>1286.6666666666667</v>
      </c>
      <c r="J131" s="74">
        <v>1388</v>
      </c>
      <c r="K131" s="82">
        <v>913.33333333333337</v>
      </c>
      <c r="L131" s="62">
        <v>981.5</v>
      </c>
      <c r="M131" s="82">
        <v>638</v>
      </c>
      <c r="N131" s="74">
        <v>690.33333333333337</v>
      </c>
      <c r="O131" s="62">
        <v>398.66666666666669</v>
      </c>
      <c r="P131" s="32">
        <v>4.3666666666666663</v>
      </c>
      <c r="Q131" s="533"/>
      <c r="R131" s="512" t="s">
        <v>43</v>
      </c>
      <c r="S131" s="513" t="s">
        <v>237</v>
      </c>
      <c r="T131" s="599">
        <v>61</v>
      </c>
      <c r="U131" s="71">
        <v>1226.6666666666672</v>
      </c>
      <c r="V131" s="109">
        <v>29.646464646463752</v>
      </c>
      <c r="W131" s="514">
        <f t="shared" si="87"/>
        <v>97.583168642951321</v>
      </c>
      <c r="X131" s="112">
        <v>1740.0000000000007</v>
      </c>
      <c r="Y131" s="71">
        <v>498.68686868686888</v>
      </c>
      <c r="Z131" s="515">
        <f t="shared" si="88"/>
        <v>71.339835132938589</v>
      </c>
      <c r="AA131" s="501">
        <v>4020</v>
      </c>
      <c r="AB131" s="74">
        <v>768.33333333333337</v>
      </c>
      <c r="AC131" s="517">
        <f t="shared" si="89"/>
        <v>80.887230514096188</v>
      </c>
      <c r="AD131" s="112">
        <v>188</v>
      </c>
      <c r="AE131" s="71">
        <v>283.33333333333331</v>
      </c>
      <c r="AF131" s="515">
        <f t="shared" si="90"/>
        <v>33.647058823529406</v>
      </c>
      <c r="AG131" s="35">
        <v>1.5666666666666667</v>
      </c>
      <c r="AH131" s="32">
        <v>13.899999999999999</v>
      </c>
      <c r="AI131" s="514">
        <f t="shared" si="91"/>
        <v>88.729016786570753</v>
      </c>
      <c r="AJ131" s="62">
        <v>5000</v>
      </c>
      <c r="AK131" s="2">
        <v>1000</v>
      </c>
      <c r="AN131" s="62"/>
      <c r="BM131" s="6"/>
      <c r="BN131" s="62"/>
      <c r="BU131" s="62"/>
      <c r="CT131" s="62"/>
      <c r="CU131" s="62"/>
      <c r="CX131" s="3">
        <v>1.5</v>
      </c>
      <c r="CY131" s="74">
        <v>11</v>
      </c>
      <c r="CZ131" s="6"/>
    </row>
    <row r="132" spans="1:104" s="2" customFormat="1" ht="15" x14ac:dyDescent="0.2">
      <c r="B132" s="536">
        <v>42862</v>
      </c>
      <c r="C132" s="498" t="s">
        <v>215</v>
      </c>
      <c r="D132" s="498">
        <v>38</v>
      </c>
      <c r="E132" s="3">
        <v>20.2</v>
      </c>
      <c r="F132" s="28">
        <v>20.2</v>
      </c>
      <c r="G132" s="3">
        <v>6.82</v>
      </c>
      <c r="H132" s="6">
        <v>7.3966666666666656</v>
      </c>
      <c r="I132" s="3">
        <v>1334</v>
      </c>
      <c r="J132" s="74">
        <v>1393.6666666666667</v>
      </c>
      <c r="K132" s="82">
        <v>945.66666666666663</v>
      </c>
      <c r="L132" s="2">
        <v>991</v>
      </c>
      <c r="M132" s="3">
        <v>656</v>
      </c>
      <c r="N132" s="28">
        <v>687</v>
      </c>
      <c r="O132" s="2">
        <v>487</v>
      </c>
      <c r="P132" s="32">
        <v>4.4233333333333329</v>
      </c>
      <c r="Q132" s="533"/>
      <c r="R132" s="497" t="s">
        <v>44</v>
      </c>
      <c r="S132" s="498" t="s">
        <v>236</v>
      </c>
      <c r="T132" s="608">
        <v>64</v>
      </c>
      <c r="U132" s="62">
        <v>909.09090909090912</v>
      </c>
      <c r="V132" s="74">
        <v>109.99999999999943</v>
      </c>
      <c r="W132" s="499">
        <f t="shared" si="87"/>
        <v>87.900000000000063</v>
      </c>
      <c r="X132" s="62">
        <v>1659.090909090909</v>
      </c>
      <c r="Y132" s="74">
        <v>900</v>
      </c>
      <c r="Z132" s="502">
        <f t="shared" si="88"/>
        <v>45.753424657534239</v>
      </c>
      <c r="AA132" s="519">
        <v>3490</v>
      </c>
      <c r="AB132" s="64">
        <v>807</v>
      </c>
      <c r="AC132" s="502">
        <f t="shared" si="89"/>
        <v>76.876790830945566</v>
      </c>
      <c r="AD132" s="82">
        <v>165</v>
      </c>
      <c r="AE132" s="62">
        <v>160.5</v>
      </c>
      <c r="AF132" s="500">
        <f t="shared" si="90"/>
        <v>-2.8037383177570092</v>
      </c>
      <c r="AG132" s="522">
        <v>1.9333333333333333</v>
      </c>
      <c r="AH132" s="279">
        <v>23</v>
      </c>
      <c r="AI132" s="499">
        <f t="shared" si="91"/>
        <v>91.594202898550719</v>
      </c>
      <c r="AJ132" s="62">
        <v>5000</v>
      </c>
      <c r="AK132" s="2">
        <v>1000</v>
      </c>
      <c r="AN132" s="62"/>
      <c r="BJ132" s="6"/>
      <c r="BN132" s="62"/>
      <c r="BU132" s="62"/>
      <c r="BW132" s="9"/>
      <c r="CT132" s="62"/>
      <c r="CU132" s="62"/>
      <c r="CX132" s="3">
        <v>1.5</v>
      </c>
      <c r="CY132" s="74">
        <v>11</v>
      </c>
      <c r="CZ132" s="6"/>
    </row>
    <row r="133" spans="1:104" s="2" customFormat="1" ht="15" x14ac:dyDescent="0.2">
      <c r="B133" s="536">
        <v>42893</v>
      </c>
      <c r="C133" s="498"/>
      <c r="D133" s="498">
        <v>39</v>
      </c>
      <c r="E133" s="25">
        <v>18</v>
      </c>
      <c r="F133" s="26">
        <v>17.7</v>
      </c>
      <c r="G133" s="35">
        <v>6.7733333333333334</v>
      </c>
      <c r="H133" s="6">
        <v>7.5466666666666669</v>
      </c>
      <c r="I133" s="82">
        <v>1327</v>
      </c>
      <c r="J133" s="74">
        <v>1412.3333333333333</v>
      </c>
      <c r="K133" s="82">
        <v>941.66666666666663</v>
      </c>
      <c r="L133" s="62">
        <v>1003.3333333333334</v>
      </c>
      <c r="M133" s="82">
        <v>648.33333333333337</v>
      </c>
      <c r="N133" s="74">
        <v>695.33333333333337</v>
      </c>
      <c r="O133" s="62">
        <v>555</v>
      </c>
      <c r="P133" s="32">
        <v>3.5666666666666664</v>
      </c>
      <c r="Q133" s="533"/>
      <c r="R133" s="497" t="s">
        <v>238</v>
      </c>
      <c r="S133" s="498" t="s">
        <v>239</v>
      </c>
      <c r="T133" s="608">
        <v>66</v>
      </c>
      <c r="U133" s="62">
        <v>1115.8333333333339</v>
      </c>
      <c r="V133" s="74">
        <v>129.99999999999972</v>
      </c>
      <c r="W133" s="499">
        <f t="shared" si="87"/>
        <v>88.349514563106823</v>
      </c>
      <c r="X133" s="62">
        <v>1768.3333333333348</v>
      </c>
      <c r="Y133" s="74">
        <v>929.99999999999977</v>
      </c>
      <c r="Z133" s="502">
        <f t="shared" si="88"/>
        <v>47.408105560791761</v>
      </c>
      <c r="AA133" s="501">
        <v>3560</v>
      </c>
      <c r="AB133" s="74">
        <v>779.66666666666663</v>
      </c>
      <c r="AC133" s="502">
        <f t="shared" si="89"/>
        <v>78.099250936329582</v>
      </c>
      <c r="AD133" s="82">
        <v>160</v>
      </c>
      <c r="AE133" s="62">
        <v>272</v>
      </c>
      <c r="AF133" s="500">
        <f t="shared" si="90"/>
        <v>41.17647058823529</v>
      </c>
      <c r="AG133" s="35">
        <v>3.5666666666666664</v>
      </c>
      <c r="AH133" s="32">
        <v>17.899999999999999</v>
      </c>
      <c r="AI133" s="499">
        <f t="shared" si="91"/>
        <v>80.074487895716956</v>
      </c>
      <c r="AJ133" s="62">
        <v>5000</v>
      </c>
      <c r="AK133" s="2">
        <v>1000</v>
      </c>
      <c r="AN133" s="62"/>
      <c r="BM133" s="6"/>
      <c r="BN133" s="62"/>
      <c r="BW133" s="9"/>
      <c r="CT133" s="62"/>
      <c r="CU133" s="62"/>
      <c r="CX133" s="3">
        <v>1.5</v>
      </c>
      <c r="CY133" s="74">
        <v>11</v>
      </c>
      <c r="CZ133" s="6"/>
    </row>
    <row r="134" spans="1:104" s="2" customFormat="1" ht="15" x14ac:dyDescent="0.2">
      <c r="B134" s="573">
        <v>42923</v>
      </c>
      <c r="C134" s="513"/>
      <c r="D134" s="513">
        <v>40</v>
      </c>
      <c r="E134" s="47">
        <v>20.5</v>
      </c>
      <c r="F134" s="49">
        <v>20.399999999999999</v>
      </c>
      <c r="G134" s="42">
        <v>6.9733333333333336</v>
      </c>
      <c r="H134" s="45">
        <v>7.4799999999999995</v>
      </c>
      <c r="I134" s="112">
        <v>1354.3333333333333</v>
      </c>
      <c r="J134" s="109">
        <v>1439.6666666666667</v>
      </c>
      <c r="K134" s="112">
        <v>962</v>
      </c>
      <c r="L134" s="71">
        <v>1030</v>
      </c>
      <c r="M134" s="112">
        <v>658.66666666666663</v>
      </c>
      <c r="N134" s="109">
        <v>698</v>
      </c>
      <c r="O134" s="71">
        <v>505</v>
      </c>
      <c r="P134" s="40">
        <v>9.6133333333333333</v>
      </c>
      <c r="Q134" s="533">
        <f>AVERAGE(H130:H134)</f>
        <v>7.4719999999999995</v>
      </c>
      <c r="R134" s="512">
        <v>42833</v>
      </c>
      <c r="S134" s="498" t="s">
        <v>240</v>
      </c>
      <c r="T134" s="599">
        <v>68</v>
      </c>
      <c r="U134" s="71">
        <v>1449.9999999999986</v>
      </c>
      <c r="V134" s="109">
        <v>69.999999999998863</v>
      </c>
      <c r="W134" s="514">
        <f t="shared" si="87"/>
        <v>95.17241379310353</v>
      </c>
      <c r="X134" s="45">
        <v>2254.9999999999995</v>
      </c>
      <c r="Y134" s="49">
        <v>1000</v>
      </c>
      <c r="Z134" s="502">
        <f t="shared" si="88"/>
        <v>55.654101995565398</v>
      </c>
      <c r="AA134" s="501">
        <v>3613.3333333333335</v>
      </c>
      <c r="AB134" s="74">
        <v>720.33333333333337</v>
      </c>
      <c r="AC134" s="517">
        <f t="shared" si="89"/>
        <v>80.064575645756449</v>
      </c>
      <c r="AD134" s="112">
        <v>168.66666666666666</v>
      </c>
      <c r="AE134" s="71">
        <v>144.33333333333334</v>
      </c>
      <c r="AF134" s="515">
        <f t="shared" si="90"/>
        <v>-16.859122401847561</v>
      </c>
      <c r="AG134" s="42">
        <v>1.6333333333333335</v>
      </c>
      <c r="AH134" s="40">
        <v>17.95</v>
      </c>
      <c r="AI134" s="514">
        <f t="shared" si="91"/>
        <v>90.900649953574742</v>
      </c>
      <c r="AJ134" s="62">
        <v>5000</v>
      </c>
      <c r="AK134" s="2">
        <v>1000</v>
      </c>
      <c r="AN134" s="62"/>
      <c r="BJ134" s="6"/>
      <c r="BM134" s="6"/>
      <c r="BN134" s="62"/>
      <c r="BU134" s="62"/>
      <c r="BW134" s="9"/>
      <c r="CT134" s="62"/>
      <c r="CU134" s="62"/>
      <c r="CX134" s="3">
        <v>1.5</v>
      </c>
      <c r="CY134" s="74">
        <v>11</v>
      </c>
      <c r="CZ134" s="6"/>
    </row>
    <row r="135" spans="1:104" s="2" customFormat="1" ht="15" x14ac:dyDescent="0.2">
      <c r="B135" s="581">
        <v>43015</v>
      </c>
      <c r="C135" s="475" t="s">
        <v>225</v>
      </c>
      <c r="D135" s="475">
        <v>43</v>
      </c>
      <c r="E135" s="56">
        <v>18.399999999999999</v>
      </c>
      <c r="F135" s="58">
        <v>18.899999999999999</v>
      </c>
      <c r="G135" s="6">
        <v>6.6733333333333329</v>
      </c>
      <c r="H135" s="32">
        <v>7.3900000000000006</v>
      </c>
      <c r="I135" s="62">
        <v>1291.6666666666667</v>
      </c>
      <c r="J135" s="74">
        <v>1313.6666666666667</v>
      </c>
      <c r="K135" s="2">
        <v>915.5</v>
      </c>
      <c r="L135" s="74">
        <v>931.66666666666663</v>
      </c>
      <c r="M135" s="62">
        <v>665.33333333333337</v>
      </c>
      <c r="N135" s="74">
        <v>673.33333333333337</v>
      </c>
      <c r="O135" s="62">
        <v>461.33333333333331</v>
      </c>
      <c r="P135" s="32">
        <v>7.1833333333333336</v>
      </c>
      <c r="R135" s="474">
        <v>42924</v>
      </c>
      <c r="S135" s="475" t="s">
        <v>236</v>
      </c>
      <c r="T135" s="609">
        <v>71</v>
      </c>
      <c r="U135" s="62">
        <v>3755.909090909091</v>
      </c>
      <c r="V135" s="74">
        <v>36.363636363636878</v>
      </c>
      <c r="W135" s="499">
        <f t="shared" si="87"/>
        <v>99.031828633668141</v>
      </c>
      <c r="X135" s="62">
        <v>4411.818181818182</v>
      </c>
      <c r="Y135" s="62">
        <v>877.27272727272657</v>
      </c>
      <c r="Z135" s="494">
        <f t="shared" si="88"/>
        <v>80.11539254069649</v>
      </c>
      <c r="AA135" s="519">
        <v>5583.333333333333</v>
      </c>
      <c r="AB135" s="64">
        <v>904</v>
      </c>
      <c r="AC135" s="502">
        <f t="shared" si="89"/>
        <v>83.808955223880602</v>
      </c>
      <c r="AD135" s="82">
        <v>193.33333333333334</v>
      </c>
      <c r="AE135" s="62">
        <v>121.66666666666667</v>
      </c>
      <c r="AF135" s="500">
        <f t="shared" si="90"/>
        <v>-58.904109589041099</v>
      </c>
      <c r="AG135" s="35">
        <v>5.9666666666666677</v>
      </c>
      <c r="AH135" s="32">
        <v>21.95</v>
      </c>
      <c r="AI135" s="499">
        <f t="shared" si="91"/>
        <v>72.817008352315867</v>
      </c>
      <c r="AJ135" s="62">
        <v>5000</v>
      </c>
      <c r="AK135" s="2">
        <v>1000</v>
      </c>
      <c r="AN135" s="62"/>
      <c r="BJ135" s="6"/>
      <c r="BK135" s="6"/>
      <c r="BM135" s="6"/>
      <c r="BN135" s="62"/>
      <c r="BU135" s="62"/>
      <c r="BW135" s="9"/>
      <c r="CT135" s="62"/>
      <c r="CU135" s="62"/>
      <c r="CX135" s="3">
        <v>1.5</v>
      </c>
      <c r="CY135" s="74">
        <v>11</v>
      </c>
      <c r="CZ135" s="6"/>
    </row>
    <row r="136" spans="1:104" s="2" customFormat="1" ht="15" x14ac:dyDescent="0.2">
      <c r="A136" s="582"/>
      <c r="B136" s="583">
        <v>43046</v>
      </c>
      <c r="C136" s="584" t="s">
        <v>231</v>
      </c>
      <c r="D136" s="585">
        <v>44</v>
      </c>
      <c r="E136" s="586"/>
      <c r="F136" s="587"/>
      <c r="G136" s="610"/>
      <c r="H136" s="610"/>
      <c r="I136" s="611"/>
      <c r="J136" s="590"/>
      <c r="K136" s="589"/>
      <c r="L136" s="589"/>
      <c r="M136" s="611"/>
      <c r="N136" s="590"/>
      <c r="O136" s="611"/>
      <c r="P136" s="591"/>
      <c r="R136" s="497" t="s">
        <v>241</v>
      </c>
      <c r="S136" s="498" t="s">
        <v>242</v>
      </c>
      <c r="T136" s="608">
        <v>73</v>
      </c>
      <c r="U136" s="62">
        <v>704.99999999999977</v>
      </c>
      <c r="V136" s="74">
        <v>160.00000000000085</v>
      </c>
      <c r="W136" s="499">
        <f t="shared" si="87"/>
        <v>77.30496453900696</v>
      </c>
      <c r="X136" s="62">
        <v>1614.9999999999991</v>
      </c>
      <c r="Y136" s="62">
        <v>1040.0000000000005</v>
      </c>
      <c r="Z136" s="500">
        <f t="shared" si="88"/>
        <v>35.603715170278569</v>
      </c>
      <c r="AA136" s="501">
        <v>3605</v>
      </c>
      <c r="AB136" s="74">
        <v>951.66666666666663</v>
      </c>
      <c r="AC136" s="502">
        <f t="shared" si="89"/>
        <v>73.60147942672215</v>
      </c>
      <c r="AD136" s="82">
        <v>196</v>
      </c>
      <c r="AE136" s="62">
        <v>198</v>
      </c>
      <c r="AF136" s="500">
        <f t="shared" si="90"/>
        <v>1.0101010101010102</v>
      </c>
      <c r="AG136" s="539">
        <v>2.4</v>
      </c>
      <c r="AH136" s="32">
        <v>22.6</v>
      </c>
      <c r="AI136" s="499">
        <f t="shared" si="91"/>
        <v>89.380530973451329</v>
      </c>
      <c r="AJ136" s="62">
        <v>5000</v>
      </c>
      <c r="AK136" s="2">
        <v>1000</v>
      </c>
      <c r="AN136" s="62"/>
      <c r="BM136" s="612"/>
      <c r="BN136" s="62"/>
      <c r="BW136" s="9"/>
      <c r="CT136" s="62"/>
      <c r="CU136" s="62"/>
      <c r="CX136" s="3">
        <v>1.5</v>
      </c>
      <c r="CY136" s="74">
        <v>11</v>
      </c>
      <c r="CZ136" s="6"/>
    </row>
    <row r="137" spans="1:104" s="2" customFormat="1" ht="15" x14ac:dyDescent="0.2">
      <c r="B137" s="536">
        <v>43076</v>
      </c>
      <c r="C137" s="498" t="s">
        <v>232</v>
      </c>
      <c r="D137" s="498">
        <v>45</v>
      </c>
      <c r="E137" s="3">
        <v>20.100000000000001</v>
      </c>
      <c r="F137" s="28">
        <v>21.3</v>
      </c>
      <c r="G137" s="35">
        <v>6.8933333333333335</v>
      </c>
      <c r="H137" s="6">
        <v>8.2266666666666666</v>
      </c>
      <c r="I137" s="82">
        <v>1643.6666666666667</v>
      </c>
      <c r="J137" s="62">
        <v>1632.3333333333333</v>
      </c>
      <c r="K137" s="82">
        <v>1170</v>
      </c>
      <c r="L137" s="62">
        <v>1156.6666666666667</v>
      </c>
      <c r="M137" s="3">
        <v>847</v>
      </c>
      <c r="N137" s="62">
        <v>839.66666666666663</v>
      </c>
      <c r="O137" s="82">
        <v>599</v>
      </c>
      <c r="P137" s="32">
        <v>30.900000000000002</v>
      </c>
      <c r="R137" s="512">
        <v>43047</v>
      </c>
      <c r="S137" s="498" t="s">
        <v>240</v>
      </c>
      <c r="T137" s="599">
        <v>75</v>
      </c>
      <c r="U137" s="62">
        <v>930.45454545454538</v>
      </c>
      <c r="V137" s="74">
        <v>27.727272727273863</v>
      </c>
      <c r="W137" s="499">
        <f t="shared" si="87"/>
        <v>97.020029311186988</v>
      </c>
      <c r="X137" s="62">
        <v>1765.909090909091</v>
      </c>
      <c r="Y137" s="62">
        <v>866.81818181818267</v>
      </c>
      <c r="Z137" s="515">
        <f t="shared" si="88"/>
        <v>50.913770913770875</v>
      </c>
      <c r="AA137" s="516">
        <v>3896.6666666666665</v>
      </c>
      <c r="AB137" s="109">
        <v>833</v>
      </c>
      <c r="AC137" s="502">
        <f t="shared" si="89"/>
        <v>78.622754491017972</v>
      </c>
      <c r="AD137" s="82">
        <v>225.5</v>
      </c>
      <c r="AE137" s="62">
        <v>208</v>
      </c>
      <c r="AF137" s="500">
        <f t="shared" si="90"/>
        <v>-8.4134615384615383</v>
      </c>
      <c r="AG137" s="562">
        <v>2.0333333333333332</v>
      </c>
      <c r="AH137" s="40">
        <v>16.350000000000001</v>
      </c>
      <c r="AI137" s="499">
        <f t="shared" si="91"/>
        <v>87.563710499490327</v>
      </c>
      <c r="AJ137" s="62">
        <v>5000</v>
      </c>
      <c r="AK137" s="2">
        <v>1000</v>
      </c>
      <c r="AN137" s="62"/>
      <c r="BJ137" s="6"/>
      <c r="BM137" s="6"/>
      <c r="BN137" s="62"/>
      <c r="BU137" s="62"/>
      <c r="BW137" s="9"/>
      <c r="CT137" s="62"/>
      <c r="CU137" s="62"/>
      <c r="CX137" s="3">
        <v>1.5</v>
      </c>
      <c r="CY137" s="74">
        <v>11</v>
      </c>
      <c r="CZ137" s="6"/>
    </row>
    <row r="138" spans="1:104" s="2" customFormat="1" ht="15" x14ac:dyDescent="0.2">
      <c r="B138" s="536" t="s">
        <v>32</v>
      </c>
      <c r="C138" s="498"/>
      <c r="D138" s="498">
        <v>46</v>
      </c>
      <c r="E138" s="3">
        <v>18.399999999999999</v>
      </c>
      <c r="F138" s="28">
        <v>19.3</v>
      </c>
      <c r="G138" s="35">
        <v>6.8033333333333337</v>
      </c>
      <c r="H138" s="32">
        <v>8.35</v>
      </c>
      <c r="I138" s="82">
        <v>1648</v>
      </c>
      <c r="J138" s="74">
        <v>1878.6666666666667</v>
      </c>
      <c r="K138" s="82">
        <v>1180</v>
      </c>
      <c r="L138" s="74">
        <v>1333.3333333333333</v>
      </c>
      <c r="M138" s="82">
        <v>864</v>
      </c>
      <c r="N138" s="74">
        <v>985.33333333333337</v>
      </c>
      <c r="O138" s="82">
        <v>322.66666666666669</v>
      </c>
      <c r="P138" s="32">
        <v>8.4066666666666663</v>
      </c>
      <c r="R138" s="474" t="s">
        <v>45</v>
      </c>
      <c r="S138" s="475" t="s">
        <v>236</v>
      </c>
      <c r="T138" s="609">
        <v>78</v>
      </c>
      <c r="U138" s="53">
        <v>540.45454545454572</v>
      </c>
      <c r="V138" s="53">
        <v>55.000000000001137</v>
      </c>
      <c r="W138" s="523">
        <f t="shared" si="87"/>
        <v>89.823380992430415</v>
      </c>
      <c r="X138" s="53">
        <v>1388.6363636363646</v>
      </c>
      <c r="Y138" s="53">
        <v>915.00000000000057</v>
      </c>
      <c r="Z138" s="500">
        <f t="shared" si="88"/>
        <v>34.10801963993454</v>
      </c>
      <c r="AA138" s="501">
        <v>2516.6666666666702</v>
      </c>
      <c r="AB138" s="74">
        <v>825.33333333333337</v>
      </c>
      <c r="AC138" s="495">
        <f>((AA138-AB138)/(AA138))*100</f>
        <v>67.20529801324507</v>
      </c>
      <c r="AD138" s="85">
        <v>174</v>
      </c>
      <c r="AE138" s="64">
        <v>192</v>
      </c>
      <c r="AF138" s="523">
        <f t="shared" si="90"/>
        <v>9.375</v>
      </c>
      <c r="AG138" s="6">
        <v>2.4666666666666668</v>
      </c>
      <c r="AH138" s="6">
        <v>17.600000000000001</v>
      </c>
      <c r="AI138" s="523">
        <f t="shared" si="91"/>
        <v>85.984848484848484</v>
      </c>
      <c r="AJ138" s="62">
        <v>5000</v>
      </c>
      <c r="AK138" s="2">
        <v>1000</v>
      </c>
      <c r="AL138" s="9"/>
      <c r="AM138" s="9"/>
      <c r="AN138" s="62"/>
      <c r="BJ138" s="6"/>
      <c r="BM138" s="6"/>
      <c r="BN138" s="62"/>
      <c r="BU138" s="62"/>
      <c r="BW138" s="9"/>
      <c r="CT138" s="62"/>
      <c r="CU138" s="62"/>
      <c r="CX138" s="3">
        <v>1.5</v>
      </c>
      <c r="CY138" s="74">
        <v>11</v>
      </c>
      <c r="CZ138" s="6"/>
    </row>
    <row r="139" spans="1:104" s="2" customFormat="1" ht="15" x14ac:dyDescent="0.2">
      <c r="B139" s="573" t="s">
        <v>33</v>
      </c>
      <c r="C139" s="513"/>
      <c r="D139" s="513">
        <v>47</v>
      </c>
      <c r="E139" s="47">
        <v>21.1</v>
      </c>
      <c r="F139" s="49">
        <v>21.2</v>
      </c>
      <c r="G139" s="6">
        <v>7.09</v>
      </c>
      <c r="H139" s="32">
        <v>8.2933333333333348</v>
      </c>
      <c r="I139" s="62">
        <v>1676</v>
      </c>
      <c r="J139" s="74">
        <v>1916</v>
      </c>
      <c r="K139" s="62">
        <v>1186.6666666666667</v>
      </c>
      <c r="L139" s="74">
        <v>1360</v>
      </c>
      <c r="M139" s="62">
        <v>861.33333333333337</v>
      </c>
      <c r="N139" s="74">
        <v>992</v>
      </c>
      <c r="O139" s="62">
        <v>677.5</v>
      </c>
      <c r="P139" s="32">
        <v>6.5633333333333326</v>
      </c>
      <c r="R139" s="497" t="s">
        <v>47</v>
      </c>
      <c r="S139" s="498" t="s">
        <v>243</v>
      </c>
      <c r="T139" s="608">
        <v>80</v>
      </c>
      <c r="U139" s="62">
        <v>1735.0000000000009</v>
      </c>
      <c r="V139" s="62">
        <v>61.363636363635585</v>
      </c>
      <c r="W139" s="499">
        <f t="shared" si="87"/>
        <v>96.463190987686716</v>
      </c>
      <c r="X139" s="62">
        <v>2534.9999999999995</v>
      </c>
      <c r="Y139" s="62">
        <v>79.999999999998295</v>
      </c>
      <c r="Z139" s="500">
        <f t="shared" si="88"/>
        <v>96.844181459566144</v>
      </c>
      <c r="AA139" s="501">
        <v>5796.666666666667</v>
      </c>
      <c r="AB139" s="74">
        <v>746.33333333333337</v>
      </c>
      <c r="AC139" s="502">
        <f t="shared" si="89"/>
        <v>87.124784358826929</v>
      </c>
      <c r="AD139" s="82">
        <v>251.5</v>
      </c>
      <c r="AE139" s="74">
        <v>199.5</v>
      </c>
      <c r="AF139" s="499">
        <f t="shared" si="90"/>
        <v>-26.065162907268167</v>
      </c>
      <c r="AG139" s="6">
        <v>1.1333333333333335</v>
      </c>
      <c r="AH139" s="6">
        <v>10.8</v>
      </c>
      <c r="AI139" s="499">
        <f t="shared" si="91"/>
        <v>89.506172839506178</v>
      </c>
      <c r="AJ139" s="62">
        <v>5000</v>
      </c>
      <c r="AK139" s="2">
        <v>1000</v>
      </c>
      <c r="AN139" s="62"/>
      <c r="BM139" s="6"/>
      <c r="BN139" s="62"/>
      <c r="BW139" s="9"/>
      <c r="CT139" s="62"/>
      <c r="CU139" s="62"/>
      <c r="CX139" s="3">
        <v>1.5</v>
      </c>
      <c r="CY139" s="74">
        <v>11</v>
      </c>
      <c r="CZ139" s="6"/>
    </row>
    <row r="140" spans="1:104" s="2" customFormat="1" ht="15" x14ac:dyDescent="0.2">
      <c r="B140" s="581" t="s">
        <v>34</v>
      </c>
      <c r="C140" s="475" t="s">
        <v>225</v>
      </c>
      <c r="D140" s="475">
        <v>50</v>
      </c>
      <c r="E140" s="3">
        <v>19.399999999999999</v>
      </c>
      <c r="F140" s="28">
        <v>20.100000000000001</v>
      </c>
      <c r="G140" s="56">
        <v>7.080000000000001</v>
      </c>
      <c r="H140" s="279">
        <v>8.01</v>
      </c>
      <c r="I140" s="59">
        <v>1709</v>
      </c>
      <c r="J140" s="64">
        <v>1924.3333333333333</v>
      </c>
      <c r="K140" s="53">
        <v>1213.3333333333333</v>
      </c>
      <c r="L140" s="64">
        <v>1366.6666666666667</v>
      </c>
      <c r="M140" s="53">
        <v>878.33333333333337</v>
      </c>
      <c r="N140" s="64">
        <v>996.66666666666663</v>
      </c>
      <c r="O140" s="85">
        <v>335</v>
      </c>
      <c r="P140" s="279">
        <v>4.12</v>
      </c>
      <c r="R140" s="497" t="s">
        <v>49</v>
      </c>
      <c r="S140" s="498" t="s">
        <v>240</v>
      </c>
      <c r="T140" s="608">
        <v>82</v>
      </c>
      <c r="U140" s="62">
        <v>498.33333333333485</v>
      </c>
      <c r="V140" s="62">
        <v>95.909090909090878</v>
      </c>
      <c r="W140" s="499">
        <f t="shared" si="87"/>
        <v>80.754028580115602</v>
      </c>
      <c r="X140" s="62">
        <v>1358.3333333333344</v>
      </c>
      <c r="Y140" s="62">
        <v>71.818181818183163</v>
      </c>
      <c r="Z140" s="500">
        <f t="shared" si="88"/>
        <v>94.712771890685914</v>
      </c>
      <c r="AA140" s="516">
        <v>3538.3333333333335</v>
      </c>
      <c r="AB140" s="109">
        <v>748</v>
      </c>
      <c r="AC140" s="502">
        <f t="shared" si="89"/>
        <v>78.860103626943001</v>
      </c>
      <c r="AD140" s="82">
        <v>237</v>
      </c>
      <c r="AE140" s="74">
        <v>220.5</v>
      </c>
      <c r="AF140" s="514">
        <f t="shared" si="90"/>
        <v>-7.4829931972789119</v>
      </c>
      <c r="AG140" s="6">
        <v>0.63666666666666671</v>
      </c>
      <c r="AH140" s="6">
        <v>13.700000000000001</v>
      </c>
      <c r="AI140" s="499">
        <f>((AH140-AG140)/(AH140))*100</f>
        <v>95.352798053527977</v>
      </c>
      <c r="AJ140" s="62">
        <v>5000</v>
      </c>
      <c r="AK140" s="2">
        <v>1000</v>
      </c>
      <c r="AN140" s="62"/>
      <c r="AR140" s="6"/>
      <c r="BJ140" s="6"/>
      <c r="BK140" s="6"/>
      <c r="BN140" s="62"/>
      <c r="BU140" s="62"/>
      <c r="BW140" s="9"/>
      <c r="CT140" s="62"/>
      <c r="CU140" s="62"/>
      <c r="CX140" s="3">
        <v>1.5</v>
      </c>
      <c r="CY140" s="74">
        <v>11</v>
      </c>
      <c r="CZ140" s="6"/>
    </row>
    <row r="141" spans="1:104" s="2" customFormat="1" ht="15" x14ac:dyDescent="0.2">
      <c r="B141" s="536" t="s">
        <v>35</v>
      </c>
      <c r="C141" s="498" t="s">
        <v>233</v>
      </c>
      <c r="D141" s="498">
        <v>51</v>
      </c>
      <c r="E141" s="3">
        <v>20.8</v>
      </c>
      <c r="F141" s="28">
        <v>20.5</v>
      </c>
      <c r="G141" s="35">
        <v>6.9666666666666659</v>
      </c>
      <c r="H141" s="32">
        <v>8.1566666666666681</v>
      </c>
      <c r="I141" s="62">
        <v>1659.6666666666667</v>
      </c>
      <c r="J141" s="74">
        <v>1825.6666666666667</v>
      </c>
      <c r="K141" s="62">
        <v>1180</v>
      </c>
      <c r="L141" s="74">
        <v>1300</v>
      </c>
      <c r="M141" s="62">
        <v>870.33333333333337</v>
      </c>
      <c r="N141" s="74">
        <v>959</v>
      </c>
      <c r="O141" s="82">
        <v>710.33333333333337</v>
      </c>
      <c r="P141" s="32">
        <v>4.1766666666666667</v>
      </c>
      <c r="R141" s="474" t="s">
        <v>50</v>
      </c>
      <c r="S141" s="475" t="s">
        <v>244</v>
      </c>
      <c r="T141" s="609">
        <v>85</v>
      </c>
      <c r="U141" s="53">
        <v>1363.3333333333335</v>
      </c>
      <c r="V141" s="64">
        <v>31.060606060605586</v>
      </c>
      <c r="W141" s="523">
        <f t="shared" si="87"/>
        <v>97.721715936874901</v>
      </c>
      <c r="X141" s="53">
        <v>2229.166666666667</v>
      </c>
      <c r="Y141" s="53">
        <v>823.48484848484873</v>
      </c>
      <c r="Z141" s="494">
        <f t="shared" si="88"/>
        <v>63.058623619371282</v>
      </c>
      <c r="AA141" s="501">
        <v>5203.333333333333</v>
      </c>
      <c r="AB141" s="74">
        <v>760</v>
      </c>
      <c r="AC141" s="495">
        <f t="shared" si="89"/>
        <v>85.393978219090329</v>
      </c>
      <c r="AD141" s="85">
        <v>250</v>
      </c>
      <c r="AE141" s="53">
        <v>171.5</v>
      </c>
      <c r="AF141" s="494">
        <f t="shared" si="90"/>
        <v>-45.772594752186592</v>
      </c>
      <c r="AG141" s="522">
        <v>2.23</v>
      </c>
      <c r="AH141" s="279">
        <v>19.299999999999997</v>
      </c>
      <c r="AI141" s="523">
        <f t="shared" ref="AI141:AI164" si="99">((AH141-AG141)/(AH141))*100</f>
        <v>88.445595854922274</v>
      </c>
      <c r="AJ141" s="62">
        <v>5000</v>
      </c>
      <c r="AK141" s="2">
        <v>1000</v>
      </c>
      <c r="AN141" s="62"/>
      <c r="AR141" s="6"/>
      <c r="BJ141" s="612"/>
      <c r="BM141" s="6"/>
      <c r="BN141" s="62"/>
      <c r="BU141" s="62"/>
      <c r="BW141" s="9"/>
      <c r="CT141" s="62"/>
      <c r="CU141" s="62"/>
      <c r="CX141" s="3">
        <v>1.5</v>
      </c>
      <c r="CY141" s="74">
        <v>11</v>
      </c>
      <c r="CZ141" s="6"/>
    </row>
    <row r="142" spans="1:104" s="2" customFormat="1" ht="15" x14ac:dyDescent="0.2">
      <c r="B142" s="536" t="s">
        <v>36</v>
      </c>
      <c r="C142" s="498" t="s">
        <v>235</v>
      </c>
      <c r="D142" s="498">
        <v>52</v>
      </c>
      <c r="E142" s="3">
        <v>19.8</v>
      </c>
      <c r="F142" s="28">
        <v>20.3</v>
      </c>
      <c r="G142" s="3">
        <v>7.09</v>
      </c>
      <c r="H142" s="32">
        <v>7.9866666666666672</v>
      </c>
      <c r="I142" s="62">
        <v>1647.5</v>
      </c>
      <c r="J142" s="74">
        <v>1883</v>
      </c>
      <c r="K142" s="62">
        <v>1180</v>
      </c>
      <c r="L142" s="74">
        <v>1336.6666666666667</v>
      </c>
      <c r="M142" s="62">
        <v>853.66666666666663</v>
      </c>
      <c r="N142" s="28">
        <v>974</v>
      </c>
      <c r="O142" s="82">
        <v>367.33333333333331</v>
      </c>
      <c r="P142" s="32">
        <v>4.7266666666666666</v>
      </c>
      <c r="R142" s="497" t="s">
        <v>52</v>
      </c>
      <c r="S142" s="498" t="s">
        <v>245</v>
      </c>
      <c r="T142" s="608">
        <v>87</v>
      </c>
      <c r="U142" s="62">
        <v>1434.9999999999995</v>
      </c>
      <c r="V142" s="74">
        <v>39.999999999999147</v>
      </c>
      <c r="W142" s="499">
        <f t="shared" si="87"/>
        <v>97.212543554007041</v>
      </c>
      <c r="X142" s="62">
        <v>2430</v>
      </c>
      <c r="Y142" s="62">
        <v>950</v>
      </c>
      <c r="Z142" s="500">
        <f t="shared" si="88"/>
        <v>60.905349794238681</v>
      </c>
      <c r="AA142" s="501">
        <v>5080</v>
      </c>
      <c r="AB142" s="74">
        <v>930.5</v>
      </c>
      <c r="AC142" s="502">
        <f t="shared" si="89"/>
        <v>81.683070866141733</v>
      </c>
      <c r="AD142" s="82">
        <v>219</v>
      </c>
      <c r="AE142" s="62">
        <v>208.5</v>
      </c>
      <c r="AF142" s="500">
        <f t="shared" si="90"/>
        <v>-5.0359712230215825</v>
      </c>
      <c r="AG142" s="35">
        <v>3.9</v>
      </c>
      <c r="AH142" s="32">
        <v>18.600000000000001</v>
      </c>
      <c r="AI142" s="499">
        <f t="shared" si="99"/>
        <v>79.032258064516128</v>
      </c>
      <c r="AJ142" s="62">
        <v>5000</v>
      </c>
      <c r="AK142" s="2">
        <v>1000</v>
      </c>
      <c r="AN142" s="62"/>
      <c r="AR142" s="6"/>
      <c r="BJ142" s="6"/>
      <c r="BN142" s="62"/>
      <c r="BW142" s="9"/>
      <c r="CT142" s="62"/>
      <c r="CU142" s="62"/>
      <c r="CX142" s="3">
        <v>1.5</v>
      </c>
      <c r="CY142" s="74">
        <v>11</v>
      </c>
      <c r="CZ142" s="6"/>
    </row>
    <row r="143" spans="1:104" s="2" customFormat="1" ht="15" x14ac:dyDescent="0.2">
      <c r="B143" s="613" t="s">
        <v>37</v>
      </c>
      <c r="C143" s="498"/>
      <c r="D143" s="498">
        <v>53</v>
      </c>
      <c r="E143" s="3">
        <v>20.6</v>
      </c>
      <c r="F143" s="28">
        <v>20</v>
      </c>
      <c r="G143" s="35">
        <v>6.94</v>
      </c>
      <c r="H143" s="32">
        <v>7.8433333333333337</v>
      </c>
      <c r="I143" s="62">
        <v>2180</v>
      </c>
      <c r="J143" s="74">
        <v>1838</v>
      </c>
      <c r="K143" s="62">
        <v>1555</v>
      </c>
      <c r="L143" s="74">
        <v>1306.6666666666667</v>
      </c>
      <c r="M143" s="62">
        <v>1116.6666666666667</v>
      </c>
      <c r="N143" s="74">
        <v>948.33333333333337</v>
      </c>
      <c r="O143" s="82">
        <v>725</v>
      </c>
      <c r="P143" s="32">
        <v>13.12</v>
      </c>
      <c r="Q143" s="2" t="s">
        <v>246</v>
      </c>
      <c r="R143" s="512" t="s">
        <v>54</v>
      </c>
      <c r="S143" s="513" t="s">
        <v>240</v>
      </c>
      <c r="T143" s="593">
        <v>89</v>
      </c>
      <c r="U143" s="71">
        <v>840.00000000000057</v>
      </c>
      <c r="V143" s="109">
        <v>64.999999999999147</v>
      </c>
      <c r="W143" s="514">
        <f t="shared" si="87"/>
        <v>92.261904761904873</v>
      </c>
      <c r="X143" s="71">
        <v>1745.0000000000005</v>
      </c>
      <c r="Y143" s="71">
        <v>19.999999999998899</v>
      </c>
      <c r="Z143" s="515">
        <f t="shared" si="88"/>
        <v>98.853868194842477</v>
      </c>
      <c r="AA143" s="516">
        <v>4116.666666666667</v>
      </c>
      <c r="AB143" s="109">
        <v>780</v>
      </c>
      <c r="AC143" s="517">
        <f t="shared" si="89"/>
        <v>81.05263157894737</v>
      </c>
      <c r="AD143" s="112">
        <v>197</v>
      </c>
      <c r="AE143" s="71">
        <v>168</v>
      </c>
      <c r="AF143" s="515">
        <f t="shared" si="90"/>
        <v>-17.261904761904763</v>
      </c>
      <c r="AG143" s="35">
        <v>1.4666666666666668</v>
      </c>
      <c r="AH143" s="32">
        <v>15.950000000000001</v>
      </c>
      <c r="AI143" s="514">
        <f t="shared" si="99"/>
        <v>90.804597701149419</v>
      </c>
      <c r="AJ143" s="62">
        <v>5000</v>
      </c>
      <c r="AK143" s="2">
        <v>1000</v>
      </c>
      <c r="AN143" s="62"/>
      <c r="AR143" s="6"/>
      <c r="BJ143" s="6"/>
      <c r="BM143" s="6"/>
      <c r="BN143" s="62"/>
      <c r="BW143" s="9"/>
      <c r="CT143" s="62"/>
      <c r="CU143" s="62"/>
      <c r="CX143" s="3">
        <v>1.5</v>
      </c>
      <c r="CY143" s="74">
        <v>11</v>
      </c>
      <c r="CZ143" s="6"/>
    </row>
    <row r="144" spans="1:104" s="2" customFormat="1" ht="15" x14ac:dyDescent="0.2">
      <c r="B144" s="614" t="s">
        <v>38</v>
      </c>
      <c r="C144" s="513"/>
      <c r="D144" s="513">
        <v>54</v>
      </c>
      <c r="E144" s="47">
        <v>20.7</v>
      </c>
      <c r="F144" s="49">
        <v>21.1</v>
      </c>
      <c r="G144" s="261">
        <v>7.1933333333333298</v>
      </c>
      <c r="H144" s="262">
        <v>7.8966666666666674</v>
      </c>
      <c r="I144" s="71">
        <v>2160</v>
      </c>
      <c r="J144" s="109">
        <v>1878.6666666666667</v>
      </c>
      <c r="K144" s="71">
        <v>1530</v>
      </c>
      <c r="L144" s="109">
        <v>1333.3333333333333</v>
      </c>
      <c r="M144" s="71">
        <v>1130</v>
      </c>
      <c r="N144" s="109">
        <v>978.33333333333337</v>
      </c>
      <c r="O144" s="112">
        <v>477</v>
      </c>
      <c r="P144" s="40">
        <v>10.393333333333333</v>
      </c>
      <c r="Q144" s="2">
        <v>1200</v>
      </c>
      <c r="R144" s="474" t="s">
        <v>55</v>
      </c>
      <c r="S144" s="498" t="s">
        <v>244</v>
      </c>
      <c r="T144" s="218">
        <v>92</v>
      </c>
      <c r="U144" s="62">
        <v>1049.1666666666672</v>
      </c>
      <c r="V144" s="74">
        <v>79.166666666667126</v>
      </c>
      <c r="W144" s="499">
        <f t="shared" si="87"/>
        <v>92.454328832406645</v>
      </c>
      <c r="X144" s="62">
        <v>1896.666666666667</v>
      </c>
      <c r="Y144" s="74">
        <v>56.818181818183547</v>
      </c>
      <c r="Z144" s="502">
        <f t="shared" si="88"/>
        <v>97.004313788144984</v>
      </c>
      <c r="AA144" s="501">
        <v>4275</v>
      </c>
      <c r="AB144" s="74">
        <v>794.33333333333337</v>
      </c>
      <c r="AC144" s="502">
        <f t="shared" si="89"/>
        <v>81.419103313840154</v>
      </c>
      <c r="AD144" s="82">
        <v>202.5</v>
      </c>
      <c r="AE144" s="62">
        <v>155</v>
      </c>
      <c r="AF144" s="500">
        <f t="shared" si="90"/>
        <v>-30.64516129032258</v>
      </c>
      <c r="AG144" s="522">
        <v>2</v>
      </c>
      <c r="AH144" s="279">
        <v>14.25</v>
      </c>
      <c r="AI144" s="499">
        <f t="shared" si="99"/>
        <v>85.964912280701753</v>
      </c>
      <c r="AJ144" s="62">
        <v>5000</v>
      </c>
      <c r="AK144" s="2">
        <v>1000</v>
      </c>
      <c r="AN144" s="62"/>
      <c r="BJ144" s="6"/>
      <c r="BM144" s="6"/>
      <c r="BN144" s="62"/>
      <c r="BW144" s="9"/>
      <c r="CT144" s="62"/>
      <c r="CU144" s="62"/>
      <c r="CX144" s="3">
        <v>1.5</v>
      </c>
      <c r="CY144" s="74">
        <v>11</v>
      </c>
      <c r="CZ144" s="6"/>
    </row>
    <row r="145" spans="1:281" s="45" customFormat="1" ht="15" x14ac:dyDescent="0.2">
      <c r="A145" s="28"/>
      <c r="B145" s="615" t="s">
        <v>39</v>
      </c>
      <c r="C145" s="475" t="s">
        <v>225</v>
      </c>
      <c r="D145" s="616">
        <v>57</v>
      </c>
      <c r="E145" s="602">
        <v>21.1</v>
      </c>
      <c r="F145" s="617">
        <v>21.4</v>
      </c>
      <c r="G145" s="618">
        <v>7.1566666666666663</v>
      </c>
      <c r="H145" s="619">
        <v>7.706666666666667</v>
      </c>
      <c r="I145" s="620">
        <v>2310</v>
      </c>
      <c r="J145" s="621">
        <v>1963</v>
      </c>
      <c r="K145" s="620">
        <v>1636.6666666666667</v>
      </c>
      <c r="L145" s="621">
        <v>1393.3333333333333</v>
      </c>
      <c r="M145" s="620">
        <v>1200</v>
      </c>
      <c r="N145" s="621">
        <v>1013.3333333333334</v>
      </c>
      <c r="O145" s="620">
        <v>682</v>
      </c>
      <c r="P145" s="606">
        <v>8.1266666666666669</v>
      </c>
      <c r="Q145" s="2">
        <v>1200</v>
      </c>
      <c r="R145" s="497" t="s">
        <v>57</v>
      </c>
      <c r="S145" s="498" t="s">
        <v>247</v>
      </c>
      <c r="T145" s="218">
        <v>94</v>
      </c>
      <c r="U145" s="62">
        <v>2029.9999999999998</v>
      </c>
      <c r="V145" s="74">
        <v>54.999999999998295</v>
      </c>
      <c r="W145" s="499">
        <f t="shared" si="87"/>
        <v>97.29064039408874</v>
      </c>
      <c r="X145" s="62">
        <v>2890.0000000000005</v>
      </c>
      <c r="Y145" s="74">
        <v>984.99999999999818</v>
      </c>
      <c r="Z145" s="502">
        <f t="shared" si="88"/>
        <v>65.916955017301106</v>
      </c>
      <c r="AA145" s="501">
        <v>6383.333333333333</v>
      </c>
      <c r="AB145" s="74">
        <v>766</v>
      </c>
      <c r="AC145" s="502">
        <f t="shared" si="89"/>
        <v>88</v>
      </c>
      <c r="AD145" s="82">
        <v>212.5</v>
      </c>
      <c r="AE145" s="62">
        <v>187.5</v>
      </c>
      <c r="AF145" s="500">
        <f t="shared" si="90"/>
        <v>-13.333333333333334</v>
      </c>
      <c r="AG145" s="35">
        <v>7.3</v>
      </c>
      <c r="AH145" s="32">
        <v>18.299999999999997</v>
      </c>
      <c r="AI145" s="499">
        <f t="shared" si="99"/>
        <v>60.109289617486326</v>
      </c>
      <c r="AJ145" s="62">
        <v>5000</v>
      </c>
      <c r="AK145" s="2">
        <v>1000</v>
      </c>
      <c r="AL145" s="2"/>
      <c r="AM145" s="2"/>
      <c r="AN145" s="6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6"/>
      <c r="BK145" s="6"/>
      <c r="BL145" s="2"/>
      <c r="BM145" s="6"/>
      <c r="BN145" s="62"/>
      <c r="BO145" s="2"/>
      <c r="BP145" s="2"/>
      <c r="BQ145" s="2"/>
      <c r="BR145" s="2"/>
      <c r="BS145" s="2"/>
      <c r="BT145" s="2"/>
      <c r="BU145" s="2"/>
      <c r="BV145" s="2"/>
      <c r="BW145" s="9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62"/>
      <c r="CU145" s="62"/>
      <c r="CV145" s="2"/>
      <c r="CW145" s="2"/>
      <c r="CX145" s="3">
        <v>1.5</v>
      </c>
      <c r="CY145" s="74">
        <v>11</v>
      </c>
      <c r="CZ145" s="6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</row>
    <row r="146" spans="1:281" s="59" customFormat="1" ht="15" x14ac:dyDescent="0.2">
      <c r="A146" s="2"/>
      <c r="B146" s="622" t="s">
        <v>40</v>
      </c>
      <c r="C146" s="475" t="s">
        <v>236</v>
      </c>
      <c r="D146" s="58">
        <v>58</v>
      </c>
      <c r="E146" s="56">
        <v>20.7</v>
      </c>
      <c r="F146" s="58">
        <v>20.6</v>
      </c>
      <c r="G146" s="277">
        <v>7.1133333333333333</v>
      </c>
      <c r="H146" s="268">
        <v>7.9833333333333343</v>
      </c>
      <c r="I146" s="82">
        <v>2276.6666666666665</v>
      </c>
      <c r="J146" s="74">
        <v>2200</v>
      </c>
      <c r="K146" s="82">
        <v>1610</v>
      </c>
      <c r="L146" s="74">
        <v>1556.6666666666667</v>
      </c>
      <c r="M146" s="82">
        <v>1200</v>
      </c>
      <c r="N146" s="74">
        <v>1160</v>
      </c>
      <c r="O146" s="85">
        <v>745</v>
      </c>
      <c r="P146" s="279">
        <v>12.31</v>
      </c>
      <c r="Q146" s="2">
        <v>1200</v>
      </c>
      <c r="R146" s="512">
        <v>42744</v>
      </c>
      <c r="S146" s="498" t="s">
        <v>240</v>
      </c>
      <c r="T146" s="218">
        <v>96</v>
      </c>
      <c r="U146" s="62">
        <v>1909.9999999999995</v>
      </c>
      <c r="V146" s="74">
        <v>29.999999999999716</v>
      </c>
      <c r="W146" s="499">
        <f t="shared" si="87"/>
        <v>98.429319371727757</v>
      </c>
      <c r="X146" s="62">
        <v>2755</v>
      </c>
      <c r="Y146" s="74">
        <v>929.99999999999977</v>
      </c>
      <c r="Z146" s="502">
        <f t="shared" si="88"/>
        <v>66.243194192377501</v>
      </c>
      <c r="AA146" s="501">
        <v>5723.333333333333</v>
      </c>
      <c r="AB146" s="74">
        <v>781.33333333333337</v>
      </c>
      <c r="AC146" s="502">
        <f t="shared" si="89"/>
        <v>86.348281887012234</v>
      </c>
      <c r="AD146" s="82">
        <v>222.33333333333334</v>
      </c>
      <c r="AE146" s="62">
        <v>176</v>
      </c>
      <c r="AF146" s="500">
        <f t="shared" si="90"/>
        <v>-26.325757575757581</v>
      </c>
      <c r="AG146" s="35">
        <v>4.2333333333333334</v>
      </c>
      <c r="AH146" s="32">
        <v>12.45</v>
      </c>
      <c r="AI146" s="499">
        <f t="shared" si="99"/>
        <v>65.997322623828637</v>
      </c>
      <c r="AJ146" s="62">
        <v>5000</v>
      </c>
      <c r="AK146" s="2">
        <v>1000</v>
      </c>
      <c r="AL146" s="2"/>
      <c r="AM146" s="2"/>
      <c r="AN146" s="6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6"/>
      <c r="BK146" s="2"/>
      <c r="BL146" s="2"/>
      <c r="BM146" s="62"/>
      <c r="BN146" s="62"/>
      <c r="BO146" s="2"/>
      <c r="BP146" s="2"/>
      <c r="BQ146" s="2"/>
      <c r="BR146" s="2"/>
      <c r="BS146" s="2"/>
      <c r="BT146" s="2"/>
      <c r="BU146" s="2"/>
      <c r="BV146" s="2"/>
      <c r="BW146" s="9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62"/>
      <c r="CU146" s="62"/>
      <c r="CV146" s="2"/>
      <c r="CW146" s="2"/>
      <c r="CX146" s="3">
        <v>1.5</v>
      </c>
      <c r="CY146" s="74">
        <v>11</v>
      </c>
      <c r="CZ146" s="6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</row>
    <row r="147" spans="1:281" s="2" customFormat="1" x14ac:dyDescent="0.2">
      <c r="B147" s="613" t="s">
        <v>41</v>
      </c>
      <c r="C147" s="498" t="s">
        <v>237</v>
      </c>
      <c r="D147" s="28">
        <v>59</v>
      </c>
      <c r="E147" s="3">
        <v>17.3</v>
      </c>
      <c r="F147" s="28">
        <v>18.3</v>
      </c>
      <c r="G147" s="214">
        <v>7.06</v>
      </c>
      <c r="H147" s="267">
        <v>7.753333333333333</v>
      </c>
      <c r="I147" s="3">
        <v>2210</v>
      </c>
      <c r="J147" s="62">
        <v>2160</v>
      </c>
      <c r="K147" s="82">
        <v>1570</v>
      </c>
      <c r="L147" s="62">
        <v>1535</v>
      </c>
      <c r="M147" s="82">
        <v>1166.6666666666667</v>
      </c>
      <c r="N147" s="2">
        <v>1135</v>
      </c>
      <c r="O147" s="82">
        <v>527.66666666666663</v>
      </c>
      <c r="P147" s="32">
        <v>8.7233333333333345</v>
      </c>
      <c r="Q147" s="2">
        <v>1200</v>
      </c>
      <c r="R147" s="474">
        <v>42834</v>
      </c>
      <c r="S147" s="475" t="s">
        <v>244</v>
      </c>
      <c r="T147" s="594">
        <v>99</v>
      </c>
      <c r="U147" s="59">
        <v>2540.0000000000005</v>
      </c>
      <c r="V147" s="58">
        <v>15.000000000000568</v>
      </c>
      <c r="W147" s="523">
        <f t="shared" si="87"/>
        <v>99.409448818897616</v>
      </c>
      <c r="X147" s="59">
        <v>3315.0000000000018</v>
      </c>
      <c r="Y147" s="59">
        <v>900</v>
      </c>
      <c r="Z147" s="494">
        <f t="shared" si="88"/>
        <v>72.8506787330317</v>
      </c>
      <c r="AA147" s="623">
        <v>7253.333333333333</v>
      </c>
      <c r="AB147" s="64">
        <v>692.33333333333337</v>
      </c>
      <c r="AC147" s="495">
        <f t="shared" si="89"/>
        <v>90.454963235294116</v>
      </c>
      <c r="AD147" s="85">
        <v>239</v>
      </c>
      <c r="AE147" s="53">
        <v>211.5</v>
      </c>
      <c r="AF147" s="494">
        <f t="shared" si="90"/>
        <v>-13.002364066193852</v>
      </c>
      <c r="AG147" s="522">
        <v>5.75</v>
      </c>
      <c r="AH147" s="279">
        <v>12.25</v>
      </c>
      <c r="AI147" s="523">
        <f t="shared" si="99"/>
        <v>53.061224489795919</v>
      </c>
      <c r="AJ147" s="62">
        <v>5000</v>
      </c>
      <c r="AK147" s="2">
        <v>1000</v>
      </c>
      <c r="AN147" s="62"/>
      <c r="BJ147" s="6"/>
      <c r="BM147" s="62"/>
      <c r="BN147" s="9"/>
      <c r="BW147" s="9"/>
      <c r="CD147" s="1"/>
      <c r="CT147" s="62"/>
      <c r="CU147" s="62"/>
      <c r="CX147" s="3">
        <v>1.5</v>
      </c>
      <c r="CY147" s="74">
        <v>11</v>
      </c>
      <c r="CZ147" s="6"/>
    </row>
    <row r="148" spans="1:281" s="2" customFormat="1" x14ac:dyDescent="0.2">
      <c r="B148" s="613" t="s">
        <v>42</v>
      </c>
      <c r="C148" s="498" t="s">
        <v>240</v>
      </c>
      <c r="D148" s="28">
        <v>60</v>
      </c>
      <c r="E148" s="3">
        <v>20.6</v>
      </c>
      <c r="F148" s="28">
        <v>20.3</v>
      </c>
      <c r="G148" s="277">
        <v>7.04</v>
      </c>
      <c r="H148" s="268">
        <v>7.62</v>
      </c>
      <c r="I148" s="82">
        <v>2343.3333333333335</v>
      </c>
      <c r="J148" s="74">
        <v>2210</v>
      </c>
      <c r="K148" s="82">
        <v>1660</v>
      </c>
      <c r="L148" s="74">
        <v>1570</v>
      </c>
      <c r="M148" s="82">
        <v>1240</v>
      </c>
      <c r="N148" s="74">
        <v>1170</v>
      </c>
      <c r="O148" s="82">
        <v>627</v>
      </c>
      <c r="P148" s="32">
        <v>11.343333333333334</v>
      </c>
      <c r="Q148" s="2">
        <v>1200</v>
      </c>
      <c r="R148" s="497">
        <v>42895</v>
      </c>
      <c r="S148" s="498" t="s">
        <v>248</v>
      </c>
      <c r="T148" s="218">
        <v>101</v>
      </c>
      <c r="U148" s="2">
        <v>945.00000000000023</v>
      </c>
      <c r="V148" s="28">
        <v>150.00000000000142</v>
      </c>
      <c r="W148" s="499">
        <f t="shared" si="87"/>
        <v>84.126984126983984</v>
      </c>
      <c r="X148" s="2">
        <v>1909.9999999999995</v>
      </c>
      <c r="Y148" s="2">
        <v>1035.0000000000009</v>
      </c>
      <c r="Z148" s="500">
        <f t="shared" si="88"/>
        <v>45.81151832460727</v>
      </c>
      <c r="AA148" s="624">
        <v>4338.333333333333</v>
      </c>
      <c r="AB148" s="74">
        <v>726</v>
      </c>
      <c r="AC148" s="502">
        <f t="shared" si="89"/>
        <v>83.265462927391468</v>
      </c>
      <c r="AD148" s="82">
        <v>215.33333333333334</v>
      </c>
      <c r="AE148" s="62">
        <v>187</v>
      </c>
      <c r="AF148" s="500">
        <f t="shared" si="90"/>
        <v>-15.151515151515158</v>
      </c>
      <c r="AG148" s="35">
        <v>2.0333333333333332</v>
      </c>
      <c r="AH148" s="32">
        <v>15</v>
      </c>
      <c r="AI148" s="499">
        <f t="shared" si="99"/>
        <v>86.444444444444443</v>
      </c>
      <c r="AJ148" s="62">
        <v>5000</v>
      </c>
      <c r="AK148" s="2">
        <v>1000</v>
      </c>
      <c r="BJ148" s="6"/>
      <c r="BM148" s="62"/>
      <c r="BN148" s="8"/>
      <c r="BW148" s="9"/>
      <c r="CT148" s="62"/>
      <c r="CU148" s="62"/>
      <c r="CX148" s="3">
        <v>1.5</v>
      </c>
      <c r="CY148" s="74">
        <v>11</v>
      </c>
      <c r="CZ148" s="6"/>
      <c r="JS148" s="2">
        <f>AVERAGE(JS152:JS250)</f>
        <v>4344.4774011299451</v>
      </c>
      <c r="JT148" s="2">
        <f>AVERAGE(JT152:JT250)</f>
        <v>300</v>
      </c>
      <c r="JU148" s="2">
        <f t="shared" ref="JU148" si="100">AVERAGE(JU152:JU250)</f>
        <v>91.855289403467751</v>
      </c>
    </row>
    <row r="149" spans="1:281" s="2" customFormat="1" x14ac:dyDescent="0.2">
      <c r="B149" s="614" t="s">
        <v>43</v>
      </c>
      <c r="C149" s="513"/>
      <c r="D149" s="49">
        <v>61</v>
      </c>
      <c r="E149" s="3">
        <v>20.7</v>
      </c>
      <c r="F149" s="28">
        <v>20.399999999999999</v>
      </c>
      <c r="G149" s="267">
        <v>7.2399999999999993</v>
      </c>
      <c r="H149" s="268">
        <v>7.9833333333333343</v>
      </c>
      <c r="I149" s="62">
        <v>1254.6666666666667</v>
      </c>
      <c r="J149" s="74">
        <v>2243.3333333333335</v>
      </c>
      <c r="K149" s="62">
        <v>891.33333333333337</v>
      </c>
      <c r="L149" s="74">
        <v>1583.3333333333333</v>
      </c>
      <c r="M149" s="62">
        <v>648</v>
      </c>
      <c r="N149" s="74">
        <v>1186.6666666666667</v>
      </c>
      <c r="O149" s="112">
        <v>969.5</v>
      </c>
      <c r="P149" s="40">
        <v>11.06</v>
      </c>
      <c r="Q149" s="2">
        <v>1200</v>
      </c>
      <c r="R149" s="512">
        <v>42956</v>
      </c>
      <c r="S149" s="498" t="s">
        <v>240</v>
      </c>
      <c r="T149" s="599">
        <v>103</v>
      </c>
      <c r="U149" s="45">
        <v>4330</v>
      </c>
      <c r="V149" s="49">
        <v>44.999999999998863</v>
      </c>
      <c r="W149" s="514">
        <f t="shared" si="87"/>
        <v>98.96073903002312</v>
      </c>
      <c r="X149" s="45">
        <v>4665</v>
      </c>
      <c r="Y149" s="45">
        <v>929.99999999999977</v>
      </c>
      <c r="Z149" s="515">
        <f t="shared" si="88"/>
        <v>80.064308681672031</v>
      </c>
      <c r="AA149" s="501">
        <v>10426.666666666666</v>
      </c>
      <c r="AB149" s="74">
        <v>973.66666666666663</v>
      </c>
      <c r="AC149" s="517">
        <f t="shared" si="89"/>
        <v>90.661764705882348</v>
      </c>
      <c r="AD149" s="112">
        <v>285</v>
      </c>
      <c r="AE149" s="71">
        <v>204</v>
      </c>
      <c r="AF149" s="515">
        <f t="shared" si="90"/>
        <v>-39.705882352941174</v>
      </c>
      <c r="AG149" s="42">
        <v>3.9</v>
      </c>
      <c r="AH149" s="40">
        <v>14.4</v>
      </c>
      <c r="AI149" s="514">
        <f t="shared" si="99"/>
        <v>72.916666666666657</v>
      </c>
      <c r="AJ149" s="62">
        <v>5000</v>
      </c>
      <c r="AK149" s="2">
        <v>1000</v>
      </c>
      <c r="BJ149" s="6"/>
      <c r="BM149" s="62"/>
      <c r="BN149" s="8"/>
      <c r="BW149" s="9"/>
      <c r="CT149" s="62"/>
      <c r="CU149" s="62"/>
      <c r="CX149" s="3">
        <v>1.5</v>
      </c>
      <c r="CY149" s="74">
        <v>11</v>
      </c>
      <c r="CZ149" s="6"/>
      <c r="JS149" s="2" t="s">
        <v>100</v>
      </c>
      <c r="JU149" s="2" t="s">
        <v>180</v>
      </c>
    </row>
    <row r="150" spans="1:281" s="2" customFormat="1" x14ac:dyDescent="0.2">
      <c r="B150" s="613" t="s">
        <v>44</v>
      </c>
      <c r="C150" s="498" t="s">
        <v>236</v>
      </c>
      <c r="D150" s="3">
        <v>64</v>
      </c>
      <c r="E150" s="56">
        <v>19.8</v>
      </c>
      <c r="F150" s="88">
        <v>18.5</v>
      </c>
      <c r="G150" s="625">
        <v>7.1000000000000005</v>
      </c>
      <c r="H150" s="626">
        <v>7.52</v>
      </c>
      <c r="I150" s="85">
        <v>1290.6666666666667</v>
      </c>
      <c r="J150" s="53">
        <v>1937.6666666666667</v>
      </c>
      <c r="K150" s="85">
        <v>916.66666666666663</v>
      </c>
      <c r="L150" s="64">
        <v>1373.3333333333333</v>
      </c>
      <c r="M150" s="53">
        <v>669.66666666666663</v>
      </c>
      <c r="N150" s="64">
        <v>1020</v>
      </c>
      <c r="O150" s="53">
        <v>846.5</v>
      </c>
      <c r="P150" s="279">
        <v>9.7566666666666659</v>
      </c>
      <c r="Q150" s="2">
        <v>1200</v>
      </c>
      <c r="R150" s="474">
        <v>43048</v>
      </c>
      <c r="S150" s="475" t="s">
        <v>244</v>
      </c>
      <c r="T150" s="608">
        <v>106</v>
      </c>
      <c r="U150" s="2">
        <v>5689.9999999999982</v>
      </c>
      <c r="V150" s="28">
        <v>20.000000000000284</v>
      </c>
      <c r="W150" s="627">
        <f t="shared" si="87"/>
        <v>99.648506151142357</v>
      </c>
      <c r="X150" s="2">
        <v>6474.9999999999991</v>
      </c>
      <c r="Y150" s="2">
        <v>904.99999999999977</v>
      </c>
      <c r="Z150" s="500">
        <f t="shared" si="88"/>
        <v>86.023166023166027</v>
      </c>
      <c r="AA150" s="623">
        <v>11708.333333333334</v>
      </c>
      <c r="AB150" s="64">
        <v>754.66666666666663</v>
      </c>
      <c r="AC150" s="502">
        <f t="shared" si="89"/>
        <v>93.554448398576511</v>
      </c>
      <c r="AD150" s="82">
        <v>332</v>
      </c>
      <c r="AE150" s="62">
        <v>173.66666666666666</v>
      </c>
      <c r="AF150" s="500">
        <f t="shared" si="90"/>
        <v>-91.17082533589253</v>
      </c>
      <c r="AG150" s="35">
        <v>22.7</v>
      </c>
      <c r="AH150" s="32">
        <v>24</v>
      </c>
      <c r="AI150" s="628">
        <f t="shared" si="99"/>
        <v>5.4166666666666696</v>
      </c>
      <c r="AJ150" s="62">
        <v>5000</v>
      </c>
      <c r="AK150" s="2">
        <v>1000</v>
      </c>
      <c r="BJ150" s="6"/>
      <c r="BK150" s="6"/>
      <c r="BM150" s="62"/>
      <c r="BN150" s="8"/>
      <c r="BR150" s="502"/>
      <c r="BW150" s="9"/>
      <c r="CT150" s="62"/>
      <c r="CU150" s="62"/>
      <c r="CX150" s="3">
        <v>1.5</v>
      </c>
      <c r="CY150" s="74">
        <v>11</v>
      </c>
      <c r="CZ150" s="6"/>
      <c r="JS150" s="2" t="s">
        <v>81</v>
      </c>
      <c r="JT150" s="2" t="s">
        <v>82</v>
      </c>
    </row>
    <row r="151" spans="1:281" s="2" customFormat="1" x14ac:dyDescent="0.2">
      <c r="B151" s="613">
        <v>42743</v>
      </c>
      <c r="C151" s="498" t="s">
        <v>249</v>
      </c>
      <c r="D151" s="3">
        <v>65</v>
      </c>
      <c r="E151" s="25">
        <v>20.56</v>
      </c>
      <c r="F151" s="2">
        <v>20.8</v>
      </c>
      <c r="G151" s="277">
        <v>6.8866666666666667</v>
      </c>
      <c r="H151" s="267">
        <v>7.6333333333333329</v>
      </c>
      <c r="I151" s="82">
        <v>1327</v>
      </c>
      <c r="J151" s="62">
        <v>1758.3333333333333</v>
      </c>
      <c r="K151" s="82">
        <v>941.33333333333337</v>
      </c>
      <c r="L151" s="74">
        <v>1250</v>
      </c>
      <c r="M151" s="62">
        <v>686.66666666666663</v>
      </c>
      <c r="N151" s="74">
        <v>921.66666666666663</v>
      </c>
      <c r="O151" s="62">
        <v>572</v>
      </c>
      <c r="P151" s="32">
        <v>18.953333333333333</v>
      </c>
      <c r="Q151" s="2">
        <v>1200</v>
      </c>
      <c r="R151" s="497" t="s">
        <v>59</v>
      </c>
      <c r="S151" s="498" t="s">
        <v>250</v>
      </c>
      <c r="T151" s="608">
        <v>108</v>
      </c>
      <c r="U151" s="2">
        <v>664.99999999999909</v>
      </c>
      <c r="V151" s="28">
        <v>104.99999999999972</v>
      </c>
      <c r="W151" s="499">
        <f t="shared" si="87"/>
        <v>84.210526315789494</v>
      </c>
      <c r="X151" s="2">
        <v>1589.9999999999991</v>
      </c>
      <c r="Y151" s="2">
        <v>1040.0000000000005</v>
      </c>
      <c r="Z151" s="500">
        <f t="shared" si="88"/>
        <v>34.591194968553388</v>
      </c>
      <c r="AA151" s="624">
        <v>3965</v>
      </c>
      <c r="AB151" s="74">
        <v>868.66666666666663</v>
      </c>
      <c r="AC151" s="502">
        <f t="shared" si="89"/>
        <v>78.09163514081547</v>
      </c>
      <c r="AD151" s="82">
        <v>149</v>
      </c>
      <c r="AE151" s="62">
        <v>102.5</v>
      </c>
      <c r="AF151" s="500">
        <f t="shared" si="90"/>
        <v>-45.365853658536587</v>
      </c>
      <c r="AG151" s="35">
        <v>0.8</v>
      </c>
      <c r="AH151" s="32">
        <v>23.8</v>
      </c>
      <c r="AI151" s="499">
        <f t="shared" si="99"/>
        <v>96.638655462184872</v>
      </c>
      <c r="AJ151" s="62">
        <v>5000</v>
      </c>
      <c r="AK151" s="2">
        <v>1000</v>
      </c>
      <c r="AZ151" s="9"/>
      <c r="BJ151" s="6"/>
      <c r="BK151" s="6"/>
      <c r="BM151" s="62"/>
      <c r="BN151" s="8"/>
      <c r="BR151" s="502"/>
      <c r="BW151" s="9"/>
      <c r="CT151" s="62"/>
      <c r="CU151" s="62"/>
      <c r="CX151" s="3">
        <v>1.5</v>
      </c>
      <c r="CY151" s="74">
        <v>11</v>
      </c>
      <c r="CZ151" s="6"/>
      <c r="JS151" s="2">
        <v>1426.6666666666667</v>
      </c>
      <c r="JT151" s="2">
        <v>300</v>
      </c>
      <c r="JU151" s="2">
        <f>((JS151-JT151)/(JS151))*100</f>
        <v>78.971962616822438</v>
      </c>
    </row>
    <row r="152" spans="1:281" s="2" customFormat="1" x14ac:dyDescent="0.2">
      <c r="B152" s="613" t="s">
        <v>238</v>
      </c>
      <c r="C152" s="498" t="s">
        <v>240</v>
      </c>
      <c r="D152" s="3">
        <v>66</v>
      </c>
      <c r="E152" s="3">
        <v>21</v>
      </c>
      <c r="F152" s="2">
        <v>21</v>
      </c>
      <c r="G152" s="277">
        <v>7.0166666666666666</v>
      </c>
      <c r="H152" s="267">
        <v>7.413333333333334</v>
      </c>
      <c r="I152" s="82">
        <v>1240.3333333333333</v>
      </c>
      <c r="J152" s="62">
        <v>1635.6666666666667</v>
      </c>
      <c r="K152" s="82">
        <v>881.33333333333337</v>
      </c>
      <c r="L152" s="28">
        <v>1160</v>
      </c>
      <c r="M152" s="62">
        <v>643.66666666666663</v>
      </c>
      <c r="N152" s="74">
        <v>858.66666666666663</v>
      </c>
      <c r="O152" s="62">
        <v>864.33333333333337</v>
      </c>
      <c r="P152" s="32">
        <v>16.136666666666667</v>
      </c>
      <c r="Q152" s="2">
        <v>1200</v>
      </c>
      <c r="R152" s="512" t="s">
        <v>61</v>
      </c>
      <c r="S152" s="498" t="s">
        <v>240</v>
      </c>
      <c r="T152" s="608">
        <v>110</v>
      </c>
      <c r="U152" s="2">
        <v>1745.0000000000002</v>
      </c>
      <c r="V152" s="28">
        <v>60.000000000000853</v>
      </c>
      <c r="W152" s="499">
        <f t="shared" si="87"/>
        <v>96.561604584527174</v>
      </c>
      <c r="X152" s="2">
        <v>2515.0000000000009</v>
      </c>
      <c r="Y152" s="2">
        <v>1010.0000000000009</v>
      </c>
      <c r="Z152" s="515">
        <f t="shared" si="88"/>
        <v>59.840954274353855</v>
      </c>
      <c r="AA152" s="516">
        <v>5240</v>
      </c>
      <c r="AB152" s="109">
        <v>712.66666666666663</v>
      </c>
      <c r="AC152" s="502">
        <f t="shared" si="89"/>
        <v>86.399491094147578</v>
      </c>
      <c r="AD152" s="82">
        <v>134.5</v>
      </c>
      <c r="AE152" s="62">
        <v>153</v>
      </c>
      <c r="AF152" s="500">
        <f t="shared" si="90"/>
        <v>12.091503267973856</v>
      </c>
      <c r="AG152" s="42">
        <v>2.2333333333333334</v>
      </c>
      <c r="AH152" s="40">
        <v>10.5</v>
      </c>
      <c r="AI152" s="499">
        <f t="shared" si="99"/>
        <v>78.73015873015872</v>
      </c>
      <c r="AJ152" s="62">
        <v>5000</v>
      </c>
      <c r="AK152" s="2">
        <v>1000</v>
      </c>
      <c r="AZ152" s="9"/>
      <c r="BJ152" s="6"/>
      <c r="BM152" s="62"/>
      <c r="BN152" s="8"/>
      <c r="BR152" s="629"/>
      <c r="CT152" s="62"/>
      <c r="CU152" s="62"/>
      <c r="CX152" s="3">
        <v>1.5</v>
      </c>
      <c r="CY152" s="74">
        <v>11</v>
      </c>
      <c r="CZ152" s="6"/>
      <c r="JS152" s="2">
        <v>2386.6666666666665</v>
      </c>
      <c r="JT152" s="2">
        <v>300</v>
      </c>
      <c r="JU152" s="2">
        <f t="shared" ref="JU152:JU183" si="101">((JS152-JT152)/(JS152))*100</f>
        <v>87.430167597765362</v>
      </c>
    </row>
    <row r="153" spans="1:281" s="2" customFormat="1" x14ac:dyDescent="0.2">
      <c r="B153" s="613">
        <v>42802</v>
      </c>
      <c r="C153" s="498"/>
      <c r="D153" s="3">
        <v>67</v>
      </c>
      <c r="E153" s="25">
        <v>21.4</v>
      </c>
      <c r="F153" s="2">
        <v>20.6</v>
      </c>
      <c r="G153" s="277">
        <v>6.8933333333333335</v>
      </c>
      <c r="H153" s="267">
        <v>7.5266666666666664</v>
      </c>
      <c r="I153" s="82">
        <v>1249.6666666666667</v>
      </c>
      <c r="J153" s="62">
        <v>1508</v>
      </c>
      <c r="K153" s="82">
        <v>886.66666666666663</v>
      </c>
      <c r="L153" s="74">
        <v>1070</v>
      </c>
      <c r="M153" s="62">
        <v>645</v>
      </c>
      <c r="N153" s="74">
        <v>784.66666666666663</v>
      </c>
      <c r="O153" s="62">
        <v>716.5</v>
      </c>
      <c r="P153" s="32">
        <v>4.74</v>
      </c>
      <c r="Q153" s="2">
        <v>1200</v>
      </c>
      <c r="R153" s="474" t="s">
        <v>62</v>
      </c>
      <c r="S153" s="475" t="s">
        <v>251</v>
      </c>
      <c r="T153" s="609">
        <v>113</v>
      </c>
      <c r="U153" s="59">
        <v>759.99999999999943</v>
      </c>
      <c r="V153" s="58">
        <v>34.999999999999432</v>
      </c>
      <c r="W153" s="523">
        <f t="shared" si="87"/>
        <v>95.394736842105331</v>
      </c>
      <c r="X153" s="59">
        <v>1639.9999999999991</v>
      </c>
      <c r="Y153" s="58">
        <v>925</v>
      </c>
      <c r="Z153" s="502">
        <f t="shared" si="88"/>
        <v>43.597560975609724</v>
      </c>
      <c r="AA153" s="624">
        <v>3950</v>
      </c>
      <c r="AB153" s="73">
        <v>605</v>
      </c>
      <c r="AC153" s="495">
        <f t="shared" si="89"/>
        <v>84.683544303797461</v>
      </c>
      <c r="AD153" s="85">
        <v>184.5</v>
      </c>
      <c r="AE153" s="53">
        <v>185.5</v>
      </c>
      <c r="AF153" s="494">
        <f t="shared" si="90"/>
        <v>0.53908355795148255</v>
      </c>
      <c r="AG153" s="522">
        <v>1.1666666666666667</v>
      </c>
      <c r="AH153" s="279">
        <v>8.8000000000000007</v>
      </c>
      <c r="AI153" s="523">
        <f t="shared" si="99"/>
        <v>86.742424242424249</v>
      </c>
      <c r="AJ153" s="62">
        <v>5000</v>
      </c>
      <c r="AK153" s="2">
        <v>1000</v>
      </c>
      <c r="AZ153" s="9"/>
      <c r="BJ153" s="6"/>
      <c r="BM153" s="62"/>
      <c r="BN153" s="8"/>
      <c r="BR153" s="629"/>
      <c r="CT153" s="62"/>
      <c r="CU153" s="62"/>
      <c r="CX153" s="3">
        <v>1.5</v>
      </c>
      <c r="CY153" s="74">
        <v>11</v>
      </c>
      <c r="CZ153" s="6"/>
      <c r="JS153" s="2">
        <v>2856.6666666666665</v>
      </c>
      <c r="JT153" s="2">
        <v>300</v>
      </c>
      <c r="JU153" s="2">
        <f t="shared" si="101"/>
        <v>89.498249708284717</v>
      </c>
    </row>
    <row r="154" spans="1:281" s="2" customFormat="1" x14ac:dyDescent="0.2">
      <c r="B154" s="614">
        <v>42833</v>
      </c>
      <c r="C154" s="513"/>
      <c r="D154" s="47">
        <v>68</v>
      </c>
      <c r="E154" s="3">
        <v>21.4</v>
      </c>
      <c r="F154" s="2">
        <v>20.100000000000001</v>
      </c>
      <c r="G154" s="261">
        <v>7.0966666666666667</v>
      </c>
      <c r="H154" s="240">
        <v>6.9600000000000009</v>
      </c>
      <c r="I154" s="112">
        <v>1088.6666666666667</v>
      </c>
      <c r="J154" s="71">
        <v>1454.3333333333333</v>
      </c>
      <c r="K154" s="112">
        <v>772.66666666666663</v>
      </c>
      <c r="L154" s="109">
        <v>1033.3333333333333</v>
      </c>
      <c r="M154" s="71">
        <v>529</v>
      </c>
      <c r="N154" s="109">
        <v>713.66666666666663</v>
      </c>
      <c r="O154" s="71">
        <v>676.66666666666663</v>
      </c>
      <c r="P154" s="40">
        <v>3.7866666666666666</v>
      </c>
      <c r="Q154" s="2">
        <v>1200</v>
      </c>
      <c r="R154" s="497" t="s">
        <v>64</v>
      </c>
      <c r="S154" s="498" t="s">
        <v>252</v>
      </c>
      <c r="T154" s="608">
        <v>115</v>
      </c>
      <c r="U154" s="2">
        <v>1204.9999999999998</v>
      </c>
      <c r="V154" s="28">
        <v>54.999999999999716</v>
      </c>
      <c r="W154" s="499">
        <f t="shared" si="87"/>
        <v>95.435684647302921</v>
      </c>
      <c r="X154" s="2">
        <v>2085.0000000000009</v>
      </c>
      <c r="Y154" s="28">
        <v>965.00000000000057</v>
      </c>
      <c r="Z154" s="502">
        <f t="shared" si="88"/>
        <v>53.717026378896882</v>
      </c>
      <c r="AA154" s="624">
        <v>4773.333333333333</v>
      </c>
      <c r="AB154" s="74">
        <v>789</v>
      </c>
      <c r="AC154" s="502">
        <f t="shared" si="89"/>
        <v>83.470670391061446</v>
      </c>
      <c r="AD154" s="82">
        <v>157</v>
      </c>
      <c r="AE154" s="62">
        <v>190.5</v>
      </c>
      <c r="AF154" s="500">
        <f t="shared" si="90"/>
        <v>17.585301837270343</v>
      </c>
      <c r="AG154" s="35">
        <v>0.9</v>
      </c>
      <c r="AH154" s="32">
        <v>2.5666666666666664</v>
      </c>
      <c r="AI154" s="499">
        <f t="shared" si="99"/>
        <v>64.935064935064929</v>
      </c>
      <c r="AJ154" s="62">
        <v>5000</v>
      </c>
      <c r="AK154" s="2">
        <v>1000</v>
      </c>
      <c r="AZ154" s="9"/>
      <c r="BJ154" s="6"/>
      <c r="BM154" s="62"/>
      <c r="BN154" s="8"/>
      <c r="BR154" s="629"/>
      <c r="CT154" s="62"/>
      <c r="CU154" s="62"/>
      <c r="CX154" s="3">
        <v>1.5</v>
      </c>
      <c r="CY154" s="74">
        <v>11</v>
      </c>
      <c r="CZ154" s="6"/>
      <c r="JS154" s="2">
        <v>2881.6666666666702</v>
      </c>
      <c r="JT154" s="2">
        <v>300</v>
      </c>
      <c r="JU154" s="2">
        <f t="shared" si="101"/>
        <v>89.589358010410663</v>
      </c>
    </row>
    <row r="155" spans="1:281" s="2" customFormat="1" x14ac:dyDescent="0.2">
      <c r="B155" s="622">
        <v>42924</v>
      </c>
      <c r="C155" s="475" t="s">
        <v>236</v>
      </c>
      <c r="D155" s="56">
        <v>71</v>
      </c>
      <c r="E155" s="56">
        <v>19.8</v>
      </c>
      <c r="F155" s="58">
        <v>21.2</v>
      </c>
      <c r="G155" s="56">
        <v>7.06</v>
      </c>
      <c r="H155" s="58">
        <v>7.2600000000000007</v>
      </c>
      <c r="I155" s="85">
        <v>1560.6666666666667</v>
      </c>
      <c r="J155" s="64">
        <v>1115.3333333333333</v>
      </c>
      <c r="K155" s="85">
        <v>1106.6666666666667</v>
      </c>
      <c r="L155" s="53">
        <v>791</v>
      </c>
      <c r="M155" s="85">
        <v>770</v>
      </c>
      <c r="N155" s="64">
        <v>635.33333333333337</v>
      </c>
      <c r="O155" s="85">
        <v>425.5</v>
      </c>
      <c r="P155" s="279">
        <v>3.7766666666666668</v>
      </c>
      <c r="Q155" s="2">
        <v>1200</v>
      </c>
      <c r="R155" s="512" t="s">
        <v>66</v>
      </c>
      <c r="S155" s="498" t="s">
        <v>240</v>
      </c>
      <c r="T155" s="599">
        <v>117</v>
      </c>
      <c r="U155" s="45">
        <v>1150</v>
      </c>
      <c r="V155" s="49">
        <v>14.999999999999147</v>
      </c>
      <c r="W155" s="514">
        <f t="shared" si="87"/>
        <v>98.695652173913118</v>
      </c>
      <c r="X155" s="45">
        <v>2050</v>
      </c>
      <c r="Y155" s="49">
        <v>915.00000000000057</v>
      </c>
      <c r="Z155" s="517">
        <f t="shared" si="88"/>
        <v>55.365853658536565</v>
      </c>
      <c r="AA155" s="501">
        <v>5413.333333333333</v>
      </c>
      <c r="AB155" s="73">
        <v>913.33333333333337</v>
      </c>
      <c r="AC155" s="517">
        <f t="shared" si="89"/>
        <v>83.128078817733993</v>
      </c>
      <c r="AD155" s="112">
        <v>191</v>
      </c>
      <c r="AE155" s="71">
        <v>192.5</v>
      </c>
      <c r="AF155" s="515">
        <f t="shared" si="90"/>
        <v>0.77922077922077926</v>
      </c>
      <c r="AG155" s="35">
        <v>2.2666666666666671</v>
      </c>
      <c r="AH155" s="32">
        <v>12.4</v>
      </c>
      <c r="AI155" s="514">
        <f t="shared" si="99"/>
        <v>81.72043010752688</v>
      </c>
      <c r="AJ155" s="62">
        <v>5000</v>
      </c>
      <c r="AK155" s="2">
        <v>1000</v>
      </c>
      <c r="AZ155" s="9"/>
      <c r="BJ155" s="6"/>
      <c r="BM155" s="62"/>
      <c r="BN155" s="8"/>
      <c r="BR155" s="502"/>
      <c r="CT155" s="62"/>
      <c r="CU155" s="62"/>
      <c r="CX155" s="3">
        <v>1.5</v>
      </c>
      <c r="CY155" s="74">
        <v>11</v>
      </c>
      <c r="CZ155" s="6"/>
      <c r="JS155" s="2">
        <v>2566.6666666666665</v>
      </c>
      <c r="JT155" s="2">
        <v>300</v>
      </c>
      <c r="JU155" s="2">
        <f t="shared" si="101"/>
        <v>88.311688311688314</v>
      </c>
    </row>
    <row r="156" spans="1:281" s="2" customFormat="1" x14ac:dyDescent="0.2">
      <c r="B156" s="613">
        <v>42955</v>
      </c>
      <c r="C156" s="498" t="s">
        <v>253</v>
      </c>
      <c r="D156" s="3">
        <v>72</v>
      </c>
      <c r="E156" s="3">
        <v>19.399999999999999</v>
      </c>
      <c r="F156" s="28">
        <v>19.100000000000001</v>
      </c>
      <c r="G156" s="3">
        <v>7.2399999999999993</v>
      </c>
      <c r="H156" s="32">
        <v>6.2866666666666662</v>
      </c>
      <c r="I156" s="3">
        <v>1395</v>
      </c>
      <c r="J156" s="74">
        <v>2040</v>
      </c>
      <c r="K156" s="82">
        <v>989.33333333333337</v>
      </c>
      <c r="L156" s="28">
        <v>1440</v>
      </c>
      <c r="M156" s="82">
        <v>674.33333333333337</v>
      </c>
      <c r="N156" s="74">
        <v>997.33333333333337</v>
      </c>
      <c r="O156" s="82">
        <v>648</v>
      </c>
      <c r="P156" s="32">
        <v>7.8499999999999988</v>
      </c>
      <c r="Q156" s="2">
        <v>1200</v>
      </c>
      <c r="R156" s="497" t="s">
        <v>67</v>
      </c>
      <c r="S156" s="475" t="s">
        <v>251</v>
      </c>
      <c r="T156" s="608">
        <v>120</v>
      </c>
      <c r="U156" s="2">
        <v>8200.0000000000018</v>
      </c>
      <c r="V156" s="2">
        <v>59.999999999999432</v>
      </c>
      <c r="W156" s="499">
        <f t="shared" si="87"/>
        <v>99.268292682926841</v>
      </c>
      <c r="X156" s="2">
        <v>8920.0000000000018</v>
      </c>
      <c r="Y156" s="28">
        <v>950</v>
      </c>
      <c r="Z156" s="502">
        <f t="shared" si="88"/>
        <v>89.349775784753362</v>
      </c>
      <c r="AA156" s="84">
        <v>12016.666666666666</v>
      </c>
      <c r="AB156" s="623">
        <v>558.33333333333337</v>
      </c>
      <c r="AC156" s="502">
        <f t="shared" si="89"/>
        <v>95.353675450762822</v>
      </c>
      <c r="AD156" s="82">
        <v>219</v>
      </c>
      <c r="AE156" s="62">
        <v>175.5</v>
      </c>
      <c r="AF156" s="500">
        <f t="shared" si="90"/>
        <v>-24.786324786324787</v>
      </c>
      <c r="AG156" s="522">
        <v>0.6333333333333333</v>
      </c>
      <c r="AH156" s="279">
        <v>12.466666666666669</v>
      </c>
      <c r="AI156" s="499">
        <f t="shared" si="99"/>
        <v>94.919786096256686</v>
      </c>
      <c r="AJ156" s="62">
        <v>5000</v>
      </c>
      <c r="AK156" s="2">
        <v>1000</v>
      </c>
      <c r="AZ156" s="9"/>
      <c r="BJ156" s="6"/>
      <c r="BM156" s="62"/>
      <c r="BN156" s="8"/>
      <c r="BR156" s="502"/>
      <c r="CT156" s="62"/>
      <c r="CU156" s="62"/>
      <c r="CX156" s="3">
        <v>1.5</v>
      </c>
      <c r="CY156" s="74">
        <v>11</v>
      </c>
      <c r="CZ156" s="6"/>
      <c r="JS156" s="2">
        <v>2195</v>
      </c>
      <c r="JT156" s="2">
        <v>300</v>
      </c>
      <c r="JU156" s="2">
        <f t="shared" si="101"/>
        <v>86.332574031890658</v>
      </c>
    </row>
    <row r="157" spans="1:281" s="2" customFormat="1" x14ac:dyDescent="0.2">
      <c r="B157" s="613" t="s">
        <v>241</v>
      </c>
      <c r="C157" s="498" t="s">
        <v>240</v>
      </c>
      <c r="D157" s="3">
        <v>73</v>
      </c>
      <c r="E157" s="3">
        <v>20.7</v>
      </c>
      <c r="F157" s="28">
        <v>21.7</v>
      </c>
      <c r="G157" s="35">
        <v>6.5533333333333337</v>
      </c>
      <c r="H157" s="32">
        <v>7.8566666666666665</v>
      </c>
      <c r="I157" s="82">
        <v>1713</v>
      </c>
      <c r="J157" s="74">
        <v>1152.3333333333333</v>
      </c>
      <c r="K157" s="82">
        <v>1216.6666666666667</v>
      </c>
      <c r="L157" s="62">
        <v>817.33333333333337</v>
      </c>
      <c r="M157" s="82">
        <v>995.66666666666663</v>
      </c>
      <c r="N157" s="74">
        <v>685.33333333333337</v>
      </c>
      <c r="O157" s="82">
        <v>742.5</v>
      </c>
      <c r="P157" s="32">
        <v>6.413333333333334</v>
      </c>
      <c r="Q157" s="2">
        <v>1200</v>
      </c>
      <c r="R157" s="497" t="s">
        <v>69</v>
      </c>
      <c r="S157" s="498" t="s">
        <v>254</v>
      </c>
      <c r="T157" s="608">
        <v>122</v>
      </c>
      <c r="U157" s="2">
        <v>2410.0000000000009</v>
      </c>
      <c r="V157" s="2">
        <v>39.999999999999147</v>
      </c>
      <c r="W157" s="499">
        <f t="shared" si="87"/>
        <v>98.340248962655636</v>
      </c>
      <c r="X157" s="2">
        <v>3260</v>
      </c>
      <c r="Y157" s="28">
        <v>954.99999999999841</v>
      </c>
      <c r="Z157" s="502">
        <f t="shared" si="88"/>
        <v>70.705521472392689</v>
      </c>
      <c r="AA157" s="81">
        <v>7333.333333333333</v>
      </c>
      <c r="AB157" s="501">
        <v>700.66666666666663</v>
      </c>
      <c r="AC157" s="502">
        <f t="shared" si="89"/>
        <v>90.445454545454538</v>
      </c>
      <c r="AD157" s="82">
        <v>173.5</v>
      </c>
      <c r="AE157" s="62">
        <v>165</v>
      </c>
      <c r="AF157" s="500">
        <f t="shared" si="90"/>
        <v>-5.1515151515151514</v>
      </c>
      <c r="AG157" s="35">
        <v>4.4333333333333336</v>
      </c>
      <c r="AH157" s="32">
        <v>21.533333333333331</v>
      </c>
      <c r="AI157" s="499">
        <f t="shared" si="99"/>
        <v>79.411764705882348</v>
      </c>
      <c r="AJ157" s="62">
        <v>5000</v>
      </c>
      <c r="AK157" s="2">
        <v>1000</v>
      </c>
      <c r="AZ157" s="9"/>
      <c r="BA157" s="6"/>
      <c r="BJ157" s="6"/>
      <c r="BM157" s="62"/>
      <c r="BN157" s="9"/>
      <c r="BR157" s="502"/>
      <c r="CT157" s="62"/>
      <c r="CU157" s="62"/>
      <c r="CX157" s="3">
        <v>1.5</v>
      </c>
      <c r="CY157" s="74">
        <v>11</v>
      </c>
      <c r="CZ157" s="6"/>
      <c r="JS157" s="2">
        <v>2628.3333333333335</v>
      </c>
      <c r="JT157" s="2">
        <v>300</v>
      </c>
      <c r="JU157" s="2">
        <f t="shared" si="101"/>
        <v>88.585922637920106</v>
      </c>
    </row>
    <row r="158" spans="1:281" s="2" customFormat="1" x14ac:dyDescent="0.2">
      <c r="B158" s="613">
        <v>43016</v>
      </c>
      <c r="C158" s="498"/>
      <c r="D158" s="3">
        <v>74</v>
      </c>
      <c r="E158" s="3">
        <v>20.100000000000001</v>
      </c>
      <c r="F158" s="28">
        <v>20.6</v>
      </c>
      <c r="G158" s="35">
        <v>7.2366666666666672</v>
      </c>
      <c r="H158" s="32">
        <v>6.413333333333334</v>
      </c>
      <c r="I158" s="82">
        <v>1629.3333333333333</v>
      </c>
      <c r="J158" s="74">
        <v>2045</v>
      </c>
      <c r="K158" s="82">
        <v>1156.6666666666667</v>
      </c>
      <c r="L158" s="74">
        <v>1453.3333333333333</v>
      </c>
      <c r="M158" s="82">
        <v>795.66666666666663</v>
      </c>
      <c r="N158" s="74">
        <v>1010</v>
      </c>
      <c r="O158" s="82">
        <v>698.5</v>
      </c>
      <c r="P158" s="32">
        <v>13.123333333333333</v>
      </c>
      <c r="Q158" s="2">
        <v>1200</v>
      </c>
      <c r="R158" s="497" t="s">
        <v>71</v>
      </c>
      <c r="S158" s="513" t="s">
        <v>240</v>
      </c>
      <c r="T158" s="608">
        <v>124</v>
      </c>
      <c r="U158" s="2">
        <v>894.99999999999886</v>
      </c>
      <c r="V158" s="2">
        <v>20.000000000001705</v>
      </c>
      <c r="W158" s="499">
        <f t="shared" si="87"/>
        <v>97.76536312849143</v>
      </c>
      <c r="X158" s="2">
        <v>1800</v>
      </c>
      <c r="Y158" s="28">
        <v>1020.0000000000002</v>
      </c>
      <c r="Z158" s="502">
        <f t="shared" si="88"/>
        <v>43.333333333333321</v>
      </c>
      <c r="AA158" s="112">
        <v>4803.333333333333</v>
      </c>
      <c r="AB158" s="630">
        <v>779.33333333333337</v>
      </c>
      <c r="AC158" s="502">
        <f t="shared" si="89"/>
        <v>83.775156141568345</v>
      </c>
      <c r="AD158" s="82">
        <v>172.66666666666666</v>
      </c>
      <c r="AE158" s="62">
        <v>188.66666666666666</v>
      </c>
      <c r="AF158" s="500">
        <f t="shared" si="90"/>
        <v>8.4805653710247348</v>
      </c>
      <c r="AG158" s="42">
        <v>1.7666666666666668</v>
      </c>
      <c r="AH158" s="40">
        <v>5.0666666666666664</v>
      </c>
      <c r="AI158" s="499">
        <f t="shared" si="99"/>
        <v>65.131578947368425</v>
      </c>
      <c r="AJ158" s="62">
        <v>5000</v>
      </c>
      <c r="AK158" s="2">
        <v>1000</v>
      </c>
      <c r="AZ158" s="9"/>
      <c r="BA158" s="6"/>
      <c r="BJ158" s="6"/>
      <c r="BM158" s="62"/>
      <c r="BN158" s="9"/>
      <c r="BR158" s="502"/>
      <c r="CT158" s="62"/>
      <c r="CU158" s="62"/>
      <c r="CX158" s="3">
        <v>1.5</v>
      </c>
      <c r="CY158" s="74">
        <v>11</v>
      </c>
      <c r="CZ158" s="6"/>
      <c r="JS158" s="2">
        <v>2576.6666666666665</v>
      </c>
      <c r="JT158" s="2">
        <v>300</v>
      </c>
      <c r="JU158" s="2">
        <f t="shared" si="101"/>
        <v>88.357050452781365</v>
      </c>
    </row>
    <row r="159" spans="1:281" s="2" customFormat="1" x14ac:dyDescent="0.2">
      <c r="B159" s="614">
        <v>43047</v>
      </c>
      <c r="C159" s="513"/>
      <c r="D159" s="47">
        <v>75</v>
      </c>
      <c r="E159" s="47">
        <v>21.1</v>
      </c>
      <c r="F159" s="49">
        <v>21.1</v>
      </c>
      <c r="G159" s="42">
        <v>6.53</v>
      </c>
      <c r="H159" s="40">
        <v>7.6133333333333333</v>
      </c>
      <c r="I159" s="112">
        <v>1867</v>
      </c>
      <c r="J159" s="109">
        <v>1517</v>
      </c>
      <c r="K159" s="112">
        <v>1333.3333333333333</v>
      </c>
      <c r="L159" s="71">
        <v>1080</v>
      </c>
      <c r="M159" s="112">
        <v>1093.3333333333333</v>
      </c>
      <c r="N159" s="109">
        <v>913.66666666666663</v>
      </c>
      <c r="O159" s="112">
        <v>876</v>
      </c>
      <c r="P159" s="40">
        <v>11.62</v>
      </c>
      <c r="Q159" s="2">
        <v>1200</v>
      </c>
      <c r="R159" s="474" t="s">
        <v>255</v>
      </c>
      <c r="S159" s="498" t="s">
        <v>251</v>
      </c>
      <c r="T159" s="609">
        <v>127</v>
      </c>
      <c r="U159" s="53">
        <v>4994.9999999999982</v>
      </c>
      <c r="V159" s="64">
        <v>34.999999999999432</v>
      </c>
      <c r="W159" s="523">
        <f t="shared" si="87"/>
        <v>99.299299299299321</v>
      </c>
      <c r="X159" s="53">
        <v>5495</v>
      </c>
      <c r="Y159" s="64">
        <v>939.99999999999909</v>
      </c>
      <c r="Z159" s="495">
        <f t="shared" si="88"/>
        <v>82.893539581437693</v>
      </c>
      <c r="AA159" s="624">
        <v>12490</v>
      </c>
      <c r="AB159" s="73">
        <v>597</v>
      </c>
      <c r="AC159" s="495">
        <f t="shared" si="89"/>
        <v>95.220176140912727</v>
      </c>
      <c r="AD159" s="85">
        <v>443</v>
      </c>
      <c r="AE159" s="53">
        <v>204</v>
      </c>
      <c r="AF159" s="494">
        <f t="shared" si="90"/>
        <v>-117.15686274509804</v>
      </c>
      <c r="AG159" s="35">
        <v>18.100000000000001</v>
      </c>
      <c r="AH159" s="32">
        <v>12.100000000000001</v>
      </c>
      <c r="AI159" s="631">
        <f t="shared" si="99"/>
        <v>-49.586776859504127</v>
      </c>
      <c r="AJ159" s="62">
        <v>5000</v>
      </c>
      <c r="AK159" s="2">
        <v>1000</v>
      </c>
      <c r="AZ159" s="9"/>
      <c r="BA159" s="6"/>
      <c r="BM159" s="62"/>
      <c r="BN159" s="8"/>
      <c r="BR159" s="502"/>
      <c r="CT159" s="62"/>
      <c r="CU159" s="62"/>
      <c r="CX159" s="3">
        <v>1.5</v>
      </c>
      <c r="CY159" s="74">
        <v>11</v>
      </c>
      <c r="CZ159" s="6"/>
      <c r="JS159" s="2">
        <v>2425</v>
      </c>
      <c r="JT159" s="2">
        <v>300</v>
      </c>
      <c r="JU159" s="2">
        <f t="shared" si="101"/>
        <v>87.628865979381445</v>
      </c>
    </row>
    <row r="160" spans="1:281" s="2" customFormat="1" x14ac:dyDescent="0.2">
      <c r="B160" s="622" t="s">
        <v>45</v>
      </c>
      <c r="C160" s="475" t="s">
        <v>236</v>
      </c>
      <c r="D160" s="58">
        <v>78</v>
      </c>
      <c r="E160" s="3">
        <v>22.2</v>
      </c>
      <c r="F160" s="2">
        <v>22.2</v>
      </c>
      <c r="G160" s="522">
        <v>6.8566666666666665</v>
      </c>
      <c r="H160" s="535">
        <v>7.996666666666667</v>
      </c>
      <c r="I160" s="85">
        <v>1771.6666666666667</v>
      </c>
      <c r="J160" s="64">
        <v>1521</v>
      </c>
      <c r="K160" s="53">
        <v>1263.3333333333333</v>
      </c>
      <c r="L160" s="64">
        <v>1080</v>
      </c>
      <c r="M160" s="53">
        <v>1036.6666666666667</v>
      </c>
      <c r="N160" s="64">
        <v>918</v>
      </c>
      <c r="O160" s="53">
        <v>548</v>
      </c>
      <c r="P160" s="279">
        <v>7.0466666666666669</v>
      </c>
      <c r="Q160" s="2">
        <v>1200</v>
      </c>
      <c r="R160" s="497">
        <v>42835</v>
      </c>
      <c r="S160" s="498" t="s">
        <v>256</v>
      </c>
      <c r="T160" s="608">
        <v>129</v>
      </c>
      <c r="U160" s="62">
        <v>401.8181818181821</v>
      </c>
      <c r="V160" s="74">
        <v>59.090909090909605</v>
      </c>
      <c r="W160" s="499">
        <f t="shared" si="87"/>
        <v>85.294117647058712</v>
      </c>
      <c r="X160" s="62">
        <v>1317.272727272727</v>
      </c>
      <c r="Y160" s="74">
        <v>868.18181818181915</v>
      </c>
      <c r="Z160" s="502">
        <f t="shared" si="88"/>
        <v>34.092477570738353</v>
      </c>
      <c r="AA160" s="624">
        <v>3830</v>
      </c>
      <c r="AB160" s="74">
        <v>692.66666666666663</v>
      </c>
      <c r="AC160" s="502">
        <f t="shared" si="89"/>
        <v>81.914708442123583</v>
      </c>
      <c r="AD160" s="82">
        <v>226</v>
      </c>
      <c r="AE160" s="62">
        <v>158</v>
      </c>
      <c r="AF160" s="500">
        <f>((AE160-AD160)/(AE160))*100</f>
        <v>-43.037974683544306</v>
      </c>
      <c r="AG160" s="35">
        <v>1.2333333333333332</v>
      </c>
      <c r="AH160" s="32">
        <v>24</v>
      </c>
      <c r="AI160" s="499">
        <f t="shared" si="99"/>
        <v>94.861111111111114</v>
      </c>
      <c r="AJ160" s="62">
        <v>5000</v>
      </c>
      <c r="AK160" s="2">
        <v>1000</v>
      </c>
      <c r="AZ160" s="9"/>
      <c r="BA160" s="6"/>
      <c r="BM160" s="62"/>
      <c r="BN160" s="8"/>
      <c r="BR160" s="502"/>
      <c r="CT160" s="62"/>
      <c r="CU160" s="62"/>
      <c r="CX160" s="3">
        <v>1.5</v>
      </c>
      <c r="CY160" s="74">
        <v>11</v>
      </c>
      <c r="CZ160" s="6"/>
      <c r="JS160" s="2">
        <v>3216.6666666666665</v>
      </c>
      <c r="JT160" s="2">
        <v>300</v>
      </c>
      <c r="JU160" s="2">
        <f t="shared" si="101"/>
        <v>90.673575129533674</v>
      </c>
    </row>
    <row r="161" spans="2:281" s="2" customFormat="1" x14ac:dyDescent="0.2">
      <c r="B161" s="613" t="s">
        <v>46</v>
      </c>
      <c r="C161" s="498" t="s">
        <v>257</v>
      </c>
      <c r="D161" s="28">
        <v>79</v>
      </c>
      <c r="E161" s="3">
        <v>19.5</v>
      </c>
      <c r="F161" s="2">
        <v>19.600000000000001</v>
      </c>
      <c r="G161" s="3">
        <v>6.59</v>
      </c>
      <c r="H161" s="6">
        <v>7.8566666666666665</v>
      </c>
      <c r="I161" s="82">
        <v>2002.5</v>
      </c>
      <c r="J161" s="28">
        <v>1957</v>
      </c>
      <c r="K161" s="62">
        <v>1430</v>
      </c>
      <c r="L161" s="74">
        <v>1400</v>
      </c>
      <c r="M161" s="62">
        <v>1001.3333333333334</v>
      </c>
      <c r="N161" s="74">
        <v>961</v>
      </c>
      <c r="O161" s="62">
        <v>739.5</v>
      </c>
      <c r="P161" s="32">
        <v>9.3166666666666682</v>
      </c>
      <c r="Q161" s="2">
        <v>1200</v>
      </c>
      <c r="R161" s="512">
        <v>42896</v>
      </c>
      <c r="S161" s="513" t="s">
        <v>240</v>
      </c>
      <c r="T161" s="599">
        <v>131</v>
      </c>
      <c r="U161" s="71">
        <v>575</v>
      </c>
      <c r="V161" s="109">
        <v>152.27272727272805</v>
      </c>
      <c r="W161" s="514">
        <f t="shared" si="87"/>
        <v>73.517786561264685</v>
      </c>
      <c r="X161" s="71">
        <v>1460.0000000000009</v>
      </c>
      <c r="Y161" s="109">
        <v>1005.4545454545452</v>
      </c>
      <c r="Z161" s="517">
        <f t="shared" si="88"/>
        <v>31.133250311332567</v>
      </c>
      <c r="AA161" s="630">
        <v>3581.6666666666702</v>
      </c>
      <c r="AB161" s="108">
        <v>632</v>
      </c>
      <c r="AC161" s="517">
        <f t="shared" si="89"/>
        <v>82.354583527221976</v>
      </c>
      <c r="AD161" s="112">
        <v>227.5</v>
      </c>
      <c r="AE161" s="71">
        <v>182</v>
      </c>
      <c r="AF161" s="515">
        <f t="shared" si="90"/>
        <v>-25</v>
      </c>
      <c r="AG161" s="42">
        <v>1.5666666666666664</v>
      </c>
      <c r="AH161" s="40">
        <v>14.649999999999999</v>
      </c>
      <c r="AI161" s="514">
        <f t="shared" si="99"/>
        <v>89.306029579067129</v>
      </c>
      <c r="AJ161" s="62">
        <v>5000</v>
      </c>
      <c r="AK161" s="2">
        <v>1000</v>
      </c>
      <c r="AZ161" s="9"/>
      <c r="BA161" s="6"/>
      <c r="BJ161" s="6"/>
      <c r="BM161" s="62"/>
      <c r="BN161" s="9"/>
      <c r="BO161" s="62"/>
      <c r="BR161" s="502"/>
      <c r="CT161" s="62"/>
      <c r="CU161" s="62"/>
      <c r="CX161" s="3">
        <v>1.5</v>
      </c>
      <c r="CY161" s="74">
        <v>11</v>
      </c>
      <c r="CZ161" s="6"/>
      <c r="JS161" s="2">
        <v>2876.6666666666665</v>
      </c>
      <c r="JT161" s="2">
        <v>300</v>
      </c>
      <c r="JU161" s="2">
        <f t="shared" si="101"/>
        <v>89.571263035921206</v>
      </c>
    </row>
    <row r="162" spans="2:281" s="2" customFormat="1" x14ac:dyDescent="0.2">
      <c r="B162" s="613" t="s">
        <v>47</v>
      </c>
      <c r="C162" s="498" t="s">
        <v>240</v>
      </c>
      <c r="D162" s="28">
        <v>80</v>
      </c>
      <c r="E162" s="3">
        <v>21.9</v>
      </c>
      <c r="F162" s="2">
        <v>21.5</v>
      </c>
      <c r="G162" s="35">
        <v>6.496666666666667</v>
      </c>
      <c r="H162" s="6">
        <v>7.63</v>
      </c>
      <c r="I162" s="82">
        <v>2153.3333333333335</v>
      </c>
      <c r="J162" s="74">
        <v>1978.3333333333333</v>
      </c>
      <c r="K162" s="62">
        <v>1533.3333333333333</v>
      </c>
      <c r="L162" s="74">
        <v>1403.3333333333333</v>
      </c>
      <c r="M162" s="2">
        <v>1080</v>
      </c>
      <c r="N162" s="74">
        <v>982</v>
      </c>
      <c r="O162" s="62">
        <v>993.66666666666663</v>
      </c>
      <c r="P162" s="32">
        <v>13.396666666666668</v>
      </c>
      <c r="Q162" s="2">
        <v>1200</v>
      </c>
      <c r="R162" s="474">
        <v>42988</v>
      </c>
      <c r="S162" s="475" t="s">
        <v>251</v>
      </c>
      <c r="T162" s="609">
        <v>134</v>
      </c>
      <c r="U162" s="53">
        <v>313.18181818181677</v>
      </c>
      <c r="V162" s="64">
        <v>40.00000000000199</v>
      </c>
      <c r="W162" s="523">
        <f t="shared" si="87"/>
        <v>87.227866473148794</v>
      </c>
      <c r="X162" s="53">
        <v>1182.2727272727268</v>
      </c>
      <c r="Y162" s="53">
        <v>954.99999999999977</v>
      </c>
      <c r="Z162" s="523">
        <f t="shared" si="88"/>
        <v>19.223375624759694</v>
      </c>
      <c r="AA162" s="623">
        <v>3618.3333333333335</v>
      </c>
      <c r="AB162" s="52">
        <v>625.66666666666663</v>
      </c>
      <c r="AC162" s="494">
        <f t="shared" si="89"/>
        <v>82.708429295255641</v>
      </c>
      <c r="AD162" s="85">
        <v>265.33333333333331</v>
      </c>
      <c r="AE162" s="53">
        <v>242</v>
      </c>
      <c r="AF162" s="494">
        <f t="shared" si="90"/>
        <v>-9.6418732782369059</v>
      </c>
      <c r="AG162" s="522">
        <v>1.1666666666666667</v>
      </c>
      <c r="AH162" s="279">
        <v>17.666666666666668</v>
      </c>
      <c r="AI162" s="523">
        <f t="shared" si="99"/>
        <v>93.396226415094333</v>
      </c>
      <c r="AJ162" s="62">
        <v>5000</v>
      </c>
      <c r="AK162" s="2">
        <v>1000</v>
      </c>
      <c r="AZ162" s="9"/>
      <c r="BA162" s="6"/>
      <c r="BJ162" s="6"/>
      <c r="BM162" s="62"/>
      <c r="BN162" s="8"/>
      <c r="BR162" s="502"/>
      <c r="CT162" s="62"/>
      <c r="CU162" s="62"/>
      <c r="CX162" s="3">
        <v>1.5</v>
      </c>
      <c r="CY162" s="74">
        <v>11</v>
      </c>
      <c r="CZ162" s="6"/>
      <c r="JS162" s="2">
        <v>3230</v>
      </c>
      <c r="JT162" s="2">
        <v>300</v>
      </c>
      <c r="JU162" s="2">
        <f t="shared" si="101"/>
        <v>90.712074303405572</v>
      </c>
    </row>
    <row r="163" spans="2:281" s="2" customFormat="1" x14ac:dyDescent="0.2">
      <c r="B163" s="613" t="s">
        <v>48</v>
      </c>
      <c r="C163" s="498"/>
      <c r="D163" s="28">
        <v>81</v>
      </c>
      <c r="E163" s="3">
        <v>21.4</v>
      </c>
      <c r="F163" s="2">
        <v>20.7</v>
      </c>
      <c r="G163" s="35">
        <v>6.3599999999999994</v>
      </c>
      <c r="H163" s="2">
        <v>7.6500000000000012</v>
      </c>
      <c r="I163" s="82">
        <v>2035</v>
      </c>
      <c r="J163" s="74">
        <v>2070</v>
      </c>
      <c r="K163" s="62">
        <v>1450</v>
      </c>
      <c r="L163" s="74">
        <v>1466.6666666666667</v>
      </c>
      <c r="M163" s="62">
        <v>1006.6666666666666</v>
      </c>
      <c r="N163" s="74">
        <v>1020</v>
      </c>
      <c r="O163" s="62">
        <v>620.66666666666663</v>
      </c>
      <c r="P163" s="32">
        <v>7.8266666666666671</v>
      </c>
      <c r="Q163" s="2">
        <v>1200</v>
      </c>
      <c r="R163" s="497">
        <v>43049</v>
      </c>
      <c r="S163" s="498" t="s">
        <v>258</v>
      </c>
      <c r="T163" s="608">
        <v>136</v>
      </c>
      <c r="U163" s="62">
        <v>369.11764705882308</v>
      </c>
      <c r="V163" s="74">
        <v>116.66666666666674</v>
      </c>
      <c r="W163" s="499">
        <f t="shared" si="87"/>
        <v>68.393094289508568</v>
      </c>
      <c r="X163" s="62">
        <v>1479.7794117647063</v>
      </c>
      <c r="Y163" s="62">
        <v>1044.444444444445</v>
      </c>
      <c r="Z163" s="499">
        <f t="shared" si="88"/>
        <v>29.418909592822619</v>
      </c>
      <c r="AA163" s="624">
        <v>3157.5</v>
      </c>
      <c r="AB163" s="62">
        <v>656</v>
      </c>
      <c r="AC163" s="500">
        <f t="shared" si="89"/>
        <v>79.224069675376086</v>
      </c>
      <c r="AD163" s="82">
        <v>223</v>
      </c>
      <c r="AE163" s="62">
        <v>182.66666666666666</v>
      </c>
      <c r="AF163" s="500">
        <f t="shared" si="90"/>
        <v>-22.080291970802925</v>
      </c>
      <c r="AG163" s="35">
        <v>0.89999999999999991</v>
      </c>
      <c r="AH163" s="32">
        <v>19.433333333333334</v>
      </c>
      <c r="AI163" s="499">
        <f t="shared" si="99"/>
        <v>95.368782161235004</v>
      </c>
      <c r="AJ163" s="62">
        <v>5000</v>
      </c>
      <c r="AK163" s="2">
        <v>1000</v>
      </c>
      <c r="AZ163" s="9"/>
      <c r="BA163" s="6"/>
      <c r="BJ163" s="6"/>
      <c r="BM163" s="62"/>
      <c r="BN163" s="9"/>
      <c r="BO163" s="62"/>
      <c r="BR163" s="502"/>
      <c r="CT163" s="62"/>
      <c r="CU163" s="62"/>
      <c r="CV163" s="62"/>
      <c r="CW163" s="62"/>
      <c r="CX163" s="3">
        <v>1.5</v>
      </c>
      <c r="CY163" s="74">
        <v>11</v>
      </c>
      <c r="CZ163" s="6"/>
      <c r="DA163" s="6"/>
      <c r="DB163" s="6"/>
      <c r="JS163" s="2">
        <v>3240</v>
      </c>
      <c r="JT163" s="2">
        <v>300</v>
      </c>
      <c r="JU163" s="2">
        <f t="shared" si="101"/>
        <v>90.740740740740748</v>
      </c>
    </row>
    <row r="164" spans="2:281" s="2" customFormat="1" x14ac:dyDescent="0.2">
      <c r="B164" s="614" t="s">
        <v>49</v>
      </c>
      <c r="C164" s="513"/>
      <c r="D164" s="49">
        <v>82</v>
      </c>
      <c r="E164" s="3">
        <v>21.7</v>
      </c>
      <c r="F164" s="2">
        <v>21.3</v>
      </c>
      <c r="G164" s="42">
        <v>6.4899999999999993</v>
      </c>
      <c r="H164" s="38">
        <v>7.68</v>
      </c>
      <c r="I164" s="112">
        <v>2050</v>
      </c>
      <c r="J164" s="109">
        <v>2070</v>
      </c>
      <c r="K164" s="71">
        <v>1460</v>
      </c>
      <c r="L164" s="109">
        <v>1470</v>
      </c>
      <c r="M164" s="71">
        <v>1023.3333333333334</v>
      </c>
      <c r="N164" s="109">
        <v>1030</v>
      </c>
      <c r="O164" s="71">
        <v>521</v>
      </c>
      <c r="P164" s="40">
        <v>5.1333333333333329</v>
      </c>
      <c r="Q164" s="2">
        <v>1200</v>
      </c>
      <c r="R164" s="512" t="s">
        <v>72</v>
      </c>
      <c r="S164" s="513" t="s">
        <v>240</v>
      </c>
      <c r="T164" s="599">
        <v>138</v>
      </c>
      <c r="U164" s="71">
        <v>594.95798319327605</v>
      </c>
      <c r="V164" s="109">
        <v>102.38095238095332</v>
      </c>
      <c r="W164" s="514">
        <f t="shared" si="87"/>
        <v>82.791902071562902</v>
      </c>
      <c r="X164" s="71">
        <v>1929.8319327731076</v>
      </c>
      <c r="Y164" s="71">
        <v>1448.8095238095229</v>
      </c>
      <c r="Z164" s="514">
        <f t="shared" si="88"/>
        <v>24.925611437695025</v>
      </c>
      <c r="AA164" s="630">
        <v>3885</v>
      </c>
      <c r="AB164" s="70">
        <v>672.33333333333337</v>
      </c>
      <c r="AC164" s="515">
        <f t="shared" si="89"/>
        <v>82.694122694122683</v>
      </c>
      <c r="AD164" s="112">
        <v>205.5</v>
      </c>
      <c r="AE164" s="71">
        <v>224</v>
      </c>
      <c r="AF164" s="515">
        <f t="shared" si="90"/>
        <v>8.2589285714285712</v>
      </c>
      <c r="AG164" s="42">
        <v>2.3000000000000003</v>
      </c>
      <c r="AH164" s="40">
        <v>23.833333333333332</v>
      </c>
      <c r="AI164" s="514">
        <f t="shared" si="99"/>
        <v>90.349650349650346</v>
      </c>
      <c r="AJ164" s="62">
        <v>5000</v>
      </c>
      <c r="AK164" s="2">
        <v>1000</v>
      </c>
      <c r="AZ164" s="9"/>
      <c r="BA164" s="6"/>
      <c r="BJ164" s="6"/>
      <c r="BM164" s="62"/>
      <c r="BN164" s="9"/>
      <c r="BO164" s="62"/>
      <c r="BR164" s="502"/>
      <c r="CT164" s="62"/>
      <c r="CU164" s="62"/>
      <c r="CX164" s="47">
        <v>1.5</v>
      </c>
      <c r="CY164" s="109">
        <v>11</v>
      </c>
      <c r="CZ164" s="6"/>
      <c r="JS164" s="2">
        <v>2728.3333333333335</v>
      </c>
      <c r="JT164" s="2">
        <v>300</v>
      </c>
      <c r="JU164" s="2">
        <f t="shared" si="101"/>
        <v>89.004276114844231</v>
      </c>
    </row>
    <row r="165" spans="2:281" s="2" customFormat="1" x14ac:dyDescent="0.2">
      <c r="B165" s="613" t="s">
        <v>50</v>
      </c>
      <c r="C165" s="498" t="s">
        <v>244</v>
      </c>
      <c r="D165" s="3">
        <v>85</v>
      </c>
      <c r="E165" s="56">
        <v>21.9</v>
      </c>
      <c r="F165" s="58">
        <v>21.3</v>
      </c>
      <c r="G165" s="522">
        <v>6.6133333333333333</v>
      </c>
      <c r="H165" s="279">
        <v>7.6433333333333335</v>
      </c>
      <c r="I165" s="56">
        <v>2155</v>
      </c>
      <c r="J165" s="64">
        <v>2045</v>
      </c>
      <c r="K165" s="56">
        <v>1540</v>
      </c>
      <c r="L165" s="64">
        <v>1445</v>
      </c>
      <c r="M165" s="85">
        <v>1073.3333333333333</v>
      </c>
      <c r="N165" s="64">
        <v>1035</v>
      </c>
      <c r="O165" s="85">
        <v>920</v>
      </c>
      <c r="P165" s="279">
        <v>4.3633333333333333</v>
      </c>
      <c r="Q165" s="2">
        <v>1200</v>
      </c>
      <c r="R165" s="597"/>
      <c r="U165" s="62"/>
      <c r="V165" s="62"/>
      <c r="W165" s="9"/>
      <c r="AA165" s="62"/>
      <c r="AB165" s="62"/>
      <c r="AC165" s="62"/>
      <c r="AD165" s="62"/>
      <c r="AE165" s="62"/>
      <c r="AF165" s="62"/>
      <c r="AG165" s="6"/>
      <c r="AH165" s="62"/>
      <c r="AI165" s="62"/>
      <c r="AZ165" s="9"/>
      <c r="BA165" s="6"/>
      <c r="BJ165" s="6"/>
      <c r="BM165" s="62"/>
      <c r="BN165" s="61"/>
      <c r="BO165" s="62"/>
      <c r="BR165" s="502"/>
      <c r="JS165" s="2">
        <v>2490</v>
      </c>
      <c r="JT165" s="2">
        <v>300</v>
      </c>
      <c r="JU165" s="2">
        <f t="shared" si="101"/>
        <v>87.951807228915655</v>
      </c>
    </row>
    <row r="166" spans="2:281" s="2" customFormat="1" x14ac:dyDescent="0.2">
      <c r="B166" s="613" t="s">
        <v>51</v>
      </c>
      <c r="C166" s="498" t="s">
        <v>259</v>
      </c>
      <c r="D166" s="3">
        <v>86</v>
      </c>
      <c r="E166" s="3">
        <v>21.1</v>
      </c>
      <c r="F166" s="28">
        <v>21.1</v>
      </c>
      <c r="G166" s="3">
        <v>6.75</v>
      </c>
      <c r="H166" s="32">
        <v>7.6333333333333329</v>
      </c>
      <c r="I166" s="3">
        <v>2130</v>
      </c>
      <c r="J166" s="74">
        <v>2076.6666666666665</v>
      </c>
      <c r="K166" s="82">
        <v>1510</v>
      </c>
      <c r="L166" s="74">
        <v>1476.6666666666667</v>
      </c>
      <c r="M166" s="82">
        <v>1046.6666666666667</v>
      </c>
      <c r="N166" s="74">
        <v>1026.6666666666667</v>
      </c>
      <c r="O166" s="82">
        <v>648.33333333333337</v>
      </c>
      <c r="P166" s="32">
        <v>6.07</v>
      </c>
      <c r="Q166" s="2">
        <v>1200</v>
      </c>
      <c r="R166" s="597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"/>
      <c r="AH166" s="62"/>
      <c r="AI166" s="62"/>
      <c r="BA166" s="6"/>
      <c r="BJ166" s="6"/>
      <c r="BM166" s="6"/>
      <c r="BN166" s="61"/>
      <c r="BO166" s="62"/>
      <c r="BR166" s="502"/>
      <c r="JS166" s="2">
        <v>2900</v>
      </c>
      <c r="JT166" s="2">
        <v>300</v>
      </c>
      <c r="JU166" s="2">
        <f t="shared" si="101"/>
        <v>89.65517241379311</v>
      </c>
    </row>
    <row r="167" spans="2:281" s="2" customFormat="1" ht="15" x14ac:dyDescent="0.2">
      <c r="B167" s="613" t="s">
        <v>52</v>
      </c>
      <c r="C167" s="498" t="s">
        <v>240</v>
      </c>
      <c r="D167" s="3">
        <v>87</v>
      </c>
      <c r="E167" s="3">
        <v>22.1</v>
      </c>
      <c r="F167" s="28">
        <v>21.6</v>
      </c>
      <c r="G167" s="35">
        <v>6.6766666666666667</v>
      </c>
      <c r="H167" s="32">
        <v>7.3666666666666663</v>
      </c>
      <c r="I167" s="82">
        <v>2130</v>
      </c>
      <c r="J167" s="28">
        <v>1941</v>
      </c>
      <c r="K167" s="82">
        <v>1510</v>
      </c>
      <c r="L167" s="74">
        <v>1383.3333333333333</v>
      </c>
      <c r="M167" s="3">
        <v>1060</v>
      </c>
      <c r="N167" s="74">
        <v>966.33333333333337</v>
      </c>
      <c r="O167" s="82">
        <v>941.5</v>
      </c>
      <c r="P167" s="32">
        <v>6.12</v>
      </c>
      <c r="Q167" s="2">
        <v>1200</v>
      </c>
      <c r="R167" s="597"/>
      <c r="U167" s="62"/>
      <c r="V167" s="62"/>
      <c r="W167" s="62"/>
      <c r="X167" s="62"/>
      <c r="AA167" s="62"/>
      <c r="AL167" s="6"/>
      <c r="BA167" s="6"/>
      <c r="BJ167" s="6"/>
      <c r="BM167" s="6"/>
      <c r="BO167" s="62"/>
      <c r="BR167" s="502"/>
      <c r="JS167" s="2">
        <v>3331.6666666666665</v>
      </c>
      <c r="JT167" s="2">
        <v>300</v>
      </c>
      <c r="JU167" s="2">
        <f t="shared" si="101"/>
        <v>90.995497748874428</v>
      </c>
    </row>
    <row r="168" spans="2:281" s="2" customFormat="1" ht="15" x14ac:dyDescent="0.2">
      <c r="B168" s="613" t="s">
        <v>53</v>
      </c>
      <c r="C168" s="498"/>
      <c r="D168" s="3">
        <v>88</v>
      </c>
      <c r="E168" s="3">
        <v>21.6</v>
      </c>
      <c r="F168" s="28">
        <v>21.4</v>
      </c>
      <c r="G168" s="35">
        <v>6.2566666666666668</v>
      </c>
      <c r="H168" s="32">
        <v>7.3866666666666667</v>
      </c>
      <c r="I168" s="82">
        <v>1611.3333333333333</v>
      </c>
      <c r="J168" s="74">
        <v>1951</v>
      </c>
      <c r="K168" s="82">
        <v>1143.3333333333333</v>
      </c>
      <c r="L168" s="74">
        <v>1386.6666666666667</v>
      </c>
      <c r="M168" s="82">
        <v>790.66666666666663</v>
      </c>
      <c r="N168" s="74">
        <v>964.33333333333337</v>
      </c>
      <c r="O168" s="3">
        <v>928</v>
      </c>
      <c r="P168" s="32">
        <v>5.13</v>
      </c>
      <c r="Q168" s="2">
        <v>1200</v>
      </c>
      <c r="R168" s="597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"/>
      <c r="AH168" s="62"/>
      <c r="AI168" s="62"/>
      <c r="AJ168" s="62"/>
      <c r="AK168" s="62"/>
      <c r="AL168" s="6"/>
      <c r="BA168" s="6"/>
      <c r="BJ168" s="6"/>
      <c r="BM168" s="6"/>
      <c r="BO168" s="62"/>
      <c r="BR168" s="502"/>
      <c r="JS168" s="2">
        <v>3050</v>
      </c>
      <c r="JT168" s="2">
        <v>300</v>
      </c>
      <c r="JU168" s="2">
        <f t="shared" si="101"/>
        <v>90.163934426229503</v>
      </c>
    </row>
    <row r="169" spans="2:281" s="2" customFormat="1" ht="15" x14ac:dyDescent="0.2">
      <c r="B169" s="614" t="s">
        <v>54</v>
      </c>
      <c r="C169" s="513"/>
      <c r="D169" s="3">
        <v>89</v>
      </c>
      <c r="E169" s="3">
        <v>22.5</v>
      </c>
      <c r="F169" s="28">
        <v>21.7</v>
      </c>
      <c r="G169" s="42">
        <v>6.2666666666666657</v>
      </c>
      <c r="H169" s="40">
        <v>7.9366666666666665</v>
      </c>
      <c r="I169" s="112">
        <v>1637.6666666666667</v>
      </c>
      <c r="J169" s="109">
        <v>2053.3333333333335</v>
      </c>
      <c r="K169" s="112">
        <v>1160</v>
      </c>
      <c r="L169" s="109">
        <v>1460</v>
      </c>
      <c r="M169" s="112">
        <v>806.66666666666663</v>
      </c>
      <c r="N169" s="109">
        <v>1023.3333333333334</v>
      </c>
      <c r="O169" s="112">
        <v>778.66666666666663</v>
      </c>
      <c r="P169" s="40">
        <v>5.71</v>
      </c>
      <c r="Q169" s="2">
        <v>1200</v>
      </c>
      <c r="R169" s="597"/>
      <c r="X169" s="62"/>
      <c r="AA169" s="629"/>
      <c r="AB169" s="62"/>
      <c r="AL169" s="6"/>
      <c r="BJ169" s="6"/>
      <c r="BK169" s="6"/>
      <c r="BM169" s="6"/>
      <c r="BO169" s="62"/>
      <c r="BR169" s="502"/>
      <c r="JS169" s="2">
        <v>2710</v>
      </c>
      <c r="JT169" s="2">
        <v>300</v>
      </c>
      <c r="JU169" s="2">
        <f t="shared" si="101"/>
        <v>88.929889298892988</v>
      </c>
    </row>
    <row r="170" spans="2:281" s="2" customFormat="1" ht="15" x14ac:dyDescent="0.2">
      <c r="B170" s="622" t="s">
        <v>55</v>
      </c>
      <c r="C170" s="498" t="s">
        <v>244</v>
      </c>
      <c r="D170" s="56">
        <v>92</v>
      </c>
      <c r="E170" s="56">
        <v>22.7</v>
      </c>
      <c r="F170" s="58">
        <v>22</v>
      </c>
      <c r="G170" s="522">
        <v>6.4733333333333301</v>
      </c>
      <c r="H170" s="279">
        <v>7.6766666666666667</v>
      </c>
      <c r="I170" s="85">
        <v>1614.3333333333333</v>
      </c>
      <c r="J170" s="64">
        <v>1834</v>
      </c>
      <c r="K170" s="62">
        <v>1146.6666666666667</v>
      </c>
      <c r="L170" s="62">
        <v>1296.6666666666667</v>
      </c>
      <c r="M170" s="85">
        <v>794.33333333333337</v>
      </c>
      <c r="N170" s="64">
        <v>905.66666666666663</v>
      </c>
      <c r="O170" s="53">
        <v>895.5</v>
      </c>
      <c r="P170" s="279">
        <v>8.2333333333333325</v>
      </c>
      <c r="Q170" s="2">
        <v>1200</v>
      </c>
      <c r="R170" s="597"/>
      <c r="X170" s="62"/>
      <c r="AL170" s="6"/>
      <c r="BJ170" s="6"/>
      <c r="BK170" s="6"/>
      <c r="BM170" s="6"/>
      <c r="BO170" s="62"/>
      <c r="JS170" s="2">
        <v>3858.3333333333335</v>
      </c>
      <c r="JT170" s="2">
        <v>300</v>
      </c>
      <c r="JU170" s="2">
        <f t="shared" si="101"/>
        <v>92.224622030237583</v>
      </c>
    </row>
    <row r="171" spans="2:281" s="2" customFormat="1" x14ac:dyDescent="0.2">
      <c r="B171" s="613" t="s">
        <v>56</v>
      </c>
      <c r="C171" s="498" t="s">
        <v>260</v>
      </c>
      <c r="D171" s="3">
        <v>93</v>
      </c>
      <c r="E171" s="3">
        <v>21.7</v>
      </c>
      <c r="F171" s="28">
        <v>21.7</v>
      </c>
      <c r="G171" s="35">
        <v>6.29</v>
      </c>
      <c r="H171" s="32">
        <v>7.75</v>
      </c>
      <c r="I171" s="82">
        <v>1891</v>
      </c>
      <c r="J171" s="74">
        <v>1788.5</v>
      </c>
      <c r="K171" s="62">
        <v>1340</v>
      </c>
      <c r="L171" s="62">
        <v>1273.3333333333333</v>
      </c>
      <c r="M171" s="82">
        <v>929.33333333333337</v>
      </c>
      <c r="N171" s="28">
        <v>881</v>
      </c>
      <c r="O171" s="62">
        <v>824.66666666666663</v>
      </c>
      <c r="P171" s="32">
        <v>6.18</v>
      </c>
      <c r="Q171" s="2">
        <v>1200</v>
      </c>
      <c r="X171" s="62"/>
      <c r="AI171"/>
      <c r="AL171" s="6"/>
      <c r="AY171" s="62"/>
      <c r="BJ171" s="6"/>
      <c r="BM171" s="6"/>
      <c r="BO171" s="62"/>
      <c r="JS171" s="2">
        <v>3511.6666666666665</v>
      </c>
      <c r="JT171" s="2">
        <v>300</v>
      </c>
      <c r="JU171" s="2">
        <f t="shared" si="101"/>
        <v>91.457047935453247</v>
      </c>
    </row>
    <row r="172" spans="2:281" s="2" customFormat="1" x14ac:dyDescent="0.2">
      <c r="B172" s="613" t="s">
        <v>57</v>
      </c>
      <c r="C172" s="498" t="s">
        <v>240</v>
      </c>
      <c r="D172" s="3">
        <v>94</v>
      </c>
      <c r="E172" s="3">
        <v>20.7</v>
      </c>
      <c r="F172" s="28">
        <v>20.9</v>
      </c>
      <c r="G172" s="35">
        <v>6.4633333333333338</v>
      </c>
      <c r="H172" s="32">
        <v>7.5100000000000007</v>
      </c>
      <c r="I172" s="82">
        <v>1935.6666666666667</v>
      </c>
      <c r="J172" s="74">
        <v>1816</v>
      </c>
      <c r="K172" s="62">
        <v>1376.6666666666667</v>
      </c>
      <c r="L172" s="62">
        <v>1290</v>
      </c>
      <c r="M172" s="82">
        <v>965.66666666666663</v>
      </c>
      <c r="N172" s="74">
        <v>901.66666666666663</v>
      </c>
      <c r="O172" s="62">
        <v>975</v>
      </c>
      <c r="P172" s="32">
        <v>6.3966666666666656</v>
      </c>
      <c r="Q172" s="2">
        <v>1200</v>
      </c>
      <c r="X172" s="62"/>
      <c r="AI172"/>
      <c r="AL172" s="6"/>
      <c r="AY172" s="62"/>
      <c r="BJ172" s="6"/>
      <c r="BM172" s="6"/>
      <c r="BO172" s="62"/>
      <c r="JS172" s="2">
        <v>2801.6666666666665</v>
      </c>
      <c r="JT172" s="2">
        <v>300</v>
      </c>
      <c r="JU172" s="2">
        <f t="shared" si="101"/>
        <v>89.292088042831651</v>
      </c>
    </row>
    <row r="173" spans="2:281" s="2" customFormat="1" x14ac:dyDescent="0.2">
      <c r="B173" s="613" t="s">
        <v>58</v>
      </c>
      <c r="C173" s="498"/>
      <c r="D173" s="3">
        <v>95</v>
      </c>
      <c r="E173" s="25">
        <v>18.8</v>
      </c>
      <c r="F173" s="9">
        <v>18.8</v>
      </c>
      <c r="G173" s="35">
        <v>6.9066666666666663</v>
      </c>
      <c r="H173" s="32">
        <v>7.6000000000000005</v>
      </c>
      <c r="I173" s="62">
        <v>1385</v>
      </c>
      <c r="J173" s="74">
        <v>1188.3333333333333</v>
      </c>
      <c r="K173" s="62">
        <v>983.66666666666663</v>
      </c>
      <c r="L173" s="62">
        <v>843.66666666666663</v>
      </c>
      <c r="M173" s="82">
        <v>1060</v>
      </c>
      <c r="N173" s="74">
        <v>901</v>
      </c>
      <c r="O173" s="2">
        <v>855</v>
      </c>
      <c r="P173" s="32">
        <v>6.0466666666666669</v>
      </c>
      <c r="Q173" s="2">
        <v>1200</v>
      </c>
      <c r="X173" s="62"/>
      <c r="AI173"/>
      <c r="AL173" s="6"/>
      <c r="AY173" s="62"/>
      <c r="BJ173" s="6"/>
      <c r="BM173" s="6"/>
      <c r="BO173" s="62"/>
      <c r="JS173" s="2">
        <v>2855</v>
      </c>
      <c r="JT173" s="2">
        <v>300</v>
      </c>
      <c r="JU173" s="2">
        <f t="shared" si="101"/>
        <v>89.492119089316986</v>
      </c>
    </row>
    <row r="174" spans="2:281" s="2" customFormat="1" x14ac:dyDescent="0.2">
      <c r="B174" s="614">
        <v>42744</v>
      </c>
      <c r="C174" s="513"/>
      <c r="D174" s="47">
        <v>96</v>
      </c>
      <c r="E174" s="333">
        <v>18</v>
      </c>
      <c r="F174" s="102">
        <v>19.3</v>
      </c>
      <c r="G174" s="42">
        <v>6.8533333333333326</v>
      </c>
      <c r="H174" s="40">
        <v>7.166666666666667</v>
      </c>
      <c r="I174" s="112">
        <v>1397</v>
      </c>
      <c r="J174" s="109">
        <v>1179</v>
      </c>
      <c r="K174" s="71">
        <v>990.33333333333337</v>
      </c>
      <c r="L174" s="71">
        <v>835.66666666666663</v>
      </c>
      <c r="M174" s="112">
        <v>1066.6666666666667</v>
      </c>
      <c r="N174" s="109">
        <v>892</v>
      </c>
      <c r="O174" s="71">
        <v>937</v>
      </c>
      <c r="P174" s="40">
        <v>6.376666666666666</v>
      </c>
      <c r="Q174" s="2">
        <v>1200</v>
      </c>
      <c r="X174" s="62"/>
      <c r="AI174"/>
      <c r="AL174" s="6"/>
      <c r="AY174" s="62"/>
      <c r="BJ174" s="6"/>
      <c r="BM174" s="6"/>
      <c r="BO174" s="62"/>
      <c r="JS174" s="2">
        <v>3070</v>
      </c>
      <c r="JT174" s="2">
        <v>300</v>
      </c>
      <c r="JU174" s="2">
        <f t="shared" si="101"/>
        <v>90.22801302931596</v>
      </c>
    </row>
    <row r="175" spans="2:281" s="2" customFormat="1" x14ac:dyDescent="0.2">
      <c r="B175" s="622">
        <v>42834</v>
      </c>
      <c r="C175" s="498" t="s">
        <v>244</v>
      </c>
      <c r="D175" s="56">
        <v>99</v>
      </c>
      <c r="E175" s="56">
        <v>20.399999999999999</v>
      </c>
      <c r="F175" s="58">
        <v>20.2</v>
      </c>
      <c r="G175" s="522">
        <v>6.6366666666666667</v>
      </c>
      <c r="H175" s="279">
        <v>7.6999999999999993</v>
      </c>
      <c r="I175" s="85">
        <v>1673</v>
      </c>
      <c r="J175" s="64">
        <v>1617.3333333333333</v>
      </c>
      <c r="K175" s="53">
        <v>1193.3333333333333</v>
      </c>
      <c r="L175" s="64">
        <v>1146.6666666666667</v>
      </c>
      <c r="M175" s="85">
        <v>1006.6666666666666</v>
      </c>
      <c r="N175" s="64">
        <v>964</v>
      </c>
      <c r="O175" s="53">
        <v>985</v>
      </c>
      <c r="P175" s="279">
        <v>7.9649999999999999</v>
      </c>
      <c r="Q175" s="2">
        <v>1200</v>
      </c>
      <c r="X175" s="62"/>
      <c r="AI175"/>
      <c r="AL175" s="6"/>
      <c r="AY175" s="62"/>
      <c r="BJ175" s="6"/>
      <c r="BK175" s="6"/>
      <c r="BM175" s="6"/>
      <c r="BO175" s="62"/>
      <c r="JS175" s="2">
        <v>4090</v>
      </c>
      <c r="JT175" s="2">
        <v>300</v>
      </c>
      <c r="JU175" s="2">
        <f t="shared" si="101"/>
        <v>92.665036674816619</v>
      </c>
    </row>
    <row r="176" spans="2:281" s="2" customFormat="1" x14ac:dyDescent="0.2">
      <c r="B176" s="613">
        <v>42864</v>
      </c>
      <c r="C176" s="498" t="s">
        <v>261</v>
      </c>
      <c r="D176" s="3">
        <v>100</v>
      </c>
      <c r="E176" s="3">
        <v>20.6</v>
      </c>
      <c r="F176" s="28">
        <v>20.399999999999999</v>
      </c>
      <c r="G176" s="35">
        <v>7.126666666666666</v>
      </c>
      <c r="H176" s="32">
        <v>7.8966666666666656</v>
      </c>
      <c r="I176" s="82">
        <v>1454.3333333333333</v>
      </c>
      <c r="J176" s="74">
        <v>1689.6666666666667</v>
      </c>
      <c r="K176" s="62">
        <v>1030</v>
      </c>
      <c r="L176" s="74">
        <v>1196.6666666666667</v>
      </c>
      <c r="M176" s="82">
        <v>840</v>
      </c>
      <c r="N176" s="74">
        <v>980.33333333333337</v>
      </c>
      <c r="O176" s="62">
        <v>724.5</v>
      </c>
      <c r="P176" s="32">
        <v>9.16</v>
      </c>
      <c r="Q176" s="2">
        <v>1200</v>
      </c>
      <c r="X176" s="62"/>
      <c r="AI176"/>
      <c r="AL176" s="6"/>
      <c r="AY176" s="62"/>
      <c r="BJ176" s="6"/>
      <c r="BM176" s="6"/>
      <c r="BO176" s="62"/>
      <c r="JS176" s="2">
        <v>3661.6666666666665</v>
      </c>
      <c r="JT176" s="2">
        <v>300</v>
      </c>
      <c r="JU176" s="2">
        <f t="shared" si="101"/>
        <v>91.807009558488843</v>
      </c>
    </row>
    <row r="177" spans="2:281" s="2" customFormat="1" x14ac:dyDescent="0.2">
      <c r="B177" s="613">
        <v>42895</v>
      </c>
      <c r="C177" s="498" t="s">
        <v>240</v>
      </c>
      <c r="D177" s="3">
        <v>101</v>
      </c>
      <c r="E177" s="3">
        <v>20.8</v>
      </c>
      <c r="F177" s="28">
        <v>20.3</v>
      </c>
      <c r="G177" s="35">
        <v>6.5666666666666664</v>
      </c>
      <c r="H177" s="32">
        <v>7.580000000000001</v>
      </c>
      <c r="I177" s="82">
        <v>1586</v>
      </c>
      <c r="J177" s="28">
        <v>1606</v>
      </c>
      <c r="K177" s="62">
        <v>1120</v>
      </c>
      <c r="L177" s="74">
        <v>1143.3333333333333</v>
      </c>
      <c r="M177" s="82">
        <v>945</v>
      </c>
      <c r="N177" s="74">
        <v>960</v>
      </c>
      <c r="O177" s="62">
        <v>541</v>
      </c>
      <c r="P177" s="32">
        <v>6.96</v>
      </c>
      <c r="Q177" s="2">
        <v>1200</v>
      </c>
      <c r="X177" s="62"/>
      <c r="AI177"/>
      <c r="AL177" s="6"/>
      <c r="AY177" s="62"/>
      <c r="BJ177" s="6"/>
      <c r="BM177" s="6"/>
      <c r="BO177" s="62"/>
      <c r="JS177" s="2">
        <v>4020</v>
      </c>
      <c r="JT177" s="2">
        <v>300</v>
      </c>
      <c r="JU177" s="2">
        <f t="shared" si="101"/>
        <v>92.537313432835816</v>
      </c>
    </row>
    <row r="178" spans="2:281" s="2" customFormat="1" x14ac:dyDescent="0.2">
      <c r="B178" s="613">
        <v>42925</v>
      </c>
      <c r="C178" s="498"/>
      <c r="D178" s="3">
        <v>102</v>
      </c>
      <c r="E178" s="3">
        <v>19.8</v>
      </c>
      <c r="F178" s="28">
        <v>19.7</v>
      </c>
      <c r="G178" s="35">
        <v>6.46</v>
      </c>
      <c r="H178" s="32">
        <v>7.6133333333333333</v>
      </c>
      <c r="I178" s="82">
        <v>1041</v>
      </c>
      <c r="J178" s="74">
        <v>1192.3333333333333</v>
      </c>
      <c r="K178" s="62">
        <v>738.66666666666663</v>
      </c>
      <c r="L178" s="74">
        <v>846.66666666666663</v>
      </c>
      <c r="M178" s="82">
        <v>848</v>
      </c>
      <c r="N178" s="74">
        <v>929.66666666666663</v>
      </c>
      <c r="O178" s="62">
        <v>715.66666666666663</v>
      </c>
      <c r="P178" s="32">
        <v>9.32</v>
      </c>
      <c r="Q178" s="2">
        <v>1200</v>
      </c>
      <c r="X178" s="62"/>
      <c r="AI178"/>
      <c r="AL178" s="6"/>
      <c r="AW178" s="632"/>
      <c r="AX178" s="632"/>
      <c r="AY178" s="62"/>
      <c r="BO178" s="62"/>
      <c r="JS178" s="2">
        <v>3490</v>
      </c>
      <c r="JT178" s="2">
        <v>300</v>
      </c>
      <c r="JU178" s="2">
        <f t="shared" si="101"/>
        <v>91.404011461318049</v>
      </c>
    </row>
    <row r="179" spans="2:281" s="2" customFormat="1" x14ac:dyDescent="0.2">
      <c r="B179" s="614">
        <v>42956</v>
      </c>
      <c r="C179" s="513"/>
      <c r="D179" s="47">
        <v>103</v>
      </c>
      <c r="E179" s="3">
        <v>21.1</v>
      </c>
      <c r="F179" s="28">
        <v>19.8</v>
      </c>
      <c r="G179" s="42">
        <v>6.2100000000000009</v>
      </c>
      <c r="H179" s="40">
        <v>7.626666666666666</v>
      </c>
      <c r="I179" s="112">
        <v>1582.5</v>
      </c>
      <c r="J179" s="109">
        <v>1610</v>
      </c>
      <c r="K179" s="71">
        <v>1116.6666666666667</v>
      </c>
      <c r="L179" s="109">
        <v>1155</v>
      </c>
      <c r="M179" s="112">
        <v>939.66666666666663</v>
      </c>
      <c r="N179" s="109">
        <v>938.5</v>
      </c>
      <c r="O179" s="71">
        <v>808.5</v>
      </c>
      <c r="P179" s="40">
        <v>11.983333333333334</v>
      </c>
      <c r="Q179" s="2">
        <v>1200</v>
      </c>
      <c r="X179" s="62"/>
      <c r="AI179"/>
      <c r="AL179" s="6"/>
      <c r="AW179" s="632"/>
      <c r="AX179" s="632"/>
      <c r="AY179" s="62"/>
      <c r="BJ179" s="6"/>
      <c r="BM179" s="6"/>
      <c r="BO179" s="62"/>
      <c r="JS179" s="2">
        <v>3560</v>
      </c>
      <c r="JT179" s="2">
        <v>300</v>
      </c>
      <c r="JU179" s="2">
        <f t="shared" si="101"/>
        <v>91.573033707865164</v>
      </c>
    </row>
    <row r="180" spans="2:281" s="2" customFormat="1" x14ac:dyDescent="0.2">
      <c r="B180" s="622">
        <v>43048</v>
      </c>
      <c r="C180" s="498" t="s">
        <v>244</v>
      </c>
      <c r="D180" s="56">
        <v>106</v>
      </c>
      <c r="E180" s="56">
        <v>20.7</v>
      </c>
      <c r="F180" s="58">
        <v>20.6</v>
      </c>
      <c r="G180" s="535">
        <v>7.0266666666666673</v>
      </c>
      <c r="H180" s="279">
        <v>7.4466666666666663</v>
      </c>
      <c r="I180" s="59">
        <v>2405</v>
      </c>
      <c r="J180" s="64">
        <v>1401</v>
      </c>
      <c r="K180" s="53">
        <v>1693.3333333333333</v>
      </c>
      <c r="L180" s="64">
        <v>991.33333333333337</v>
      </c>
      <c r="M180" s="53">
        <v>1413.3333333333333</v>
      </c>
      <c r="N180" s="64">
        <v>806</v>
      </c>
      <c r="O180" s="53">
        <v>917.66666666666663</v>
      </c>
      <c r="P180" s="279">
        <v>10.06</v>
      </c>
      <c r="Q180" s="2">
        <v>1200</v>
      </c>
      <c r="X180" s="62"/>
      <c r="AI180"/>
      <c r="AL180" s="6"/>
      <c r="AW180" s="632"/>
      <c r="AX180" s="632"/>
      <c r="AY180" s="62"/>
      <c r="BJ180" s="6"/>
      <c r="BK180" s="6"/>
      <c r="BM180" s="6"/>
      <c r="BO180" s="62"/>
      <c r="JS180" s="2">
        <v>3613.3333333333335</v>
      </c>
      <c r="JT180" s="2">
        <v>300</v>
      </c>
      <c r="JU180" s="2">
        <f t="shared" si="101"/>
        <v>91.697416974169741</v>
      </c>
    </row>
    <row r="181" spans="2:281" s="2" customFormat="1" x14ac:dyDescent="0.2">
      <c r="B181" s="613">
        <v>43078</v>
      </c>
      <c r="C181" s="498" t="s">
        <v>262</v>
      </c>
      <c r="D181" s="3">
        <v>107</v>
      </c>
      <c r="E181" s="3">
        <v>21.4</v>
      </c>
      <c r="F181" s="28">
        <v>21.3</v>
      </c>
      <c r="G181" s="35">
        <v>6.6466666666666656</v>
      </c>
      <c r="H181" s="6">
        <v>6.8933333333333335</v>
      </c>
      <c r="I181" s="3">
        <v>1316</v>
      </c>
      <c r="J181" s="2">
        <v>1253</v>
      </c>
      <c r="K181" s="82">
        <v>935</v>
      </c>
      <c r="L181" s="2">
        <v>889</v>
      </c>
      <c r="M181" s="82">
        <v>762</v>
      </c>
      <c r="N181" s="62">
        <v>710.5</v>
      </c>
      <c r="O181" s="82">
        <v>854</v>
      </c>
      <c r="P181" s="32">
        <v>25.1</v>
      </c>
      <c r="Q181" s="2">
        <v>1200</v>
      </c>
      <c r="X181" s="62"/>
      <c r="AI181"/>
      <c r="AL181" s="6"/>
      <c r="AY181" s="62"/>
      <c r="BJ181" s="6"/>
      <c r="BM181" s="6"/>
      <c r="BO181" s="62"/>
      <c r="JS181" s="2">
        <v>5583.333333333333</v>
      </c>
      <c r="JT181" s="2">
        <v>300</v>
      </c>
      <c r="JU181" s="2">
        <f t="shared" si="101"/>
        <v>94.626865671641795</v>
      </c>
    </row>
    <row r="182" spans="2:281" s="2" customFormat="1" x14ac:dyDescent="0.2">
      <c r="B182" s="613" t="s">
        <v>59</v>
      </c>
      <c r="C182" s="498" t="s">
        <v>240</v>
      </c>
      <c r="D182" s="3">
        <v>108</v>
      </c>
      <c r="E182" s="3">
        <v>19.5</v>
      </c>
      <c r="F182" s="28">
        <v>20.2</v>
      </c>
      <c r="G182" s="35">
        <v>6.2733333333333334</v>
      </c>
      <c r="H182" s="32">
        <v>6.6166666666666671</v>
      </c>
      <c r="I182" s="82">
        <v>1234.3333333333333</v>
      </c>
      <c r="J182" s="74">
        <v>1249.6666666666667</v>
      </c>
      <c r="K182" s="82">
        <v>877.66666666666663</v>
      </c>
      <c r="L182" s="28">
        <v>886</v>
      </c>
      <c r="M182" s="82">
        <v>730.66666666666663</v>
      </c>
      <c r="N182" s="74">
        <v>738.66666666666663</v>
      </c>
      <c r="O182" s="82">
        <v>604</v>
      </c>
      <c r="P182" s="32">
        <v>18.79</v>
      </c>
      <c r="Q182" s="2">
        <v>1200</v>
      </c>
      <c r="X182" s="62"/>
      <c r="AI182"/>
      <c r="AL182" s="6"/>
      <c r="AY182" s="62"/>
      <c r="BJ182" s="6"/>
      <c r="BM182" s="6"/>
      <c r="BO182" s="62"/>
      <c r="JS182" s="2">
        <v>3605</v>
      </c>
      <c r="JT182" s="2">
        <v>300</v>
      </c>
      <c r="JU182" s="2">
        <f t="shared" si="101"/>
        <v>91.678224687933437</v>
      </c>
    </row>
    <row r="183" spans="2:281" s="2" customFormat="1" x14ac:dyDescent="0.2">
      <c r="B183" s="613" t="s">
        <v>60</v>
      </c>
      <c r="C183" s="498"/>
      <c r="D183" s="3">
        <v>109</v>
      </c>
      <c r="E183" s="3">
        <v>21.2</v>
      </c>
      <c r="F183" s="28">
        <v>20.6</v>
      </c>
      <c r="G183" s="6">
        <v>6.253333333333333</v>
      </c>
      <c r="H183" s="32">
        <v>7.4233333333333329</v>
      </c>
      <c r="I183" s="62">
        <v>1087.5</v>
      </c>
      <c r="J183" s="74">
        <v>1371.3333333333333</v>
      </c>
      <c r="K183" s="62">
        <v>747.5</v>
      </c>
      <c r="L183" s="74">
        <v>974.33333333333337</v>
      </c>
      <c r="M183" s="62">
        <v>618</v>
      </c>
      <c r="N183" s="74">
        <v>815.66666666666663</v>
      </c>
      <c r="O183" s="62">
        <v>669.33333333333337</v>
      </c>
      <c r="P183" s="32">
        <v>31.966666666666669</v>
      </c>
      <c r="Q183" s="2">
        <v>1200</v>
      </c>
      <c r="X183" s="62"/>
      <c r="AI183"/>
      <c r="AL183" s="6"/>
      <c r="AY183" s="62"/>
      <c r="BJ183" s="6"/>
      <c r="BM183" s="6"/>
      <c r="BO183" s="62"/>
      <c r="JS183" s="2">
        <v>3896.6666666666665</v>
      </c>
      <c r="JT183" s="2">
        <v>300</v>
      </c>
      <c r="JU183" s="2">
        <f t="shared" si="101"/>
        <v>92.301112061591112</v>
      </c>
    </row>
    <row r="184" spans="2:281" s="2" customFormat="1" x14ac:dyDescent="0.2">
      <c r="B184" s="614" t="s">
        <v>61</v>
      </c>
      <c r="C184" s="513"/>
      <c r="D184" s="47">
        <v>110</v>
      </c>
      <c r="E184" s="25">
        <v>21</v>
      </c>
      <c r="F184" s="28">
        <v>20.8</v>
      </c>
      <c r="G184" s="6">
        <v>6.72</v>
      </c>
      <c r="H184" s="32">
        <v>7.8133333333333326</v>
      </c>
      <c r="I184" s="62">
        <v>1370.3333333333333</v>
      </c>
      <c r="J184" s="74">
        <v>1381</v>
      </c>
      <c r="K184" s="62">
        <v>969.33333333333337</v>
      </c>
      <c r="L184" s="74">
        <v>981</v>
      </c>
      <c r="M184" s="2">
        <v>790</v>
      </c>
      <c r="N184" s="74">
        <v>797.66666666666663</v>
      </c>
      <c r="O184" s="71">
        <v>982.5</v>
      </c>
      <c r="P184" s="40">
        <v>13.526666666666666</v>
      </c>
      <c r="Q184" s="2">
        <v>1200</v>
      </c>
      <c r="X184" s="62"/>
      <c r="AI184"/>
      <c r="AL184" s="6"/>
      <c r="AY184" s="62"/>
      <c r="BJ184" s="6"/>
      <c r="BM184" s="6"/>
      <c r="BO184" s="62"/>
      <c r="JS184" s="2">
        <v>2516.6666666666665</v>
      </c>
      <c r="JT184" s="2">
        <v>300</v>
      </c>
      <c r="JU184" s="2">
        <f>((JS184-JT184)/(JS184))*100</f>
        <v>88.079470198675494</v>
      </c>
    </row>
    <row r="185" spans="2:281" s="2" customFormat="1" x14ac:dyDescent="0.2">
      <c r="B185" s="622" t="s">
        <v>62</v>
      </c>
      <c r="C185" s="498" t="s">
        <v>251</v>
      </c>
      <c r="D185" s="56">
        <v>113</v>
      </c>
      <c r="E185" s="633">
        <v>20.7</v>
      </c>
      <c r="F185" s="634">
        <v>20.5</v>
      </c>
      <c r="G185" s="635">
        <v>6.36</v>
      </c>
      <c r="H185" s="636">
        <v>7.3166666666666664</v>
      </c>
      <c r="I185" s="84">
        <v>1027.6666666666667</v>
      </c>
      <c r="J185" s="63">
        <v>1068.6666666666667</v>
      </c>
      <c r="K185" s="52">
        <v>730</v>
      </c>
      <c r="L185" s="63">
        <v>758.66666666666663</v>
      </c>
      <c r="M185" s="52">
        <v>839.33333333333337</v>
      </c>
      <c r="N185" s="63">
        <v>830.66666666666663</v>
      </c>
      <c r="O185" s="85">
        <v>764</v>
      </c>
      <c r="P185" s="279">
        <v>8.39</v>
      </c>
      <c r="Q185" s="2">
        <v>1200</v>
      </c>
      <c r="X185" s="62"/>
      <c r="AI185"/>
      <c r="AL185" s="6"/>
      <c r="AY185" s="62"/>
      <c r="BO185" s="62"/>
      <c r="JS185" s="2">
        <v>5796.666666666667</v>
      </c>
      <c r="JT185" s="2">
        <v>300</v>
      </c>
      <c r="JU185" s="2">
        <f t="shared" ref="JU185:JU210" si="102">((JS185-JT185)/(JS185))*100</f>
        <v>94.824611845888441</v>
      </c>
    </row>
    <row r="186" spans="2:281" s="2" customFormat="1" x14ac:dyDescent="0.2">
      <c r="B186" s="613" t="s">
        <v>63</v>
      </c>
      <c r="C186" s="498" t="s">
        <v>263</v>
      </c>
      <c r="D186" s="3">
        <v>114</v>
      </c>
      <c r="E186" s="24">
        <v>19.899999999999999</v>
      </c>
      <c r="F186" s="8">
        <v>19.600000000000001</v>
      </c>
      <c r="G186" s="34">
        <v>6.2266666666666666</v>
      </c>
      <c r="H186" s="5">
        <v>7.0933333333333337</v>
      </c>
      <c r="I186" s="81">
        <v>973.33333333333337</v>
      </c>
      <c r="J186" s="73">
        <v>1021</v>
      </c>
      <c r="K186" s="61">
        <v>691.33333333333337</v>
      </c>
      <c r="L186" s="73">
        <v>725.33333333333337</v>
      </c>
      <c r="M186" s="61">
        <v>791.66666666666663</v>
      </c>
      <c r="N186" s="73">
        <v>790.66666666666663</v>
      </c>
      <c r="O186" s="82">
        <v>908</v>
      </c>
      <c r="P186" s="32">
        <v>11.1</v>
      </c>
      <c r="Q186" s="2">
        <v>1200</v>
      </c>
      <c r="X186" s="62"/>
      <c r="AI186"/>
      <c r="AL186" s="6"/>
      <c r="AY186" s="62"/>
      <c r="BO186" s="62"/>
      <c r="JS186" s="2">
        <v>3538.3333333333335</v>
      </c>
      <c r="JT186" s="2">
        <v>300</v>
      </c>
      <c r="JU186" s="2">
        <f t="shared" si="102"/>
        <v>91.521431935939717</v>
      </c>
    </row>
    <row r="187" spans="2:281" s="2" customFormat="1" x14ac:dyDescent="0.2">
      <c r="B187" s="613" t="s">
        <v>64</v>
      </c>
      <c r="C187" s="498" t="s">
        <v>240</v>
      </c>
      <c r="D187" s="3">
        <v>115</v>
      </c>
      <c r="E187" s="24">
        <v>20.9</v>
      </c>
      <c r="F187" s="8">
        <v>20.9</v>
      </c>
      <c r="G187" s="34">
        <v>6.13</v>
      </c>
      <c r="H187" s="5">
        <v>7.0733333333333333</v>
      </c>
      <c r="I187" s="81">
        <v>999</v>
      </c>
      <c r="J187" s="73">
        <v>1152</v>
      </c>
      <c r="K187" s="61">
        <v>710</v>
      </c>
      <c r="L187" s="73">
        <v>817.33333333333337</v>
      </c>
      <c r="M187" s="61">
        <v>819.66666666666663</v>
      </c>
      <c r="N187" s="73">
        <v>898</v>
      </c>
      <c r="O187" s="82">
        <v>831.33333333333337</v>
      </c>
      <c r="P187" s="32">
        <v>56.75</v>
      </c>
      <c r="Q187" s="2">
        <v>1200</v>
      </c>
      <c r="X187" s="62"/>
      <c r="AI187"/>
      <c r="AL187" s="6"/>
      <c r="BO187" s="62"/>
      <c r="JS187" s="2">
        <v>5203.333333333333</v>
      </c>
      <c r="JT187" s="2">
        <v>300</v>
      </c>
      <c r="JU187" s="2">
        <f t="shared" si="102"/>
        <v>94.234465086483027</v>
      </c>
    </row>
    <row r="188" spans="2:281" s="2" customFormat="1" x14ac:dyDescent="0.2">
      <c r="B188" s="613" t="s">
        <v>264</v>
      </c>
      <c r="C188" s="498"/>
      <c r="D188" s="3">
        <v>116</v>
      </c>
      <c r="E188" s="29">
        <v>20</v>
      </c>
      <c r="F188">
        <v>20</v>
      </c>
      <c r="G188" s="34">
        <v>6.31</v>
      </c>
      <c r="H188" s="5">
        <v>7.72</v>
      </c>
      <c r="I188" s="81">
        <v>1270.5</v>
      </c>
      <c r="J188" s="73">
        <v>1519</v>
      </c>
      <c r="K188" s="61">
        <v>912</v>
      </c>
      <c r="L188" s="73">
        <v>1085</v>
      </c>
      <c r="M188" s="61">
        <v>714.5</v>
      </c>
      <c r="N188" s="73">
        <v>852</v>
      </c>
      <c r="O188" s="82">
        <v>667.66666666666663</v>
      </c>
      <c r="P188" s="32">
        <v>25.5</v>
      </c>
      <c r="Q188" s="2">
        <v>1200</v>
      </c>
      <c r="X188" s="62"/>
      <c r="AI188"/>
      <c r="AL188" s="6"/>
      <c r="BA188" s="6"/>
      <c r="BJ188" s="6"/>
      <c r="BM188" s="6"/>
      <c r="BO188" s="62"/>
      <c r="JS188" s="2">
        <v>5080</v>
      </c>
      <c r="JT188" s="2">
        <v>300</v>
      </c>
      <c r="JU188" s="2">
        <f t="shared" si="102"/>
        <v>94.094488188976371</v>
      </c>
    </row>
    <row r="189" spans="2:281" s="2" customFormat="1" x14ac:dyDescent="0.2">
      <c r="B189" s="614" t="s">
        <v>66</v>
      </c>
      <c r="C189" s="513"/>
      <c r="D189" s="47">
        <v>117</v>
      </c>
      <c r="E189" s="46">
        <v>21.3</v>
      </c>
      <c r="F189" s="19">
        <v>21.1</v>
      </c>
      <c r="G189" s="41">
        <v>6.38</v>
      </c>
      <c r="H189" s="37">
        <v>7.87</v>
      </c>
      <c r="I189" s="111">
        <v>1055.6666666666667</v>
      </c>
      <c r="J189" s="108">
        <v>1124.6666666666667</v>
      </c>
      <c r="K189" s="70">
        <v>748.66666666666663</v>
      </c>
      <c r="L189" s="108">
        <v>796.33333333333337</v>
      </c>
      <c r="M189" s="70">
        <v>792.66666666666663</v>
      </c>
      <c r="N189" s="108">
        <v>844.33333333333337</v>
      </c>
      <c r="O189" s="112">
        <v>996.5</v>
      </c>
      <c r="P189" s="40">
        <v>11.62</v>
      </c>
      <c r="Q189" s="2">
        <v>1200</v>
      </c>
      <c r="X189" s="62"/>
      <c r="AI189"/>
      <c r="AL189" s="6"/>
      <c r="BA189" s="6"/>
      <c r="BJ189" s="6"/>
      <c r="BM189" s="6"/>
      <c r="BO189" s="62"/>
      <c r="JS189" s="2">
        <v>4116.666666666667</v>
      </c>
      <c r="JT189" s="2">
        <v>300</v>
      </c>
      <c r="JU189" s="2">
        <f t="shared" si="102"/>
        <v>92.712550607287454</v>
      </c>
    </row>
    <row r="190" spans="2:281" s="2" customFormat="1" x14ac:dyDescent="0.2">
      <c r="B190" s="613" t="s">
        <v>67</v>
      </c>
      <c r="C190" s="498" t="s">
        <v>251</v>
      </c>
      <c r="D190" s="498">
        <v>120</v>
      </c>
      <c r="E190" s="9">
        <v>19.2</v>
      </c>
      <c r="F190" s="9">
        <v>19</v>
      </c>
      <c r="G190" s="522">
        <v>6.4333333333333336</v>
      </c>
      <c r="H190" s="279">
        <v>7.9433333333333325</v>
      </c>
      <c r="I190" s="85">
        <v>1798.5</v>
      </c>
      <c r="J190" s="64">
        <v>1418.3333333333333</v>
      </c>
      <c r="K190" s="85">
        <v>1280</v>
      </c>
      <c r="L190" s="53">
        <v>1010</v>
      </c>
      <c r="M190" s="85">
        <v>1056.6666666666667</v>
      </c>
      <c r="N190" s="64">
        <v>809</v>
      </c>
      <c r="O190" s="53">
        <v>334.33333333333331</v>
      </c>
      <c r="P190" s="87">
        <v>24.066666666666663</v>
      </c>
      <c r="Q190" s="2">
        <v>1200</v>
      </c>
      <c r="X190" s="62"/>
      <c r="AI190"/>
      <c r="AL190" s="6"/>
      <c r="BA190" s="6"/>
      <c r="BJ190" s="6"/>
      <c r="BK190" s="6"/>
      <c r="BM190" s="6"/>
      <c r="BO190" s="62"/>
      <c r="JS190" s="2">
        <v>4275</v>
      </c>
      <c r="JT190" s="2">
        <v>300</v>
      </c>
      <c r="JU190" s="2">
        <f t="shared" si="102"/>
        <v>92.982456140350877</v>
      </c>
    </row>
    <row r="191" spans="2:281" s="2" customFormat="1" x14ac:dyDescent="0.2">
      <c r="B191" s="613" t="s">
        <v>68</v>
      </c>
      <c r="C191" s="498" t="s">
        <v>265</v>
      </c>
      <c r="D191" s="498">
        <v>121</v>
      </c>
      <c r="E191" s="9">
        <v>20.2</v>
      </c>
      <c r="F191" s="9">
        <v>21.9</v>
      </c>
      <c r="G191" s="35">
        <v>6.2100000000000009</v>
      </c>
      <c r="H191" s="32">
        <v>7.47</v>
      </c>
      <c r="I191" s="82">
        <v>1304.6666666666667</v>
      </c>
      <c r="J191" s="74">
        <v>1650.3333333333333</v>
      </c>
      <c r="K191" s="82">
        <v>926</v>
      </c>
      <c r="L191" s="62">
        <v>1170</v>
      </c>
      <c r="M191" s="82">
        <v>747.66666666666663</v>
      </c>
      <c r="N191" s="74">
        <v>995.66666666666663</v>
      </c>
      <c r="O191" s="62">
        <v>881</v>
      </c>
      <c r="P191" s="74">
        <v>234</v>
      </c>
      <c r="Q191" s="2">
        <v>1200</v>
      </c>
      <c r="X191" s="62"/>
      <c r="AI191"/>
      <c r="AL191" s="6"/>
      <c r="BA191" s="6"/>
      <c r="BJ191" s="6"/>
      <c r="BM191" s="6"/>
      <c r="BO191" s="62"/>
      <c r="JS191" s="2">
        <v>6383.333333333333</v>
      </c>
      <c r="JT191" s="2">
        <v>300</v>
      </c>
      <c r="JU191" s="2">
        <f t="shared" si="102"/>
        <v>95.300261096605738</v>
      </c>
    </row>
    <row r="192" spans="2:281" s="2" customFormat="1" x14ac:dyDescent="0.2">
      <c r="B192" s="613" t="s">
        <v>69</v>
      </c>
      <c r="C192" s="498" t="s">
        <v>240</v>
      </c>
      <c r="D192" s="498">
        <v>122</v>
      </c>
      <c r="E192" s="9">
        <v>21.1</v>
      </c>
      <c r="F192" s="9">
        <v>21.1</v>
      </c>
      <c r="G192" s="35">
        <v>6.25</v>
      </c>
      <c r="H192" s="32">
        <v>7.8900000000000006</v>
      </c>
      <c r="I192" s="82">
        <v>1327.6666666666667</v>
      </c>
      <c r="J192" s="74">
        <v>1337.3333333333333</v>
      </c>
      <c r="K192" s="82">
        <v>942.33333333333337</v>
      </c>
      <c r="L192" s="62">
        <v>950.33333333333337</v>
      </c>
      <c r="M192" s="82">
        <v>763</v>
      </c>
      <c r="N192" s="74">
        <v>803.33333333333337</v>
      </c>
      <c r="O192" s="62">
        <v>968.66666666666663</v>
      </c>
      <c r="P192" s="26">
        <v>9.3800000000000008</v>
      </c>
      <c r="Q192" s="2">
        <v>1200</v>
      </c>
      <c r="X192" s="62"/>
      <c r="AI192"/>
      <c r="AL192" s="6"/>
      <c r="AZ192"/>
      <c r="BA192" s="6"/>
      <c r="BJ192" s="6"/>
      <c r="BM192" s="6"/>
      <c r="BO192" s="62"/>
      <c r="JS192" s="2">
        <v>5723.333333333333</v>
      </c>
      <c r="JT192" s="2">
        <v>300</v>
      </c>
      <c r="JU192" s="2">
        <f t="shared" si="102"/>
        <v>94.758299359347703</v>
      </c>
    </row>
    <row r="193" spans="2:281" s="2" customFormat="1" x14ac:dyDescent="0.2">
      <c r="B193" s="613" t="s">
        <v>70</v>
      </c>
      <c r="C193" s="498"/>
      <c r="D193" s="498">
        <v>123</v>
      </c>
      <c r="E193" s="9">
        <v>20.2</v>
      </c>
      <c r="F193" s="9">
        <v>21.9</v>
      </c>
      <c r="G193" s="35">
        <v>6.2100000000000009</v>
      </c>
      <c r="H193" s="32">
        <v>7.47</v>
      </c>
      <c r="I193" s="82">
        <v>1304.6666666666667</v>
      </c>
      <c r="J193" s="74">
        <v>1650.3333333333333</v>
      </c>
      <c r="K193" s="82">
        <v>926</v>
      </c>
      <c r="L193" s="62">
        <v>1170</v>
      </c>
      <c r="M193" s="82">
        <v>747.66666666666663</v>
      </c>
      <c r="N193" s="74">
        <v>995.66666666666663</v>
      </c>
      <c r="O193" s="62">
        <v>933</v>
      </c>
      <c r="P193" s="26">
        <v>9.7666666666666675</v>
      </c>
      <c r="Q193" s="2">
        <v>1200</v>
      </c>
      <c r="X193" s="62"/>
      <c r="AI193"/>
      <c r="AL193" s="6"/>
      <c r="AZ193"/>
      <c r="BA193" s="6"/>
      <c r="BJ193" s="6"/>
      <c r="BM193" s="6"/>
      <c r="BO193" s="62"/>
      <c r="JS193" s="2">
        <v>7253.333333333333</v>
      </c>
      <c r="JT193" s="2">
        <v>300</v>
      </c>
      <c r="JU193" s="2">
        <f t="shared" si="102"/>
        <v>95.86397058823529</v>
      </c>
    </row>
    <row r="194" spans="2:281" s="2" customFormat="1" x14ac:dyDescent="0.2">
      <c r="B194" s="613" t="s">
        <v>71</v>
      </c>
      <c r="C194" s="513"/>
      <c r="D194" s="498">
        <v>124</v>
      </c>
      <c r="E194" s="9">
        <v>21.6</v>
      </c>
      <c r="F194" s="9">
        <v>21.7</v>
      </c>
      <c r="G194" s="42">
        <v>6.54</v>
      </c>
      <c r="H194" s="40">
        <v>8.11</v>
      </c>
      <c r="I194" s="112">
        <v>1401.6666666666667</v>
      </c>
      <c r="J194" s="109">
        <v>1493.6666666666667</v>
      </c>
      <c r="K194" s="112">
        <v>996</v>
      </c>
      <c r="L194" s="71">
        <v>1060</v>
      </c>
      <c r="M194" s="112">
        <v>846</v>
      </c>
      <c r="N194" s="109">
        <v>902.66666666666663</v>
      </c>
      <c r="O194" s="71">
        <v>924</v>
      </c>
      <c r="P194" s="76">
        <v>42.166666666666664</v>
      </c>
      <c r="Q194" s="2">
        <v>1200</v>
      </c>
      <c r="X194" s="62"/>
      <c r="AI194"/>
      <c r="AL194" s="6"/>
      <c r="BA194" s="6"/>
      <c r="BJ194" s="6"/>
      <c r="BM194" s="6"/>
      <c r="BO194" s="62"/>
      <c r="JS194" s="2">
        <v>4338.333333333333</v>
      </c>
      <c r="JT194" s="2">
        <v>300</v>
      </c>
      <c r="JU194" s="2">
        <f t="shared" si="102"/>
        <v>93.084902036112183</v>
      </c>
    </row>
    <row r="195" spans="2:281" s="2" customFormat="1" x14ac:dyDescent="0.2">
      <c r="B195" s="622" t="s">
        <v>255</v>
      </c>
      <c r="C195" s="498" t="s">
        <v>251</v>
      </c>
      <c r="D195" s="475">
        <v>127</v>
      </c>
      <c r="E195" s="56">
        <v>22</v>
      </c>
      <c r="F195" s="59">
        <v>21</v>
      </c>
      <c r="G195" s="522">
        <v>6.46</v>
      </c>
      <c r="H195" s="535">
        <v>7.8166666666666664</v>
      </c>
      <c r="I195" s="56">
        <v>1496</v>
      </c>
      <c r="J195" s="58">
        <v>1596</v>
      </c>
      <c r="K195" s="59">
        <v>1065</v>
      </c>
      <c r="L195" s="58">
        <v>1130</v>
      </c>
      <c r="M195" s="53">
        <v>906.5</v>
      </c>
      <c r="N195" s="64">
        <v>941.33333333333337</v>
      </c>
      <c r="O195" s="53">
        <v>913.33333333333337</v>
      </c>
      <c r="P195" s="87">
        <v>9.6266666666666669</v>
      </c>
      <c r="Q195" s="2">
        <v>1200</v>
      </c>
      <c r="X195" s="62"/>
      <c r="AI195"/>
      <c r="AL195" s="6"/>
      <c r="BA195" s="6"/>
      <c r="BJ195" s="6"/>
      <c r="BK195" s="6"/>
      <c r="BM195" s="6"/>
      <c r="BO195" s="62"/>
      <c r="JS195" s="2">
        <v>10426.666666666666</v>
      </c>
      <c r="JT195" s="2">
        <v>300</v>
      </c>
      <c r="JU195" s="2">
        <f t="shared" si="102"/>
        <v>97.1227621483376</v>
      </c>
    </row>
    <row r="196" spans="2:281" s="2" customFormat="1" x14ac:dyDescent="0.2">
      <c r="B196" s="613">
        <v>42804</v>
      </c>
      <c r="C196" s="498" t="s">
        <v>266</v>
      </c>
      <c r="D196" s="498">
        <v>128</v>
      </c>
      <c r="E196" s="3">
        <v>21.9</v>
      </c>
      <c r="F196" s="2">
        <v>21.4</v>
      </c>
      <c r="G196" s="3">
        <v>6.97</v>
      </c>
      <c r="H196" s="6">
        <v>7.9766666666666666</v>
      </c>
      <c r="I196" s="3">
        <v>2180</v>
      </c>
      <c r="J196" s="74">
        <v>1232.3333333333333</v>
      </c>
      <c r="K196" s="62">
        <v>1550</v>
      </c>
      <c r="L196" s="74">
        <v>872.66666666666663</v>
      </c>
      <c r="M196" s="62">
        <v>996</v>
      </c>
      <c r="N196" s="74">
        <v>939.33333333333337</v>
      </c>
      <c r="O196" s="62">
        <v>489</v>
      </c>
      <c r="P196" s="26">
        <v>20.533333333333331</v>
      </c>
      <c r="Q196" s="2">
        <v>1200</v>
      </c>
      <c r="X196" s="62"/>
      <c r="AI196"/>
      <c r="AL196" s="6"/>
      <c r="AZ196"/>
      <c r="BA196" s="6"/>
      <c r="BO196" s="62"/>
      <c r="JS196" s="2">
        <v>11708.333333333334</v>
      </c>
      <c r="JT196" s="2">
        <v>300</v>
      </c>
      <c r="JU196" s="2">
        <f t="shared" si="102"/>
        <v>97.437722419928832</v>
      </c>
    </row>
    <row r="197" spans="2:281" s="2" customFormat="1" x14ac:dyDescent="0.2">
      <c r="B197" s="613">
        <v>42835</v>
      </c>
      <c r="C197" s="498" t="s">
        <v>240</v>
      </c>
      <c r="D197" s="498">
        <v>129</v>
      </c>
      <c r="E197" s="2">
        <v>19.2</v>
      </c>
      <c r="F197" s="2">
        <v>19.2</v>
      </c>
      <c r="G197" s="35">
        <v>6.7366666666666672</v>
      </c>
      <c r="H197" s="6">
        <v>7.8666666666666671</v>
      </c>
      <c r="I197" s="82">
        <v>1306</v>
      </c>
      <c r="J197" s="74">
        <v>1222.5</v>
      </c>
      <c r="K197" s="62">
        <v>928.33333333333337</v>
      </c>
      <c r="L197" s="74">
        <v>868.33333333333337</v>
      </c>
      <c r="M197" s="62">
        <v>988</v>
      </c>
      <c r="N197" s="74">
        <v>901</v>
      </c>
      <c r="O197" s="62">
        <v>434.33333333333331</v>
      </c>
      <c r="P197" s="26">
        <v>9.6</v>
      </c>
      <c r="Q197" s="2">
        <v>1200</v>
      </c>
      <c r="X197" s="62"/>
      <c r="AI197"/>
      <c r="AL197" s="6"/>
      <c r="BA197" s="6"/>
      <c r="BO197" s="62"/>
      <c r="JS197" s="2">
        <v>3965</v>
      </c>
      <c r="JT197" s="2">
        <v>300</v>
      </c>
      <c r="JU197" s="2">
        <f t="shared" si="102"/>
        <v>92.43379571248424</v>
      </c>
    </row>
    <row r="198" spans="2:281" s="2" customFormat="1" x14ac:dyDescent="0.2">
      <c r="B198" s="613">
        <v>42865</v>
      </c>
      <c r="C198" s="498"/>
      <c r="D198" s="498">
        <v>130</v>
      </c>
      <c r="E198" s="3">
        <v>20.100000000000001</v>
      </c>
      <c r="F198" s="2">
        <v>20</v>
      </c>
      <c r="G198" s="3">
        <v>6.62</v>
      </c>
      <c r="H198" s="6">
        <v>7.9366666666666665</v>
      </c>
      <c r="I198" s="3">
        <v>2380</v>
      </c>
      <c r="J198" s="28">
        <v>2060</v>
      </c>
      <c r="K198" s="2">
        <v>1690</v>
      </c>
      <c r="L198" s="74">
        <v>1463.3333333333333</v>
      </c>
      <c r="M198" s="62">
        <v>1083.3333333333333</v>
      </c>
      <c r="N198" s="74">
        <v>936.33333333333337</v>
      </c>
      <c r="O198" s="62">
        <v>404.5</v>
      </c>
      <c r="P198" s="26">
        <v>17.145</v>
      </c>
      <c r="Q198" s="2">
        <v>1200</v>
      </c>
      <c r="X198" s="62"/>
      <c r="AI198"/>
      <c r="AL198" s="6"/>
      <c r="BA198" s="6"/>
      <c r="BO198" s="62"/>
      <c r="JS198" s="2">
        <v>5240</v>
      </c>
      <c r="JT198" s="2">
        <v>300</v>
      </c>
      <c r="JU198" s="2">
        <f t="shared" si="102"/>
        <v>94.274809160305338</v>
      </c>
    </row>
    <row r="199" spans="2:281" s="2" customFormat="1" x14ac:dyDescent="0.2">
      <c r="B199" s="614">
        <v>42896</v>
      </c>
      <c r="C199" s="513"/>
      <c r="D199" s="513">
        <v>131</v>
      </c>
      <c r="E199" s="47">
        <v>19.899999999999999</v>
      </c>
      <c r="F199" s="45">
        <v>19.600000000000001</v>
      </c>
      <c r="G199" s="42">
        <v>6.793333333333333</v>
      </c>
      <c r="H199" s="38">
        <v>7.2700000000000005</v>
      </c>
      <c r="I199" s="112">
        <v>1380.5</v>
      </c>
      <c r="J199" s="109">
        <v>1300.6666666666667</v>
      </c>
      <c r="K199" s="71">
        <v>980</v>
      </c>
      <c r="L199" s="109">
        <v>924</v>
      </c>
      <c r="M199" s="71">
        <v>1045</v>
      </c>
      <c r="N199" s="109">
        <v>963</v>
      </c>
      <c r="O199" s="71">
        <v>476</v>
      </c>
      <c r="P199" s="76">
        <v>26.8</v>
      </c>
      <c r="Q199" s="2">
        <v>1200</v>
      </c>
      <c r="X199" s="62"/>
      <c r="AI199"/>
      <c r="AL199" s="6"/>
      <c r="BA199" s="6"/>
      <c r="BO199" s="62"/>
      <c r="JS199" s="2">
        <v>3950</v>
      </c>
      <c r="JT199" s="2">
        <v>300</v>
      </c>
      <c r="JU199" s="2">
        <f t="shared" si="102"/>
        <v>92.405063291139243</v>
      </c>
    </row>
    <row r="200" spans="2:281" s="2" customFormat="1" x14ac:dyDescent="0.2">
      <c r="B200" s="622">
        <v>42988</v>
      </c>
      <c r="C200" s="475" t="s">
        <v>251</v>
      </c>
      <c r="D200" s="475">
        <v>134</v>
      </c>
      <c r="E200" s="56">
        <v>19.399999999999999</v>
      </c>
      <c r="F200" s="59">
        <v>19.3</v>
      </c>
      <c r="G200" s="522">
        <v>6.95</v>
      </c>
      <c r="H200" s="535">
        <v>7.6166666666666671</v>
      </c>
      <c r="I200" s="85">
        <v>1456.3333333333333</v>
      </c>
      <c r="J200" s="64">
        <v>2275</v>
      </c>
      <c r="K200" s="53">
        <v>1030</v>
      </c>
      <c r="L200" s="64">
        <v>1613.3333333333333</v>
      </c>
      <c r="M200" s="53">
        <v>1050</v>
      </c>
      <c r="N200" s="64">
        <v>1030</v>
      </c>
      <c r="O200" s="53">
        <v>237</v>
      </c>
      <c r="P200" s="87">
        <v>6.9666666666666677</v>
      </c>
      <c r="Q200" s="2">
        <v>1200</v>
      </c>
      <c r="X200" s="62"/>
      <c r="AI200"/>
      <c r="AL200" s="6"/>
      <c r="BA200" s="6"/>
      <c r="BJ200" s="6"/>
      <c r="BK200" s="6"/>
      <c r="BM200" s="6"/>
      <c r="BO200" s="62"/>
      <c r="JS200" s="2">
        <v>4773.333333333333</v>
      </c>
      <c r="JT200" s="2">
        <v>300</v>
      </c>
      <c r="JU200" s="2">
        <f t="shared" si="102"/>
        <v>93.715083798882688</v>
      </c>
    </row>
    <row r="201" spans="2:281" s="2" customFormat="1" x14ac:dyDescent="0.2">
      <c r="B201" s="613">
        <v>43018</v>
      </c>
      <c r="C201" s="498" t="s">
        <v>267</v>
      </c>
      <c r="D201" s="498">
        <v>135</v>
      </c>
      <c r="E201" s="3">
        <v>22.6</v>
      </c>
      <c r="F201" s="2">
        <v>22.4</v>
      </c>
      <c r="G201" s="35">
        <v>7.0733333333333333</v>
      </c>
      <c r="H201" s="6">
        <v>7.9466666666666663</v>
      </c>
      <c r="I201" s="82">
        <v>1188.6666666666667</v>
      </c>
      <c r="J201" s="74">
        <v>2323.3333333333335</v>
      </c>
      <c r="K201" s="62">
        <v>844.33333333333337</v>
      </c>
      <c r="L201" s="74">
        <v>1653.3333333333333</v>
      </c>
      <c r="M201" s="62">
        <v>909.66666666666663</v>
      </c>
      <c r="N201" s="74">
        <v>1063.3333333333333</v>
      </c>
      <c r="O201" s="62">
        <v>388.66666666666669</v>
      </c>
      <c r="P201" s="26">
        <v>22.570000000000004</v>
      </c>
      <c r="Q201" s="2">
        <v>1200</v>
      </c>
      <c r="X201" s="62"/>
      <c r="AI201"/>
      <c r="AL201" s="6"/>
      <c r="AP201"/>
      <c r="AQ201"/>
      <c r="BA201" s="6"/>
      <c r="BJ201" s="6"/>
      <c r="BM201" s="6"/>
      <c r="BO201" s="62"/>
      <c r="JS201" s="2">
        <v>5413.333333333333</v>
      </c>
      <c r="JT201" s="2">
        <v>300</v>
      </c>
      <c r="JU201" s="2">
        <f t="shared" si="102"/>
        <v>94.458128078817737</v>
      </c>
    </row>
    <row r="202" spans="2:281" s="2" customFormat="1" x14ac:dyDescent="0.2">
      <c r="B202" s="613">
        <v>43049</v>
      </c>
      <c r="C202" s="498" t="s">
        <v>240</v>
      </c>
      <c r="D202" s="498">
        <v>136</v>
      </c>
      <c r="E202" s="3">
        <v>20.6</v>
      </c>
      <c r="F202" s="2">
        <v>20.9</v>
      </c>
      <c r="G202" s="35">
        <v>6.9000000000000012</v>
      </c>
      <c r="H202" s="6">
        <v>7.376666666666666</v>
      </c>
      <c r="I202" s="82">
        <v>1348</v>
      </c>
      <c r="J202" s="74">
        <v>1391.6666666666667</v>
      </c>
      <c r="K202" s="62">
        <v>957.66666666666663</v>
      </c>
      <c r="L202" s="74">
        <v>988</v>
      </c>
      <c r="M202" s="62">
        <v>999.66666666666663</v>
      </c>
      <c r="N202" s="74">
        <v>1036.6666666666667</v>
      </c>
      <c r="O202" s="62">
        <v>393.33333333333331</v>
      </c>
      <c r="P202" s="26">
        <v>40.800000000000004</v>
      </c>
      <c r="Q202" s="2">
        <v>1200</v>
      </c>
      <c r="X202" s="62"/>
      <c r="AI202"/>
      <c r="AL202" s="6"/>
      <c r="AQ202" s="186"/>
      <c r="BA202" s="6"/>
      <c r="BJ202" s="6"/>
      <c r="BM202" s="6"/>
      <c r="JS202" s="2">
        <v>12016.666666666666</v>
      </c>
      <c r="JT202" s="2">
        <v>300</v>
      </c>
      <c r="JU202" s="2">
        <f t="shared" si="102"/>
        <v>97.503467406380025</v>
      </c>
    </row>
    <row r="203" spans="2:281" s="2" customFormat="1" ht="15" x14ac:dyDescent="0.2">
      <c r="B203" s="613">
        <v>43079</v>
      </c>
      <c r="C203" s="498"/>
      <c r="D203" s="498">
        <v>137</v>
      </c>
      <c r="E203" s="3">
        <v>22.2</v>
      </c>
      <c r="F203" s="2">
        <v>21.2</v>
      </c>
      <c r="G203" s="35">
        <v>6.913333333333334</v>
      </c>
      <c r="H203" s="6">
        <v>7.84</v>
      </c>
      <c r="I203" s="82">
        <v>1213</v>
      </c>
      <c r="J203" s="74">
        <v>1364</v>
      </c>
      <c r="K203" s="62">
        <v>858.66666666666663</v>
      </c>
      <c r="L203" s="74">
        <v>968.33333333333337</v>
      </c>
      <c r="M203" s="62">
        <v>922</v>
      </c>
      <c r="N203" s="74">
        <v>1043.3333333333333</v>
      </c>
      <c r="O203" s="62">
        <v>335.66666666666669</v>
      </c>
      <c r="P203" s="26">
        <v>35.033333333333339</v>
      </c>
      <c r="Q203" s="2">
        <v>1200</v>
      </c>
      <c r="X203" s="62"/>
      <c r="BA203" s="6"/>
      <c r="BJ203" s="6"/>
      <c r="BL203" s="6"/>
      <c r="BM203" s="6"/>
      <c r="JS203" s="2">
        <v>7333.333333333333</v>
      </c>
      <c r="JT203" s="2">
        <v>300</v>
      </c>
      <c r="JU203" s="2">
        <f t="shared" si="102"/>
        <v>95.909090909090907</v>
      </c>
    </row>
    <row r="204" spans="2:281" s="2" customFormat="1" x14ac:dyDescent="0.2">
      <c r="B204" s="614" t="s">
        <v>72</v>
      </c>
      <c r="C204" s="513"/>
      <c r="D204" s="513">
        <v>138</v>
      </c>
      <c r="E204" s="111">
        <v>19.899999999999999</v>
      </c>
      <c r="F204" s="19">
        <v>19.899999999999999</v>
      </c>
      <c r="G204" s="41">
        <v>6.7733333333333334</v>
      </c>
      <c r="H204" s="37">
        <v>7.2366666666666672</v>
      </c>
      <c r="I204" s="111">
        <v>1261.3333333333333</v>
      </c>
      <c r="J204" s="108">
        <v>1307.3333333333333</v>
      </c>
      <c r="K204" s="70">
        <v>892.33333333333337</v>
      </c>
      <c r="L204" s="48">
        <v>928</v>
      </c>
      <c r="M204" s="70">
        <v>929.33333333333337</v>
      </c>
      <c r="N204" s="48">
        <v>970</v>
      </c>
      <c r="O204" s="71">
        <v>561.5</v>
      </c>
      <c r="P204" s="76">
        <v>41.45</v>
      </c>
      <c r="Q204" s="2">
        <v>1200</v>
      </c>
      <c r="W204" s="62"/>
      <c r="X204" s="62"/>
      <c r="Z204" s="62"/>
      <c r="AL204" s="62"/>
      <c r="BA204" s="6"/>
      <c r="BJ204" s="6"/>
      <c r="BM204" s="6"/>
      <c r="JS204" s="2">
        <v>4803.333333333333</v>
      </c>
      <c r="JT204" s="2">
        <v>300</v>
      </c>
      <c r="JU204" s="2">
        <f t="shared" si="102"/>
        <v>93.75433726578764</v>
      </c>
    </row>
    <row r="205" spans="2:281" s="2" customFormat="1" ht="15" x14ac:dyDescent="0.2">
      <c r="B205" s="597"/>
      <c r="C205" s="56"/>
      <c r="D205" s="59"/>
      <c r="E205" s="59"/>
      <c r="F205" s="59"/>
      <c r="G205" s="535">
        <f t="shared" ref="G205:O205" si="103">STDEV(G106:G204)</f>
        <v>0.29837752625157987</v>
      </c>
      <c r="H205" s="535">
        <f t="shared" si="103"/>
        <v>0.40780119380568203</v>
      </c>
      <c r="I205" s="53">
        <f t="shared" si="103"/>
        <v>387.84188170905213</v>
      </c>
      <c r="J205" s="53">
        <f>STDEV(J106:J204)</f>
        <v>327.50719384516123</v>
      </c>
      <c r="K205" s="53">
        <f t="shared" si="103"/>
        <v>275.54238470972967</v>
      </c>
      <c r="L205" s="53">
        <f>STDEV(L106:L204)</f>
        <v>232.40032291740744</v>
      </c>
      <c r="M205" s="53">
        <f t="shared" si="103"/>
        <v>203.54553513003634</v>
      </c>
      <c r="N205" s="53">
        <f>STDEV(N106:N204)</f>
        <v>133.74948970937538</v>
      </c>
      <c r="O205" s="53">
        <f t="shared" si="103"/>
        <v>233.15600151175789</v>
      </c>
      <c r="P205" s="64"/>
      <c r="W205" s="62"/>
      <c r="X205" s="62"/>
      <c r="Z205" s="62"/>
      <c r="AA205" s="62"/>
      <c r="AL205" s="62"/>
      <c r="BA205" s="6"/>
      <c r="BJ205" s="6"/>
      <c r="JS205" s="2">
        <v>12490</v>
      </c>
      <c r="JT205" s="2">
        <v>300</v>
      </c>
      <c r="JU205" s="2">
        <f t="shared" si="102"/>
        <v>97.598078462770218</v>
      </c>
    </row>
    <row r="206" spans="2:281" s="2" customFormat="1" x14ac:dyDescent="0.2">
      <c r="B206" s="597"/>
      <c r="C206" s="637" t="s">
        <v>268</v>
      </c>
      <c r="D206" s="167" t="s">
        <v>269</v>
      </c>
      <c r="E206" s="167"/>
      <c r="F206" s="167"/>
      <c r="G206" s="167"/>
      <c r="H206" s="638"/>
      <c r="I206" s="554">
        <f>AVERAGE(I143:I204)</f>
        <v>1603.5268817204303</v>
      </c>
      <c r="J206" s="554"/>
      <c r="K206" s="554">
        <f t="shared" ref="K206" si="104">AVERAGE(K143:K204)</f>
        <v>1138.2553763440862</v>
      </c>
      <c r="L206" s="554"/>
      <c r="M206" s="554">
        <f>AVERAGE(M143:M204)</f>
        <v>915.92473118279554</v>
      </c>
      <c r="N206" s="554"/>
      <c r="O206" s="554">
        <f>AVERAGE(O143:O204)</f>
        <v>719.19623655913983</v>
      </c>
      <c r="P206" s="639"/>
      <c r="W206" s="62"/>
      <c r="X206" s="62"/>
      <c r="Z206" s="62"/>
      <c r="AA206" s="62"/>
      <c r="AL206" s="62"/>
      <c r="AQ206"/>
      <c r="BA206" s="6"/>
      <c r="BJ206" s="6"/>
      <c r="JS206" s="2">
        <v>3830</v>
      </c>
      <c r="JT206" s="2">
        <v>300</v>
      </c>
      <c r="JU206" s="2">
        <f t="shared" si="102"/>
        <v>92.167101827676248</v>
      </c>
    </row>
    <row r="207" spans="2:281" s="2" customFormat="1" x14ac:dyDescent="0.2">
      <c r="B207" s="597"/>
      <c r="C207" s="3"/>
      <c r="G207" s="638" t="s">
        <v>270</v>
      </c>
      <c r="H207" s="6"/>
      <c r="I207" s="5" t="s">
        <v>271</v>
      </c>
      <c r="K207" s="5" t="s">
        <v>272</v>
      </c>
      <c r="L207" s="62"/>
      <c r="M207" s="62" t="s">
        <v>273</v>
      </c>
      <c r="N207" s="62"/>
      <c r="O207" s="62" t="s">
        <v>274</v>
      </c>
      <c r="P207" s="26"/>
      <c r="W207" s="62"/>
      <c r="X207" s="62"/>
      <c r="Z207" s="62"/>
      <c r="AA207" s="62"/>
      <c r="AQ207" s="186"/>
      <c r="BA207" s="6"/>
      <c r="BJ207" s="6"/>
      <c r="JS207" s="2">
        <v>3581.6666666666702</v>
      </c>
      <c r="JT207" s="2">
        <v>300</v>
      </c>
      <c r="JU207" s="2">
        <f t="shared" si="102"/>
        <v>91.624011167985117</v>
      </c>
    </row>
    <row r="208" spans="2:281" s="2" customFormat="1" x14ac:dyDescent="0.2">
      <c r="B208" s="640" t="s">
        <v>275</v>
      </c>
      <c r="C208" s="47"/>
      <c r="D208" s="45"/>
      <c r="E208" s="45"/>
      <c r="F208" s="45"/>
      <c r="G208" s="38"/>
      <c r="H208" s="38"/>
      <c r="I208" s="70">
        <f>STDEV(I143:I204)</f>
        <v>413.94083814050322</v>
      </c>
      <c r="J208" s="70"/>
      <c r="K208" s="70">
        <f>STDEV(K143:K204)</f>
        <v>294.44748313716639</v>
      </c>
      <c r="L208" s="70"/>
      <c r="M208" s="70">
        <f t="shared" ref="M208" si="105">STDEV(M143:M204)</f>
        <v>178.88863718792931</v>
      </c>
      <c r="N208" s="70"/>
      <c r="O208" s="70">
        <f>STDEV(O143:O204)</f>
        <v>201.33339332543827</v>
      </c>
      <c r="P208" s="108"/>
      <c r="R208" s="61"/>
      <c r="T208" s="61"/>
      <c r="V208"/>
      <c r="W208" s="62"/>
      <c r="X208" s="62"/>
      <c r="Z208" s="62"/>
      <c r="AA208" s="62"/>
      <c r="AL208" s="62"/>
      <c r="BJ208" s="6"/>
      <c r="BL208" s="6"/>
      <c r="JS208" s="2">
        <v>3618.3333333333335</v>
      </c>
      <c r="JT208" s="2">
        <v>300</v>
      </c>
      <c r="JU208" s="2">
        <f t="shared" si="102"/>
        <v>91.708889912482732</v>
      </c>
    </row>
    <row r="209" spans="2:281" s="2" customFormat="1" ht="15" customHeight="1" x14ac:dyDescent="0.2">
      <c r="B209" s="597"/>
      <c r="D209" s="3" t="s">
        <v>276</v>
      </c>
      <c r="G209" s="505"/>
      <c r="H209" s="42" t="s">
        <v>277</v>
      </c>
      <c r="I209" s="37"/>
      <c r="J209" s="39"/>
      <c r="K209" s="62"/>
      <c r="L209" s="62"/>
      <c r="M209" s="61"/>
      <c r="N209"/>
      <c r="O209" s="61"/>
      <c r="P209" s="6"/>
      <c r="R209" s="61"/>
      <c r="T209" s="61"/>
      <c r="V209" s="61"/>
      <c r="W209" s="62"/>
      <c r="X209" s="62"/>
      <c r="Z209" s="62"/>
      <c r="AA209" s="62"/>
      <c r="AL209" s="62"/>
      <c r="BJ209" s="6"/>
      <c r="JS209" s="2">
        <v>3157.5</v>
      </c>
      <c r="JT209" s="2">
        <v>300</v>
      </c>
      <c r="JU209" s="2">
        <f t="shared" si="102"/>
        <v>90.498812351543947</v>
      </c>
    </row>
    <row r="210" spans="2:281" x14ac:dyDescent="0.2">
      <c r="B210" s="55" t="s">
        <v>150</v>
      </c>
      <c r="C210" s="20" t="s">
        <v>278</v>
      </c>
      <c r="D210" s="21" t="s">
        <v>279</v>
      </c>
      <c r="E210" s="437" t="s">
        <v>280</v>
      </c>
      <c r="F210" s="641" t="s">
        <v>177</v>
      </c>
      <c r="G210" s="126" t="s">
        <v>88</v>
      </c>
      <c r="H210" s="21" t="s">
        <v>279</v>
      </c>
      <c r="I210" s="437" t="s">
        <v>280</v>
      </c>
      <c r="J210" s="641" t="s">
        <v>177</v>
      </c>
      <c r="K210" s="126" t="s">
        <v>88</v>
      </c>
      <c r="M210" s="61"/>
      <c r="O210" s="61"/>
      <c r="P210" s="5"/>
      <c r="R210" s="61"/>
      <c r="T210" s="61"/>
      <c r="W210" s="62"/>
      <c r="X210" s="61"/>
      <c r="Z210" s="62"/>
      <c r="AA210" s="62"/>
      <c r="AL210" s="61"/>
      <c r="AQ210" s="2"/>
      <c r="AZ210" s="2"/>
      <c r="BL210" s="2"/>
      <c r="JS210">
        <v>3885</v>
      </c>
      <c r="JT210" s="2">
        <v>300</v>
      </c>
      <c r="JU210">
        <f t="shared" si="102"/>
        <v>92.277992277992283</v>
      </c>
    </row>
    <row r="211" spans="2:281" x14ac:dyDescent="0.2">
      <c r="B211" s="55" t="s">
        <v>84</v>
      </c>
      <c r="C211" s="57"/>
      <c r="D211">
        <v>6.13</v>
      </c>
      <c r="E211">
        <v>7.61</v>
      </c>
      <c r="F211" s="5">
        <v>6.76</v>
      </c>
      <c r="G211" s="642">
        <v>0.3</v>
      </c>
      <c r="H211" s="29">
        <v>6.29</v>
      </c>
      <c r="I211" s="5">
        <v>8.59</v>
      </c>
      <c r="J211" s="27">
        <v>7.71</v>
      </c>
      <c r="K211" s="643">
        <v>0.42</v>
      </c>
      <c r="M211" s="61"/>
      <c r="O211" s="61"/>
      <c r="P211" s="5"/>
      <c r="R211" s="61"/>
      <c r="T211" s="61"/>
      <c r="W211" s="62"/>
      <c r="X211" s="61"/>
      <c r="Z211" s="62"/>
      <c r="AA211" s="62"/>
      <c r="AQ211" s="2"/>
      <c r="AZ211" s="2"/>
      <c r="BL211" s="2"/>
    </row>
    <row r="212" spans="2:281" x14ac:dyDescent="0.2">
      <c r="B212" s="29" t="s">
        <v>281</v>
      </c>
      <c r="C212" s="27" t="s">
        <v>141</v>
      </c>
      <c r="D212">
        <v>973</v>
      </c>
      <c r="E212">
        <v>2405</v>
      </c>
      <c r="F212" s="61">
        <v>1480</v>
      </c>
      <c r="G212" s="624">
        <v>387.84188170905213</v>
      </c>
      <c r="H212" s="81">
        <v>1021</v>
      </c>
      <c r="I212" s="61">
        <v>2323</v>
      </c>
      <c r="J212" s="73">
        <v>1608</v>
      </c>
      <c r="K212" s="643">
        <v>328</v>
      </c>
      <c r="M212" s="61"/>
      <c r="O212" s="61"/>
      <c r="P212" s="5"/>
      <c r="R212" s="61"/>
      <c r="T212" s="61"/>
      <c r="W212" s="62"/>
      <c r="X212" s="61"/>
      <c r="Z212" s="62"/>
      <c r="AA212" s="62"/>
      <c r="AQ212" s="2"/>
      <c r="AZ212" s="2"/>
      <c r="BL212" s="2"/>
    </row>
    <row r="213" spans="2:281" x14ac:dyDescent="0.2">
      <c r="B213" s="29" t="s">
        <v>129</v>
      </c>
      <c r="C213" s="27" t="s">
        <v>142</v>
      </c>
      <c r="D213">
        <v>691</v>
      </c>
      <c r="E213">
        <v>1693</v>
      </c>
      <c r="F213" s="61">
        <v>1051</v>
      </c>
      <c r="G213" s="624">
        <v>275.54238470972967</v>
      </c>
      <c r="H213" s="81">
        <v>725</v>
      </c>
      <c r="I213" s="61">
        <v>1653</v>
      </c>
      <c r="J213" s="73">
        <v>1142</v>
      </c>
      <c r="K213" s="643"/>
      <c r="M213" s="61"/>
      <c r="O213" s="61"/>
      <c r="P213" s="5"/>
      <c r="R213" s="61"/>
      <c r="T213" s="61"/>
      <c r="W213" s="62"/>
      <c r="X213" s="61"/>
      <c r="Z213" s="62"/>
      <c r="AA213" s="62"/>
      <c r="AQ213" s="2"/>
      <c r="BL213" s="6"/>
    </row>
    <row r="214" spans="2:281" x14ac:dyDescent="0.2">
      <c r="B214" s="29" t="s">
        <v>130</v>
      </c>
      <c r="C214" s="27" t="s">
        <v>142</v>
      </c>
      <c r="D214">
        <v>513</v>
      </c>
      <c r="E214">
        <v>1413</v>
      </c>
      <c r="F214" s="61">
        <v>818</v>
      </c>
      <c r="G214" s="643">
        <v>204</v>
      </c>
      <c r="H214" s="81"/>
      <c r="I214" s="61"/>
      <c r="J214" s="73"/>
      <c r="K214" s="643"/>
      <c r="M214" s="61"/>
      <c r="O214" s="61"/>
      <c r="P214" s="5"/>
      <c r="Q214" s="2"/>
      <c r="R214" s="61"/>
      <c r="T214" s="61"/>
      <c r="W214" s="62"/>
      <c r="Z214" s="62"/>
      <c r="AA214" s="62"/>
      <c r="AQ214" s="2"/>
      <c r="BL214" s="2"/>
    </row>
    <row r="215" spans="2:281" x14ac:dyDescent="0.2">
      <c r="B215" s="29" t="s">
        <v>134</v>
      </c>
      <c r="C215" s="27" t="s">
        <v>144</v>
      </c>
      <c r="D215">
        <v>131</v>
      </c>
      <c r="E215">
        <v>997</v>
      </c>
      <c r="F215" s="61">
        <v>610</v>
      </c>
      <c r="G215" s="643">
        <v>233</v>
      </c>
      <c r="H215" s="81"/>
      <c r="I215" s="61"/>
      <c r="J215" s="73"/>
      <c r="K215" s="643"/>
      <c r="M215" s="61"/>
      <c r="N215" s="61"/>
      <c r="O215" s="61"/>
      <c r="P215" s="5"/>
      <c r="R215" s="61"/>
      <c r="T215" s="61"/>
      <c r="W215" s="62"/>
      <c r="Z215" s="62"/>
      <c r="AQ215" s="2"/>
      <c r="BL215" s="2"/>
    </row>
    <row r="216" spans="2:281" x14ac:dyDescent="0.2">
      <c r="B216" s="29" t="s">
        <v>132</v>
      </c>
      <c r="C216" s="27" t="s">
        <v>143</v>
      </c>
      <c r="D216">
        <v>126</v>
      </c>
      <c r="E216">
        <v>8200</v>
      </c>
      <c r="F216" s="61">
        <v>1192</v>
      </c>
      <c r="G216" s="643">
        <v>1456</v>
      </c>
      <c r="H216" s="81">
        <v>12.5</v>
      </c>
      <c r="I216" s="61">
        <v>160</v>
      </c>
      <c r="J216" s="73">
        <v>63</v>
      </c>
      <c r="K216" s="643">
        <v>38</v>
      </c>
      <c r="M216" s="61"/>
      <c r="N216" s="61"/>
      <c r="O216" s="61"/>
      <c r="P216" s="5"/>
      <c r="T216" s="61"/>
      <c r="W216" s="62"/>
      <c r="Z216" s="62"/>
      <c r="AQ216" s="2"/>
      <c r="BL216" s="2"/>
    </row>
    <row r="217" spans="2:281" x14ac:dyDescent="0.2">
      <c r="B217" s="3" t="s">
        <v>133</v>
      </c>
      <c r="C217" s="28" t="s">
        <v>143</v>
      </c>
      <c r="D217" s="2">
        <v>16.100000000000001</v>
      </c>
      <c r="E217" s="2">
        <v>22.7</v>
      </c>
      <c r="F217" s="8">
        <v>20.399999999999999</v>
      </c>
      <c r="G217" s="498">
        <v>1.18</v>
      </c>
      <c r="H217" s="81">
        <v>20</v>
      </c>
      <c r="I217" s="61">
        <v>1465</v>
      </c>
      <c r="J217" s="73">
        <v>774</v>
      </c>
      <c r="K217" s="643">
        <v>343</v>
      </c>
      <c r="L217" s="2"/>
      <c r="M217" s="61"/>
      <c r="N217" s="61"/>
      <c r="O217" s="61"/>
      <c r="P217" s="5"/>
      <c r="R217" s="61"/>
      <c r="T217" s="61"/>
      <c r="W217" s="62"/>
      <c r="Z217" s="62"/>
      <c r="AQ217" s="2"/>
      <c r="BL217" s="2"/>
    </row>
    <row r="218" spans="2:281" x14ac:dyDescent="0.2">
      <c r="B218" s="3" t="s">
        <v>131</v>
      </c>
      <c r="C218" s="28" t="s">
        <v>143</v>
      </c>
      <c r="D218">
        <v>2195</v>
      </c>
      <c r="E218">
        <v>12490</v>
      </c>
      <c r="F218" s="61">
        <v>4311</v>
      </c>
      <c r="G218" s="643">
        <v>2312</v>
      </c>
      <c r="H218" s="82">
        <v>482</v>
      </c>
      <c r="I218" s="61">
        <v>973.66666666666663</v>
      </c>
      <c r="J218" s="73">
        <v>729</v>
      </c>
      <c r="K218" s="643">
        <v>98</v>
      </c>
      <c r="L218" s="2"/>
      <c r="M218" s="8"/>
      <c r="N218" s="8"/>
      <c r="O218" s="61"/>
      <c r="P218" s="5"/>
      <c r="R218" s="62"/>
      <c r="T218" s="61"/>
      <c r="W218" s="62"/>
      <c r="Z218" s="62"/>
      <c r="AQ218" s="2"/>
      <c r="BL218" s="6"/>
    </row>
    <row r="219" spans="2:281" x14ac:dyDescent="0.2">
      <c r="B219" s="3" t="s">
        <v>136</v>
      </c>
      <c r="C219" s="28" t="s">
        <v>143</v>
      </c>
      <c r="D219" s="2">
        <v>79</v>
      </c>
      <c r="E219" s="2">
        <v>443</v>
      </c>
      <c r="F219" s="2">
        <v>183</v>
      </c>
      <c r="G219" s="498">
        <v>64</v>
      </c>
      <c r="H219" s="81">
        <v>103</v>
      </c>
      <c r="I219" s="61">
        <v>283</v>
      </c>
      <c r="J219" s="73">
        <v>177</v>
      </c>
      <c r="K219" s="643">
        <v>36</v>
      </c>
      <c r="L219" s="2"/>
      <c r="M219" s="61"/>
      <c r="P219" s="5"/>
      <c r="R219" s="61"/>
      <c r="T219" s="61"/>
      <c r="W219" s="62"/>
      <c r="Z219" s="62"/>
      <c r="AQ219" s="2"/>
      <c r="BL219" s="2"/>
    </row>
    <row r="220" spans="2:281" x14ac:dyDescent="0.2">
      <c r="B220" s="3" t="s">
        <v>282</v>
      </c>
      <c r="C220" s="28" t="s">
        <v>143</v>
      </c>
      <c r="D220" s="2">
        <v>0.03</v>
      </c>
      <c r="E220" s="5">
        <v>22.7</v>
      </c>
      <c r="F220" s="2">
        <v>2.33</v>
      </c>
      <c r="G220" s="642">
        <v>3.76</v>
      </c>
      <c r="H220" s="34">
        <v>1.07</v>
      </c>
      <c r="I220" s="5">
        <v>24</v>
      </c>
      <c r="J220" s="31">
        <v>12.12</v>
      </c>
      <c r="K220" s="643">
        <v>6.98</v>
      </c>
      <c r="L220" s="2"/>
      <c r="M220" s="61"/>
      <c r="O220" s="61"/>
      <c r="P220" s="5"/>
      <c r="R220" s="62"/>
      <c r="T220" s="61"/>
      <c r="W220" s="62"/>
      <c r="Z220" s="62"/>
      <c r="AA220" s="62"/>
      <c r="AQ220" s="2"/>
      <c r="BL220" s="2"/>
    </row>
    <row r="221" spans="2:281" x14ac:dyDescent="0.2">
      <c r="B221" s="3" t="s">
        <v>185</v>
      </c>
      <c r="C221" s="28" t="s">
        <v>143</v>
      </c>
      <c r="D221" s="2">
        <v>29</v>
      </c>
      <c r="E221" s="2">
        <v>54</v>
      </c>
      <c r="F221" s="2">
        <v>38</v>
      </c>
      <c r="G221" s="498">
        <v>6.2</v>
      </c>
      <c r="H221" s="81">
        <v>21</v>
      </c>
      <c r="I221" s="61">
        <v>46</v>
      </c>
      <c r="J221" s="73">
        <v>31</v>
      </c>
      <c r="K221" s="643">
        <v>6</v>
      </c>
      <c r="L221" s="2"/>
      <c r="M221" s="61"/>
      <c r="O221" s="61"/>
      <c r="P221" s="5"/>
      <c r="Q221" s="2"/>
      <c r="T221" s="61"/>
      <c r="W221" s="62"/>
      <c r="Z221" s="62"/>
      <c r="AA221" s="62"/>
      <c r="AQ221" s="2"/>
      <c r="BL221" s="2"/>
    </row>
    <row r="222" spans="2:281" x14ac:dyDescent="0.2">
      <c r="B222" s="29" t="s">
        <v>283</v>
      </c>
      <c r="C222" s="28" t="s">
        <v>143</v>
      </c>
      <c r="D222" s="2">
        <v>105</v>
      </c>
      <c r="E222" s="2">
        <v>898</v>
      </c>
      <c r="F222" s="2">
        <v>375</v>
      </c>
      <c r="G222" s="498">
        <v>213</v>
      </c>
      <c r="H222" s="81">
        <v>82</v>
      </c>
      <c r="I222" s="61">
        <v>402</v>
      </c>
      <c r="J222" s="73">
        <v>124</v>
      </c>
      <c r="K222" s="643">
        <v>118</v>
      </c>
      <c r="L222" s="2"/>
      <c r="M222" s="61"/>
      <c r="O222" s="61"/>
      <c r="P222" s="5"/>
      <c r="R222" s="61"/>
      <c r="T222" s="61"/>
      <c r="W222" s="62"/>
      <c r="Z222" s="62"/>
      <c r="AA222" s="62"/>
      <c r="AQ222" s="2"/>
      <c r="BL222" s="2"/>
    </row>
    <row r="223" spans="2:281" x14ac:dyDescent="0.2">
      <c r="B223" s="29" t="s">
        <v>284</v>
      </c>
      <c r="C223" s="28" t="s">
        <v>143</v>
      </c>
      <c r="D223" s="2">
        <v>322</v>
      </c>
      <c r="E223" s="2">
        <v>923</v>
      </c>
      <c r="F223" s="2">
        <v>499</v>
      </c>
      <c r="G223" s="498">
        <v>158</v>
      </c>
      <c r="H223" s="81">
        <v>347</v>
      </c>
      <c r="I223" s="61">
        <v>933</v>
      </c>
      <c r="J223" s="73">
        <v>588</v>
      </c>
      <c r="K223" s="643">
        <v>163</v>
      </c>
      <c r="L223" s="2"/>
      <c r="M223" s="61"/>
      <c r="O223" s="61"/>
      <c r="P223" s="5"/>
      <c r="R223" s="61"/>
      <c r="T223" s="61"/>
      <c r="W223" s="62"/>
      <c r="Y223" s="61"/>
      <c r="Z223" s="99"/>
      <c r="AA223" s="62"/>
      <c r="AD223" s="61"/>
      <c r="AF223" s="61"/>
      <c r="AG223" s="61"/>
      <c r="AH223" s="61"/>
      <c r="AI223" s="61"/>
      <c r="AQ223" s="2"/>
      <c r="BL223" s="6"/>
    </row>
    <row r="224" spans="2:281" x14ac:dyDescent="0.2">
      <c r="B224" s="29" t="s">
        <v>285</v>
      </c>
      <c r="C224" s="28" t="s">
        <v>143</v>
      </c>
      <c r="D224" s="2">
        <v>325</v>
      </c>
      <c r="E224" s="2">
        <v>5000</v>
      </c>
      <c r="F224" s="2">
        <v>1859</v>
      </c>
      <c r="G224" s="498">
        <v>1350</v>
      </c>
      <c r="H224" s="81">
        <v>10</v>
      </c>
      <c r="I224" s="61">
        <v>175</v>
      </c>
      <c r="J224" s="73">
        <v>95</v>
      </c>
      <c r="K224" s="643">
        <v>61.7</v>
      </c>
      <c r="M224" s="8"/>
      <c r="N224" s="8"/>
      <c r="O224" s="8"/>
      <c r="P224" s="5"/>
      <c r="R224" s="61"/>
      <c r="T224" s="61"/>
      <c r="W224" s="62"/>
      <c r="Y224" s="61"/>
      <c r="Z224" s="106"/>
      <c r="AA224" s="62"/>
      <c r="AD224" s="61"/>
      <c r="AF224" s="61"/>
      <c r="AG224" s="61"/>
      <c r="AH224" s="61"/>
      <c r="AI224" s="61"/>
      <c r="AQ224" s="2"/>
      <c r="BL224" s="2"/>
    </row>
    <row r="225" spans="2:64" x14ac:dyDescent="0.2">
      <c r="B225" s="46" t="s">
        <v>286</v>
      </c>
      <c r="C225" s="49" t="s">
        <v>143</v>
      </c>
      <c r="D225" s="45">
        <v>122</v>
      </c>
      <c r="E225" s="45">
        <v>1710</v>
      </c>
      <c r="F225" s="70">
        <v>537</v>
      </c>
      <c r="G225" s="630">
        <v>474</v>
      </c>
      <c r="H225" s="111">
        <v>24</v>
      </c>
      <c r="I225" s="70">
        <v>100</v>
      </c>
      <c r="J225" s="108">
        <v>51</v>
      </c>
      <c r="K225" s="630">
        <v>22.2</v>
      </c>
      <c r="M225" s="8"/>
      <c r="N225" s="8"/>
      <c r="P225" s="5"/>
      <c r="R225" s="61"/>
      <c r="T225" s="61"/>
      <c r="W225" s="2"/>
      <c r="Y225" s="61"/>
      <c r="Z225" s="106"/>
      <c r="AA225" s="62"/>
      <c r="AB225" s="61"/>
      <c r="AC225" s="61"/>
      <c r="AD225" s="61"/>
      <c r="AF225" s="61"/>
      <c r="AG225" s="61"/>
      <c r="AH225" s="61"/>
      <c r="AI225" s="61"/>
      <c r="AQ225" s="2"/>
      <c r="BL225" s="2"/>
    </row>
    <row r="226" spans="2:64" x14ac:dyDescent="0.2">
      <c r="B226" s="29" t="s">
        <v>140</v>
      </c>
      <c r="C226"/>
      <c r="D226" s="86">
        <v>67.209999999999994</v>
      </c>
      <c r="E226" s="88">
        <v>95.35</v>
      </c>
      <c r="F226" s="88">
        <v>80.44</v>
      </c>
      <c r="G226" s="644">
        <f>STDEV(AC106:AC164)</f>
        <v>6.2224471707868156</v>
      </c>
      <c r="I226" s="6"/>
      <c r="J226" s="5"/>
      <c r="K226" s="61"/>
      <c r="L226" s="5"/>
      <c r="M226" s="8"/>
      <c r="N226" s="8"/>
      <c r="O226" s="8"/>
      <c r="P226" s="5"/>
      <c r="R226" s="8"/>
      <c r="T226" s="61"/>
      <c r="Y226" s="61"/>
      <c r="Z226" s="106"/>
      <c r="AA226" s="68"/>
      <c r="AD226" s="61"/>
      <c r="AF226" s="61"/>
      <c r="AG226" s="61"/>
      <c r="AH226" s="61"/>
      <c r="AI226" s="61"/>
      <c r="AQ226" s="2"/>
      <c r="BL226" s="2"/>
    </row>
    <row r="227" spans="2:64" x14ac:dyDescent="0.2">
      <c r="B227" s="29" t="s">
        <v>287</v>
      </c>
      <c r="C227"/>
      <c r="D227" s="25">
        <v>83</v>
      </c>
      <c r="E227" s="9">
        <v>99.166666666666671</v>
      </c>
      <c r="F227" s="9">
        <v>94.2</v>
      </c>
      <c r="G227" s="487">
        <v>4.8</v>
      </c>
      <c r="I227" s="5"/>
      <c r="J227" s="5"/>
      <c r="K227" s="645"/>
      <c r="L227" s="5"/>
      <c r="M227" s="9"/>
      <c r="N227" s="8"/>
      <c r="O227" s="8"/>
      <c r="P227" s="5"/>
      <c r="R227" s="61"/>
      <c r="Y227" s="61"/>
      <c r="Z227" s="99"/>
      <c r="AA227" s="68"/>
      <c r="AD227" s="61"/>
      <c r="AF227" s="61"/>
      <c r="AG227" s="61"/>
      <c r="AH227" s="61"/>
      <c r="AI227" s="61"/>
      <c r="AQ227" s="2"/>
      <c r="BL227" s="2"/>
    </row>
    <row r="228" spans="2:64" x14ac:dyDescent="0.2">
      <c r="B228"/>
      <c r="C228"/>
      <c r="D228" s="646">
        <v>60.439560439560502</v>
      </c>
      <c r="E228" s="110">
        <v>99.648506151142357</v>
      </c>
      <c r="F228" s="110">
        <v>89.012432320669404</v>
      </c>
      <c r="G228" s="647">
        <v>9.5068092830229958</v>
      </c>
      <c r="I228" s="5"/>
      <c r="J228" s="5"/>
      <c r="K228" s="502"/>
      <c r="L228" s="5"/>
      <c r="M228" s="9"/>
      <c r="N228" s="8"/>
      <c r="O228" s="8"/>
      <c r="P228" s="5"/>
      <c r="Q228" s="8"/>
      <c r="R228" s="61"/>
      <c r="W228" s="2"/>
      <c r="Y228" s="61"/>
      <c r="Z228" s="106"/>
      <c r="AA228" s="61"/>
      <c r="AB228" s="61"/>
      <c r="AC228" s="61"/>
      <c r="AD228" s="61"/>
      <c r="AF228" s="61"/>
      <c r="AG228" s="61"/>
      <c r="AH228" s="61"/>
      <c r="AI228" s="61"/>
      <c r="AQ228" s="2"/>
      <c r="BL228" s="6"/>
    </row>
    <row r="229" spans="2:64" x14ac:dyDescent="0.2">
      <c r="B229"/>
      <c r="C229"/>
      <c r="F229"/>
      <c r="I229" s="5"/>
      <c r="J229" s="5"/>
      <c r="K229" s="502"/>
      <c r="L229" s="5"/>
      <c r="M229" s="8"/>
      <c r="N229" s="8"/>
      <c r="O229" s="8"/>
      <c r="P229" s="8"/>
      <c r="Q229" s="9"/>
      <c r="R229" s="61"/>
      <c r="T229" s="8"/>
      <c r="Y229" s="61"/>
      <c r="Z229" s="106"/>
      <c r="AA229" s="61"/>
      <c r="AD229" s="61"/>
      <c r="AF229" s="61"/>
      <c r="AG229" s="61"/>
      <c r="AH229" s="61"/>
      <c r="AI229" s="61"/>
      <c r="AQ229" s="2"/>
      <c r="BL229" s="2"/>
    </row>
    <row r="230" spans="2:64" x14ac:dyDescent="0.2">
      <c r="B230" s="602" t="s">
        <v>288</v>
      </c>
      <c r="C230" s="602" t="s">
        <v>137</v>
      </c>
      <c r="D230" s="602" t="s">
        <v>138</v>
      </c>
      <c r="E230" s="602" t="s">
        <v>289</v>
      </c>
      <c r="F230" s="616" t="s">
        <v>290</v>
      </c>
      <c r="G230" s="617" t="s">
        <v>291</v>
      </c>
      <c r="H230" s="617" t="s">
        <v>292</v>
      </c>
      <c r="I230" s="648" t="s">
        <v>293</v>
      </c>
      <c r="K230" s="645"/>
      <c r="L230" s="5"/>
      <c r="M230" s="8"/>
      <c r="N230" s="8"/>
      <c r="O230" s="8"/>
      <c r="P230" s="8"/>
      <c r="Q230" s="8"/>
      <c r="R230" s="61"/>
      <c r="T230" s="8"/>
      <c r="Y230" s="61"/>
      <c r="Z230" s="106"/>
      <c r="AA230" s="61"/>
      <c r="AD230" s="61"/>
      <c r="AF230" s="61"/>
      <c r="AG230" s="61"/>
      <c r="AH230" s="61"/>
      <c r="AI230" s="61"/>
      <c r="AQ230" s="2"/>
      <c r="BL230" s="2"/>
    </row>
    <row r="231" spans="2:64" x14ac:dyDescent="0.2">
      <c r="B231" s="3">
        <v>28</v>
      </c>
      <c r="C231" s="3">
        <v>55</v>
      </c>
      <c r="D231" s="3">
        <v>1.18</v>
      </c>
      <c r="E231" s="24">
        <v>74.125447316631281</v>
      </c>
      <c r="F231" s="643"/>
      <c r="G231" s="27">
        <v>45.3</v>
      </c>
      <c r="H231" s="73">
        <v>93.360195360195405</v>
      </c>
      <c r="I231" s="73">
        <v>692.71212121212102</v>
      </c>
      <c r="K231" s="502"/>
      <c r="L231" s="5"/>
      <c r="M231" s="8"/>
      <c r="N231" s="8"/>
      <c r="O231" s="8"/>
      <c r="P231" s="8"/>
      <c r="Q231" s="9"/>
      <c r="R231" s="61"/>
      <c r="T231" s="8"/>
      <c r="W231" s="2"/>
      <c r="Y231" s="61"/>
      <c r="Z231" s="106"/>
      <c r="AA231" s="61"/>
      <c r="AB231" s="61"/>
      <c r="AC231" s="61"/>
      <c r="AD231" s="61"/>
      <c r="AF231" s="61"/>
      <c r="AG231" s="61"/>
      <c r="AH231" s="61"/>
      <c r="AI231" s="61"/>
      <c r="AQ231" s="2"/>
      <c r="BL231" s="2"/>
    </row>
    <row r="232" spans="2:64" x14ac:dyDescent="0.2">
      <c r="B232" s="3">
        <v>29</v>
      </c>
      <c r="C232" s="3">
        <v>96</v>
      </c>
      <c r="D232" s="3">
        <v>0.78</v>
      </c>
      <c r="E232" s="24">
        <v>78.009110443503857</v>
      </c>
      <c r="F232" s="643"/>
      <c r="G232" s="27">
        <v>82.8</v>
      </c>
      <c r="H232" s="73">
        <v>93.779761904761912</v>
      </c>
      <c r="I232" s="73">
        <v>684.16666666666663</v>
      </c>
      <c r="K232" s="502"/>
      <c r="L232" s="5"/>
      <c r="M232" s="8"/>
      <c r="N232" s="8"/>
      <c r="O232" s="8"/>
      <c r="P232" s="9"/>
      <c r="Q232" s="9"/>
      <c r="R232" s="61"/>
      <c r="T232" s="8"/>
      <c r="Y232" s="61"/>
      <c r="Z232" s="99"/>
      <c r="AA232" s="68"/>
      <c r="AD232" s="61"/>
      <c r="AF232" s="61"/>
      <c r="AG232" s="61"/>
      <c r="AH232" s="61"/>
      <c r="AI232" s="61"/>
      <c r="AQ232" s="2"/>
      <c r="BL232" s="2"/>
    </row>
    <row r="233" spans="2:64" x14ac:dyDescent="0.2">
      <c r="B233" s="3">
        <v>27</v>
      </c>
      <c r="C233" s="3">
        <v>48</v>
      </c>
      <c r="D233" s="3">
        <v>1.96</v>
      </c>
      <c r="E233" s="24">
        <v>78.645145739226066</v>
      </c>
      <c r="F233" s="643"/>
      <c r="G233" s="27">
        <v>91.8</v>
      </c>
      <c r="H233" s="73">
        <v>91.387254901960773</v>
      </c>
      <c r="I233" s="73">
        <v>801.63636363636363</v>
      </c>
      <c r="K233" s="502"/>
      <c r="L233" s="5"/>
      <c r="M233" s="9"/>
      <c r="N233" s="8"/>
      <c r="O233" s="8"/>
      <c r="P233" s="8"/>
      <c r="Q233" s="8"/>
      <c r="R233" s="61"/>
      <c r="T233" s="8"/>
      <c r="Y233" s="61"/>
      <c r="Z233" s="106"/>
      <c r="AA233" s="68"/>
      <c r="AD233" s="61"/>
      <c r="AF233" s="61"/>
      <c r="AG233" s="61"/>
      <c r="AH233" s="61"/>
      <c r="AI233" s="61"/>
      <c r="AQ233" s="2"/>
      <c r="BL233" s="6"/>
    </row>
    <row r="234" spans="2:64" x14ac:dyDescent="0.2">
      <c r="B234" s="3">
        <v>28</v>
      </c>
      <c r="C234" s="3">
        <v>36</v>
      </c>
      <c r="D234" s="35">
        <v>4.0999999999999996</v>
      </c>
      <c r="E234" s="24">
        <v>85.527069280594944</v>
      </c>
      <c r="F234" s="643"/>
      <c r="G234" s="27">
        <v>93.6</v>
      </c>
      <c r="H234" s="73">
        <v>95.546215297860044</v>
      </c>
      <c r="I234" s="73">
        <v>798.19696969696986</v>
      </c>
      <c r="K234" s="502"/>
      <c r="L234" s="5"/>
      <c r="M234" s="8"/>
      <c r="N234" s="8"/>
      <c r="O234" s="8"/>
      <c r="P234" s="8"/>
      <c r="Q234" s="8"/>
      <c r="R234" s="61"/>
      <c r="T234" s="8"/>
      <c r="W234" s="2"/>
      <c r="Y234" s="61"/>
      <c r="Z234" s="106"/>
      <c r="AA234" s="68"/>
      <c r="AB234" s="61"/>
      <c r="AC234" s="61"/>
      <c r="AD234" s="61"/>
      <c r="AE234" s="186"/>
      <c r="AF234" s="61"/>
      <c r="AG234" s="61"/>
      <c r="AH234" s="61"/>
      <c r="AI234" s="61"/>
      <c r="AQ234" s="2"/>
      <c r="BL234" s="2"/>
    </row>
    <row r="235" spans="2:64" x14ac:dyDescent="0.2">
      <c r="B235" s="47">
        <v>26</v>
      </c>
      <c r="C235" s="47">
        <v>24</v>
      </c>
      <c r="D235" s="47">
        <v>5.74</v>
      </c>
      <c r="E235" s="646">
        <v>85.414389118782594</v>
      </c>
      <c r="F235" s="649"/>
      <c r="G235" s="48">
        <v>89.7</v>
      </c>
      <c r="H235" s="108">
        <v>92.810204167015314</v>
      </c>
      <c r="I235" s="108">
        <v>692.39393939393949</v>
      </c>
      <c r="J235" s="61"/>
      <c r="K235" s="502"/>
      <c r="L235" s="5"/>
      <c r="M235" s="8"/>
      <c r="N235" s="8"/>
      <c r="O235" s="8"/>
      <c r="P235" s="8"/>
      <c r="Q235" s="8"/>
      <c r="R235" s="61"/>
      <c r="T235" s="61"/>
      <c r="W235" s="2"/>
      <c r="Y235" s="61"/>
      <c r="Z235" s="106"/>
      <c r="AA235" s="62"/>
      <c r="AD235" s="61"/>
      <c r="AF235" s="61"/>
      <c r="AG235" s="61"/>
      <c r="AH235" s="61"/>
      <c r="AI235" s="61"/>
      <c r="AQ235" s="2"/>
      <c r="BL235" s="2"/>
    </row>
    <row r="236" spans="2:64" x14ac:dyDescent="0.2">
      <c r="B236" s="5"/>
      <c r="C236"/>
      <c r="F236"/>
      <c r="I236" s="5"/>
      <c r="J236" s="61"/>
      <c r="K236" s="502"/>
      <c r="L236" s="5"/>
      <c r="M236" s="8"/>
      <c r="N236" s="8"/>
      <c r="O236" s="8"/>
      <c r="P236" s="8"/>
      <c r="Q236" s="8"/>
      <c r="R236" s="61"/>
      <c r="T236" s="61"/>
      <c r="W236" s="2"/>
      <c r="Y236" s="61"/>
      <c r="Z236" s="99"/>
      <c r="AA236" s="62"/>
      <c r="AD236" s="61"/>
      <c r="AF236" s="61"/>
      <c r="AG236" s="61"/>
      <c r="AH236" s="61"/>
      <c r="AI236" s="61"/>
      <c r="AQ236" s="2"/>
      <c r="BL236" s="2"/>
    </row>
    <row r="237" spans="2:64" x14ac:dyDescent="0.2">
      <c r="B237"/>
      <c r="C237"/>
      <c r="I237" s="5"/>
      <c r="J237" s="61"/>
      <c r="K237" s="502"/>
      <c r="L237" s="5"/>
      <c r="M237" s="8"/>
      <c r="N237" s="8"/>
      <c r="O237" s="8"/>
      <c r="P237" s="8"/>
      <c r="Q237" s="8"/>
      <c r="R237" s="61"/>
      <c r="T237" s="61"/>
      <c r="W237" s="2"/>
      <c r="Y237" s="61"/>
      <c r="Z237" s="106"/>
      <c r="AA237" s="62"/>
      <c r="AB237" s="61"/>
      <c r="AC237" s="61"/>
      <c r="AD237" s="61"/>
      <c r="AF237" s="61"/>
      <c r="AG237" s="61"/>
      <c r="AH237" s="61"/>
      <c r="AI237" s="61"/>
      <c r="AQ237" s="2"/>
      <c r="BL237" s="2"/>
    </row>
    <row r="238" spans="2:64" x14ac:dyDescent="0.2">
      <c r="B238"/>
      <c r="C238"/>
      <c r="I238" s="61"/>
      <c r="K238" s="502"/>
      <c r="L238" s="5"/>
      <c r="M238" s="8"/>
      <c r="N238" s="8"/>
      <c r="O238" s="9"/>
      <c r="P238" s="8"/>
      <c r="Q238" s="8"/>
      <c r="R238" s="61"/>
      <c r="T238" s="61"/>
      <c r="W238" s="217"/>
      <c r="Y238" s="61"/>
      <c r="Z238" s="106"/>
      <c r="AA238" s="62"/>
      <c r="AD238" s="61"/>
      <c r="AF238" s="61"/>
      <c r="AG238" s="61"/>
      <c r="AH238" s="61"/>
      <c r="AI238" s="61"/>
      <c r="AQ238" s="2"/>
      <c r="BL238" s="6"/>
    </row>
    <row r="239" spans="2:64" x14ac:dyDescent="0.2">
      <c r="B239"/>
      <c r="C239"/>
      <c r="I239" s="6"/>
      <c r="J239" s="61"/>
      <c r="K239" s="502"/>
      <c r="L239" s="5"/>
      <c r="M239" s="8"/>
      <c r="N239" s="8"/>
      <c r="O239" s="8"/>
      <c r="P239" s="8"/>
      <c r="Q239" s="8"/>
      <c r="R239" s="61"/>
      <c r="T239" s="61"/>
      <c r="W239" s="217"/>
      <c r="X239" s="61"/>
      <c r="Y239" s="61"/>
      <c r="Z239" s="106"/>
      <c r="AA239" s="61"/>
      <c r="AD239" s="61"/>
      <c r="AF239" s="61"/>
      <c r="AG239" s="61"/>
      <c r="AH239" s="61"/>
      <c r="AI239" s="61"/>
      <c r="AQ239" s="2"/>
      <c r="BL239" s="2"/>
    </row>
    <row r="240" spans="2:64" x14ac:dyDescent="0.2">
      <c r="B240"/>
      <c r="C240"/>
      <c r="J240" s="61"/>
      <c r="K240" s="502"/>
      <c r="L240" s="5"/>
      <c r="M240" s="8"/>
      <c r="N240" s="8"/>
      <c r="O240" s="8"/>
      <c r="P240" s="8"/>
      <c r="Q240" s="8"/>
      <c r="R240" s="61"/>
      <c r="T240" s="61"/>
      <c r="W240" s="217"/>
      <c r="X240" s="61"/>
      <c r="Y240" s="61"/>
      <c r="Z240" s="99"/>
      <c r="AA240" s="61"/>
      <c r="AB240" s="61"/>
      <c r="AC240" s="61"/>
      <c r="AD240" s="61"/>
      <c r="AF240" s="61"/>
      <c r="AG240" s="61"/>
      <c r="AH240" s="61"/>
      <c r="AI240" s="61"/>
      <c r="AQ240" s="2"/>
      <c r="BL240" s="2"/>
    </row>
    <row r="241" spans="2:64" x14ac:dyDescent="0.2">
      <c r="B241"/>
      <c r="C241"/>
      <c r="J241" s="61"/>
      <c r="K241" s="502"/>
      <c r="L241" s="5"/>
      <c r="M241" s="8"/>
      <c r="N241" s="8"/>
      <c r="O241" s="8"/>
      <c r="P241" s="8"/>
      <c r="Q241" s="8"/>
      <c r="R241" s="61"/>
      <c r="T241" s="61"/>
      <c r="W241" s="2"/>
      <c r="X241" s="61"/>
      <c r="Y241" s="61"/>
      <c r="Z241" s="99"/>
      <c r="AA241" s="61"/>
      <c r="AF241" s="61"/>
      <c r="AG241" s="61"/>
      <c r="AH241" s="61"/>
      <c r="AI241" s="61"/>
      <c r="AQ241" s="2"/>
      <c r="BL241" s="2"/>
    </row>
    <row r="242" spans="2:64" x14ac:dyDescent="0.2">
      <c r="B242"/>
      <c r="C242"/>
      <c r="K242" s="502"/>
      <c r="L242" s="5"/>
      <c r="M242" s="8"/>
      <c r="N242" s="8"/>
      <c r="O242" s="8"/>
      <c r="P242" s="8"/>
      <c r="Q242" s="8"/>
      <c r="R242" s="61"/>
      <c r="T242" s="61"/>
      <c r="W242" s="2"/>
      <c r="X242" s="61"/>
      <c r="Y242" s="61"/>
      <c r="Z242" s="106"/>
      <c r="AA242" s="62"/>
      <c r="AF242" s="61"/>
      <c r="AG242" s="61"/>
      <c r="AH242" s="61"/>
      <c r="AI242" s="61"/>
      <c r="BI242" s="2"/>
    </row>
    <row r="243" spans="2:64" x14ac:dyDescent="0.2">
      <c r="B243"/>
      <c r="C243"/>
      <c r="J243" s="61"/>
      <c r="K243" s="502"/>
      <c r="L243" s="5"/>
      <c r="M243" s="8"/>
      <c r="N243" s="8"/>
      <c r="O243" s="8"/>
      <c r="P243" s="8"/>
      <c r="Q243" s="8"/>
      <c r="R243" s="61"/>
      <c r="T243" s="61"/>
      <c r="W243" s="2"/>
      <c r="X243" s="61"/>
      <c r="Y243" s="61"/>
      <c r="Z243" s="99"/>
      <c r="AA243" s="62"/>
      <c r="AB243" s="61"/>
      <c r="AC243" s="61"/>
      <c r="AF243" s="61"/>
      <c r="AG243" s="61"/>
      <c r="AH243" s="61"/>
      <c r="AI243" s="61"/>
      <c r="AQ243" s="2"/>
      <c r="BL243" s="6"/>
    </row>
    <row r="244" spans="2:64" x14ac:dyDescent="0.2">
      <c r="B244"/>
      <c r="C244"/>
      <c r="J244" s="61"/>
      <c r="K244" s="502"/>
      <c r="L244" s="5"/>
      <c r="M244" s="8"/>
      <c r="N244" s="8"/>
      <c r="O244" s="8"/>
      <c r="P244" s="8"/>
      <c r="Q244" s="8"/>
      <c r="R244" s="62"/>
      <c r="T244" s="61"/>
      <c r="W244" s="2"/>
      <c r="X244" s="61"/>
      <c r="Y244" s="61"/>
      <c r="Z244" s="99"/>
      <c r="AA244" s="62"/>
      <c r="AE244" s="186"/>
      <c r="AF244" s="61"/>
      <c r="AG244" s="61"/>
      <c r="AH244" s="61"/>
      <c r="AI244" s="61"/>
      <c r="AQ244" s="2"/>
      <c r="BL244" s="2"/>
    </row>
    <row r="245" spans="2:64" x14ac:dyDescent="0.2">
      <c r="B245"/>
      <c r="C245"/>
      <c r="J245" s="61"/>
      <c r="K245" s="502"/>
      <c r="L245" s="5"/>
      <c r="M245" s="8"/>
      <c r="N245" s="8"/>
      <c r="O245" s="8"/>
      <c r="P245" s="8"/>
      <c r="Q245" s="9"/>
      <c r="R245" s="61"/>
      <c r="T245" s="61"/>
      <c r="W245" s="2"/>
      <c r="X245" s="61"/>
      <c r="Y245" s="61"/>
      <c r="Z245" s="99"/>
      <c r="AA245" s="62"/>
      <c r="AF245" s="61"/>
      <c r="AG245" s="61"/>
      <c r="AH245" s="61"/>
      <c r="AI245" s="61"/>
      <c r="AQ245" s="2"/>
      <c r="BL245" s="2"/>
    </row>
    <row r="246" spans="2:64" x14ac:dyDescent="0.2">
      <c r="B246"/>
      <c r="C246"/>
      <c r="K246" s="502"/>
      <c r="L246" s="5"/>
      <c r="M246" s="8"/>
      <c r="N246" s="8"/>
      <c r="O246" s="8"/>
      <c r="P246" s="8"/>
      <c r="Q246" s="8"/>
      <c r="R246" s="61"/>
      <c r="T246" s="61"/>
      <c r="W246" s="2"/>
      <c r="X246" s="61"/>
      <c r="Y246" s="61"/>
      <c r="Z246" s="106"/>
      <c r="AA246" s="62"/>
      <c r="AB246" s="61"/>
      <c r="AC246" s="61"/>
      <c r="AE246" s="186"/>
      <c r="AF246" s="61"/>
      <c r="AG246" s="61"/>
      <c r="AH246" s="61"/>
      <c r="AI246" s="61"/>
      <c r="AQ246" s="2"/>
      <c r="BL246" s="2"/>
    </row>
    <row r="247" spans="2:64" x14ac:dyDescent="0.2">
      <c r="B247"/>
      <c r="C247"/>
      <c r="J247" s="61"/>
      <c r="K247" s="502"/>
      <c r="L247" s="5"/>
      <c r="M247" s="8"/>
      <c r="N247" s="8"/>
      <c r="O247" s="8"/>
      <c r="P247" s="5"/>
      <c r="R247" s="61"/>
      <c r="T247" s="61"/>
      <c r="W247" s="2"/>
      <c r="X247" s="61"/>
      <c r="Y247" s="61"/>
      <c r="Z247" s="99"/>
      <c r="AA247" s="62"/>
      <c r="AE247" s="186"/>
      <c r="AF247" s="61"/>
      <c r="AG247" s="61"/>
      <c r="AH247" s="61"/>
      <c r="AI247" s="61"/>
      <c r="AQ247" s="2"/>
      <c r="BL247" s="2"/>
    </row>
    <row r="248" spans="2:64" x14ac:dyDescent="0.2">
      <c r="B248"/>
      <c r="C248"/>
      <c r="J248" s="61"/>
      <c r="K248" s="502"/>
      <c r="L248" s="5"/>
      <c r="M248" s="61"/>
      <c r="O248" s="61"/>
      <c r="P248" s="6"/>
      <c r="R248" s="61"/>
      <c r="T248" s="61"/>
      <c r="W248" s="2"/>
      <c r="X248" s="61"/>
      <c r="Y248" s="61"/>
      <c r="Z248" s="99"/>
      <c r="AA248" s="62"/>
      <c r="AF248" s="61"/>
      <c r="AG248" s="61"/>
      <c r="AH248" s="61"/>
      <c r="AI248" s="61"/>
      <c r="AQ248" s="2"/>
      <c r="BL248" s="6"/>
    </row>
    <row r="249" spans="2:64" x14ac:dyDescent="0.2">
      <c r="B249"/>
      <c r="C249"/>
      <c r="J249" s="61"/>
      <c r="K249" s="502"/>
      <c r="L249" s="5"/>
      <c r="M249" s="61"/>
      <c r="O249" s="61"/>
      <c r="P249" s="5"/>
      <c r="R249" s="61"/>
      <c r="T249" s="61"/>
      <c r="W249" s="2"/>
      <c r="X249" s="61"/>
      <c r="Y249" s="61"/>
      <c r="Z249" s="106"/>
      <c r="AA249" s="62"/>
      <c r="AB249" s="61"/>
      <c r="AC249" s="61"/>
      <c r="AE249" s="186"/>
      <c r="AF249" s="61"/>
      <c r="AG249" s="61"/>
      <c r="AH249" s="61"/>
      <c r="AI249" s="61"/>
      <c r="AQ249" s="2"/>
      <c r="BL249" s="2"/>
    </row>
    <row r="250" spans="2:64" x14ac:dyDescent="0.2">
      <c r="B250"/>
      <c r="C250"/>
      <c r="K250" s="502"/>
      <c r="L250" s="5"/>
      <c r="M250" s="61"/>
      <c r="P250" s="5"/>
      <c r="R250" s="61"/>
      <c r="T250" s="61"/>
      <c r="W250" s="2"/>
      <c r="X250" s="61"/>
      <c r="Y250" s="61"/>
      <c r="Z250" s="99"/>
      <c r="AA250" s="62"/>
      <c r="AF250" s="61"/>
      <c r="AG250" s="61"/>
      <c r="AH250" s="61"/>
      <c r="AI250" s="61"/>
      <c r="AQ250" s="2"/>
      <c r="BL250" s="2"/>
    </row>
    <row r="251" spans="2:64" x14ac:dyDescent="0.2">
      <c r="B251"/>
      <c r="C251"/>
      <c r="J251" s="61"/>
      <c r="K251" s="502"/>
      <c r="L251" s="5"/>
      <c r="O251" s="61"/>
      <c r="P251" s="5"/>
      <c r="R251" s="61"/>
      <c r="T251" s="61"/>
      <c r="W251" s="2"/>
      <c r="X251" s="61"/>
      <c r="Y251" s="61"/>
      <c r="Z251" s="106"/>
      <c r="AA251" s="61"/>
      <c r="AE251" s="186"/>
      <c r="AF251" s="61"/>
      <c r="AG251" s="61"/>
      <c r="AH251" s="61"/>
      <c r="AI251" s="61"/>
      <c r="AQ251" s="2"/>
      <c r="BL251" s="2"/>
    </row>
    <row r="252" spans="2:64" x14ac:dyDescent="0.2">
      <c r="B252"/>
      <c r="C252"/>
      <c r="J252" s="61"/>
      <c r="K252" s="502"/>
      <c r="L252" s="5"/>
      <c r="O252" s="61"/>
      <c r="P252" s="6"/>
      <c r="R252" s="61"/>
      <c r="T252" s="61"/>
      <c r="X252" s="61"/>
      <c r="Y252" s="61"/>
      <c r="Z252" s="99"/>
      <c r="AA252" s="61"/>
      <c r="AB252" s="61"/>
      <c r="AC252" s="61"/>
      <c r="AE252" s="186"/>
      <c r="AF252" s="61"/>
      <c r="AG252" s="61"/>
      <c r="AH252" s="61"/>
      <c r="AI252" s="61"/>
    </row>
    <row r="253" spans="2:64" x14ac:dyDescent="0.2">
      <c r="B253"/>
      <c r="C253"/>
      <c r="J253" s="61"/>
      <c r="K253" s="502"/>
      <c r="L253" s="5"/>
      <c r="O253" s="61"/>
      <c r="P253" s="5"/>
      <c r="R253" s="61"/>
      <c r="T253" s="61"/>
      <c r="X253" s="61"/>
      <c r="Y253" s="61"/>
      <c r="Z253" s="99"/>
      <c r="AA253" s="62"/>
      <c r="AE253" s="186"/>
      <c r="AF253" s="61"/>
      <c r="AG253" s="61"/>
      <c r="AH253" s="61"/>
      <c r="AI253" s="61"/>
      <c r="AQ253" s="2"/>
      <c r="BL253" s="2"/>
    </row>
    <row r="254" spans="2:64" x14ac:dyDescent="0.2">
      <c r="B254"/>
      <c r="C254"/>
      <c r="J254" s="61"/>
      <c r="K254" s="502"/>
      <c r="L254" s="5"/>
      <c r="O254" s="61"/>
      <c r="P254" s="5"/>
      <c r="R254" s="62"/>
      <c r="T254" s="61"/>
      <c r="X254" s="61"/>
      <c r="Y254" s="61"/>
      <c r="Z254" s="99"/>
      <c r="AA254" s="62"/>
      <c r="AE254" s="186"/>
      <c r="AF254" s="61"/>
      <c r="AG254" s="61"/>
      <c r="AH254" s="61"/>
      <c r="AI254" s="61"/>
      <c r="AQ254" s="2"/>
      <c r="BL254" s="2"/>
    </row>
    <row r="255" spans="2:64" x14ac:dyDescent="0.2">
      <c r="B255"/>
      <c r="C255"/>
      <c r="J255" s="61"/>
      <c r="K255" s="502"/>
      <c r="L255" s="5"/>
      <c r="P255" s="6"/>
      <c r="R255" s="61"/>
      <c r="T255" s="61"/>
      <c r="X255" s="61"/>
      <c r="Y255" s="61"/>
      <c r="Z255" s="99"/>
      <c r="AA255" s="62"/>
      <c r="AB255" s="61"/>
      <c r="AC255" s="61"/>
      <c r="AF255" s="61"/>
      <c r="AG255" s="61"/>
      <c r="AH255" s="61"/>
      <c r="AI255" s="61"/>
      <c r="AQ255" s="2"/>
      <c r="BL255" s="2"/>
    </row>
    <row r="256" spans="2:64" x14ac:dyDescent="0.2">
      <c r="B256"/>
      <c r="C256"/>
      <c r="J256" s="61"/>
      <c r="K256" s="502"/>
      <c r="L256" s="5"/>
      <c r="M256" s="61"/>
      <c r="O256" s="61"/>
      <c r="P256" s="5"/>
      <c r="R256" s="62"/>
      <c r="T256" s="61"/>
      <c r="X256" s="61"/>
      <c r="Y256" s="61"/>
      <c r="Z256" s="99"/>
      <c r="AA256" s="62"/>
      <c r="AE256" s="186"/>
      <c r="AF256" s="61"/>
      <c r="AG256" s="61"/>
      <c r="AH256" s="61"/>
      <c r="AI256" s="61"/>
      <c r="AM256" s="2"/>
      <c r="BL256" s="2"/>
    </row>
    <row r="257" spans="2:64" x14ac:dyDescent="0.2">
      <c r="B257"/>
      <c r="C257"/>
      <c r="J257" s="61"/>
      <c r="K257" s="502"/>
      <c r="L257" s="5"/>
      <c r="M257" s="61"/>
      <c r="P257" s="5"/>
      <c r="R257" s="61"/>
      <c r="T257" s="61"/>
      <c r="X257" s="61"/>
      <c r="Y257" s="61"/>
      <c r="Z257" s="106"/>
      <c r="AA257" s="62"/>
      <c r="AE257" s="186"/>
      <c r="AF257" s="61"/>
      <c r="AG257" s="61"/>
      <c r="AH257" s="61"/>
      <c r="AI257" s="61"/>
      <c r="AQ257" s="2"/>
      <c r="BL257" s="2"/>
    </row>
    <row r="258" spans="2:64" x14ac:dyDescent="0.2">
      <c r="B258"/>
      <c r="C258"/>
      <c r="K258" s="502"/>
      <c r="L258" s="5"/>
      <c r="M258" s="61"/>
      <c r="O258" s="61"/>
      <c r="P258" s="5"/>
      <c r="R258" s="61"/>
      <c r="T258" s="61"/>
      <c r="X258" s="61"/>
      <c r="Y258" s="61"/>
      <c r="Z258" s="106"/>
      <c r="AA258" s="62"/>
      <c r="AB258" s="61"/>
      <c r="AC258" s="61"/>
      <c r="AF258" s="61"/>
      <c r="AG258" s="61"/>
      <c r="AH258" s="61"/>
      <c r="AI258" s="61"/>
      <c r="AQ258" s="2"/>
      <c r="BL258" s="6"/>
    </row>
    <row r="259" spans="2:64" x14ac:dyDescent="0.2">
      <c r="B259"/>
      <c r="C259"/>
      <c r="K259" s="502"/>
      <c r="L259" s="5"/>
      <c r="M259" s="61"/>
      <c r="O259" s="61"/>
      <c r="P259" s="6"/>
      <c r="R259" s="61"/>
      <c r="T259" s="62"/>
      <c r="X259" s="61"/>
      <c r="Y259" s="61"/>
      <c r="Z259" s="99"/>
      <c r="AA259" s="62"/>
      <c r="AF259" s="61"/>
      <c r="AG259" s="61"/>
      <c r="AH259" s="61"/>
      <c r="AI259" s="61"/>
      <c r="AN259" s="2"/>
      <c r="AQ259" s="2"/>
      <c r="BL259" s="2"/>
    </row>
    <row r="260" spans="2:64" x14ac:dyDescent="0.2">
      <c r="B260"/>
      <c r="C260"/>
      <c r="J260" s="61"/>
      <c r="K260" s="502"/>
      <c r="L260" s="5"/>
      <c r="M260" s="61"/>
      <c r="O260" s="61"/>
      <c r="P260" s="5"/>
      <c r="R260" s="61"/>
      <c r="T260" s="61"/>
      <c r="X260" s="61"/>
      <c r="Y260" s="61"/>
      <c r="Z260" s="99"/>
      <c r="AA260" s="62"/>
      <c r="AF260" s="61"/>
      <c r="AG260" s="61"/>
      <c r="AH260" s="61"/>
      <c r="AI260" s="61"/>
      <c r="AQ260" s="2"/>
      <c r="BL260" s="2"/>
    </row>
    <row r="261" spans="2:64" x14ac:dyDescent="0.2">
      <c r="B261"/>
      <c r="C261"/>
      <c r="I261" s="61"/>
      <c r="K261" s="502"/>
      <c r="L261" s="5"/>
      <c r="M261" s="61"/>
      <c r="P261" s="6"/>
      <c r="R261" s="2"/>
      <c r="T261" s="61"/>
      <c r="X261" s="61"/>
      <c r="Y261" s="61"/>
      <c r="Z261" s="99"/>
      <c r="AA261" s="62"/>
      <c r="AB261" s="61"/>
      <c r="AC261" s="61"/>
      <c r="AF261" s="61"/>
      <c r="AG261" s="61"/>
      <c r="AH261" s="61"/>
      <c r="AI261" s="61"/>
      <c r="AQ261" s="2"/>
      <c r="BL261" s="2"/>
    </row>
    <row r="262" spans="2:64" x14ac:dyDescent="0.2">
      <c r="B262" s="597"/>
      <c r="C262" s="62"/>
      <c r="D262" s="61"/>
      <c r="E262" s="61"/>
      <c r="F262" s="2"/>
      <c r="G262" s="5"/>
      <c r="H262" s="5"/>
      <c r="I262" s="61"/>
      <c r="K262" s="502"/>
      <c r="L262" s="5"/>
      <c r="M262" s="61"/>
      <c r="P262" s="5"/>
      <c r="R262" s="2"/>
      <c r="T262" s="61"/>
      <c r="X262" s="61"/>
      <c r="Y262" s="61"/>
      <c r="Z262" s="99"/>
      <c r="AA262" s="62"/>
      <c r="AB262" s="186"/>
      <c r="AF262" s="61"/>
      <c r="AG262" s="61"/>
      <c r="AH262" s="61"/>
      <c r="AI262" s="61"/>
      <c r="AQ262" s="2"/>
      <c r="BL262" s="2"/>
    </row>
    <row r="263" spans="2:64" x14ac:dyDescent="0.2">
      <c r="B263" s="597"/>
      <c r="C263" s="62"/>
      <c r="D263" s="62"/>
      <c r="E263" s="61"/>
      <c r="F263" s="2"/>
      <c r="G263" s="5"/>
      <c r="H263" s="5"/>
      <c r="I263" s="61"/>
      <c r="J263" s="61"/>
      <c r="K263" s="502"/>
      <c r="L263" s="5"/>
      <c r="O263" s="61"/>
      <c r="P263" s="5"/>
      <c r="R263" s="61"/>
      <c r="T263" s="62"/>
      <c r="V263" s="2"/>
      <c r="X263" s="61"/>
      <c r="Y263" s="61"/>
      <c r="Z263" s="99"/>
      <c r="AA263" s="61"/>
      <c r="AF263" s="61"/>
      <c r="AG263" s="61"/>
      <c r="AH263" s="61"/>
      <c r="AI263" s="61"/>
      <c r="BL263" s="6"/>
    </row>
    <row r="264" spans="2:64" x14ac:dyDescent="0.2">
      <c r="B264" s="597"/>
      <c r="C264" s="62"/>
      <c r="D264" s="61"/>
      <c r="E264" s="62"/>
      <c r="G264" s="5"/>
      <c r="H264" s="5"/>
      <c r="I264" s="61"/>
      <c r="K264" s="502"/>
      <c r="L264" s="5"/>
      <c r="O264" s="61"/>
      <c r="P264" s="5"/>
      <c r="R264" s="61"/>
      <c r="T264" s="61"/>
      <c r="V264" s="2"/>
      <c r="X264" s="61"/>
      <c r="Y264" s="61"/>
      <c r="Z264" s="99"/>
      <c r="AA264" s="62"/>
      <c r="AB264" s="61"/>
      <c r="AC264" s="61"/>
      <c r="AF264" s="61"/>
      <c r="AG264" s="61"/>
      <c r="AH264" s="61"/>
      <c r="AI264" s="61"/>
      <c r="BL264" s="2"/>
    </row>
    <row r="265" spans="2:64" x14ac:dyDescent="0.2">
      <c r="B265" s="597"/>
      <c r="C265" s="62"/>
      <c r="D265" s="61"/>
      <c r="E265" s="61"/>
      <c r="G265" s="5"/>
      <c r="H265" s="5"/>
      <c r="I265" s="61"/>
      <c r="K265" s="502"/>
      <c r="L265" s="5"/>
      <c r="O265" s="61"/>
      <c r="P265" s="5"/>
      <c r="R265" s="61"/>
      <c r="T265" s="61"/>
      <c r="X265" s="61"/>
      <c r="Y265" s="61"/>
      <c r="Z265" s="106"/>
      <c r="AA265" s="61"/>
      <c r="AF265" s="61"/>
      <c r="AG265" s="61"/>
      <c r="AH265" s="61"/>
      <c r="AI265" s="61"/>
      <c r="BL265" s="2"/>
    </row>
    <row r="266" spans="2:64" x14ac:dyDescent="0.2">
      <c r="B266" s="597"/>
      <c r="C266" s="62"/>
      <c r="D266" s="650"/>
      <c r="E266" s="61"/>
      <c r="G266" s="5"/>
      <c r="H266" s="5"/>
      <c r="I266" s="61"/>
      <c r="K266" s="502"/>
      <c r="L266" s="5"/>
      <c r="M266" s="5"/>
      <c r="P266" s="6"/>
      <c r="T266" s="61"/>
      <c r="X266" s="61"/>
      <c r="Y266" s="61"/>
      <c r="Z266" s="106"/>
      <c r="AA266" s="61"/>
      <c r="AF266" s="61"/>
      <c r="AG266" s="61"/>
      <c r="AH266" s="61"/>
      <c r="AI266" s="61"/>
      <c r="BL266" s="2"/>
    </row>
    <row r="267" spans="2:64" x14ac:dyDescent="0.2">
      <c r="B267" s="597"/>
      <c r="C267" s="62"/>
      <c r="D267" s="62"/>
      <c r="E267" s="62"/>
      <c r="G267" s="5"/>
      <c r="H267" s="5"/>
      <c r="I267" s="61"/>
      <c r="K267" s="502"/>
      <c r="L267" s="5"/>
      <c r="M267" s="5"/>
      <c r="O267" s="61"/>
      <c r="P267" s="6"/>
      <c r="R267" s="62"/>
      <c r="T267" s="61"/>
      <c r="X267" s="61"/>
      <c r="Y267" s="61"/>
      <c r="Z267" s="106"/>
      <c r="AA267" s="62"/>
      <c r="AB267" s="61"/>
      <c r="AC267" s="61"/>
      <c r="AF267" s="61"/>
      <c r="AG267" s="61"/>
      <c r="AH267" s="61"/>
      <c r="AI267" s="61"/>
      <c r="BL267" s="2"/>
    </row>
    <row r="268" spans="2:64" x14ac:dyDescent="0.2">
      <c r="B268" s="597"/>
      <c r="C268" s="61"/>
      <c r="D268" s="61"/>
      <c r="E268" s="61"/>
      <c r="G268" s="5"/>
      <c r="H268" s="5"/>
      <c r="I268" s="61"/>
      <c r="K268" s="502"/>
      <c r="L268" s="5"/>
      <c r="M268" s="5"/>
      <c r="O268" s="61"/>
      <c r="P268" s="5"/>
      <c r="R268" s="61"/>
      <c r="T268" s="61"/>
      <c r="X268" s="61"/>
      <c r="Y268" s="61"/>
      <c r="Z268" s="106"/>
      <c r="AA268" s="61"/>
      <c r="AF268" s="61"/>
      <c r="AG268" s="61"/>
      <c r="AH268" s="61"/>
      <c r="AI268" s="61"/>
      <c r="BL268" s="6"/>
    </row>
    <row r="269" spans="2:64" x14ac:dyDescent="0.2">
      <c r="B269" s="597"/>
      <c r="C269" s="61"/>
      <c r="D269" s="61"/>
      <c r="E269" s="62"/>
      <c r="G269" s="5"/>
      <c r="H269" s="5"/>
      <c r="I269" s="61"/>
      <c r="L269" s="5"/>
      <c r="M269" s="5"/>
      <c r="O269" s="61"/>
      <c r="X269" s="61"/>
      <c r="Y269" s="61"/>
      <c r="Z269" s="99"/>
      <c r="AA269" s="61"/>
      <c r="AE269" s="186"/>
      <c r="AF269" s="61"/>
      <c r="AG269" s="61"/>
      <c r="AH269" s="61"/>
      <c r="AI269" s="61"/>
      <c r="AK269" s="61"/>
      <c r="BL269" s="2"/>
    </row>
    <row r="270" spans="2:64" x14ac:dyDescent="0.2">
      <c r="B270" s="597"/>
      <c r="C270" s="62"/>
      <c r="D270" s="61"/>
      <c r="E270" s="61"/>
      <c r="G270" s="5"/>
      <c r="H270" s="5"/>
      <c r="I270" s="61"/>
      <c r="K270" s="502"/>
      <c r="L270" s="5"/>
      <c r="M270" s="5"/>
      <c r="O270" s="61"/>
      <c r="T270" s="61"/>
      <c r="X270" s="61"/>
      <c r="Y270" s="61"/>
      <c r="Z270" s="99"/>
      <c r="AA270" s="61"/>
      <c r="AB270" s="61"/>
      <c r="AC270" s="61"/>
      <c r="AE270" s="186"/>
      <c r="AF270" s="61"/>
      <c r="AG270" s="61"/>
      <c r="AH270" s="61"/>
      <c r="AI270" s="61"/>
      <c r="BL270" s="2"/>
    </row>
    <row r="271" spans="2:64" x14ac:dyDescent="0.2">
      <c r="B271" s="597"/>
      <c r="C271" s="62"/>
      <c r="D271" s="62"/>
      <c r="E271" s="61"/>
      <c r="G271" s="5"/>
      <c r="H271" s="5"/>
      <c r="I271" s="61"/>
      <c r="J271" s="61"/>
      <c r="K271" s="502"/>
      <c r="L271" s="5"/>
      <c r="M271" s="5"/>
      <c r="N271" s="2"/>
      <c r="T271" s="61"/>
      <c r="X271" s="61"/>
      <c r="Y271" s="61"/>
      <c r="Z271" s="106"/>
      <c r="AA271" s="61"/>
      <c r="AE271" s="186"/>
      <c r="AF271" s="61"/>
      <c r="AG271" s="61"/>
      <c r="AH271" s="61"/>
      <c r="AI271" s="61"/>
      <c r="BL271" s="2"/>
    </row>
    <row r="272" spans="2:64" x14ac:dyDescent="0.2">
      <c r="B272" s="597"/>
      <c r="C272" s="61"/>
      <c r="D272" s="61"/>
      <c r="E272" s="61"/>
      <c r="G272" s="5"/>
      <c r="H272" s="5"/>
      <c r="I272" s="61"/>
      <c r="J272" s="61"/>
      <c r="K272" s="502"/>
      <c r="L272" s="5"/>
      <c r="M272" s="5"/>
      <c r="T272" s="61"/>
      <c r="X272" s="61"/>
      <c r="Y272" s="61"/>
      <c r="Z272" s="99"/>
      <c r="AA272" s="61"/>
      <c r="AE272" s="186"/>
      <c r="AF272" s="61"/>
      <c r="AG272" s="61"/>
      <c r="AH272" s="61"/>
      <c r="AI272" s="61"/>
      <c r="BL272" s="2"/>
    </row>
    <row r="273" spans="2:64" x14ac:dyDescent="0.2">
      <c r="B273" s="597"/>
      <c r="C273" s="62"/>
      <c r="D273" s="61"/>
      <c r="E273" s="61"/>
      <c r="G273" s="5"/>
      <c r="H273" s="5"/>
      <c r="I273" s="61"/>
      <c r="K273" s="502"/>
      <c r="L273" s="5"/>
      <c r="M273" s="5"/>
      <c r="O273" s="61"/>
      <c r="X273" s="61"/>
      <c r="Y273" s="61"/>
      <c r="Z273" s="99"/>
      <c r="AA273" s="61"/>
      <c r="AB273" s="61"/>
      <c r="AC273" s="61"/>
      <c r="AF273" s="61"/>
      <c r="AG273" s="61"/>
      <c r="AH273" s="61"/>
      <c r="AI273" s="61"/>
      <c r="BL273" s="6"/>
    </row>
    <row r="274" spans="2:64" x14ac:dyDescent="0.2">
      <c r="B274" s="597"/>
      <c r="C274" s="62"/>
      <c r="D274" s="61"/>
      <c r="E274" s="61"/>
      <c r="G274" s="5"/>
      <c r="H274" s="5"/>
      <c r="I274" s="61"/>
      <c r="J274" s="61"/>
      <c r="K274" s="502"/>
      <c r="L274" s="5"/>
      <c r="M274" s="5"/>
      <c r="O274" s="61"/>
      <c r="X274" s="61"/>
      <c r="Y274" s="61"/>
      <c r="Z274" s="99"/>
      <c r="AA274" s="61"/>
      <c r="AF274" s="61"/>
      <c r="AG274" s="61"/>
      <c r="AH274" s="61"/>
      <c r="AI274" s="61"/>
      <c r="BL274" s="2"/>
    </row>
    <row r="275" spans="2:64" x14ac:dyDescent="0.2">
      <c r="B275" s="597"/>
      <c r="C275" s="61"/>
      <c r="D275" s="61"/>
      <c r="E275" s="650"/>
      <c r="G275" s="5"/>
      <c r="H275" s="5"/>
      <c r="I275" s="61"/>
      <c r="K275" s="502"/>
      <c r="L275" s="5"/>
      <c r="M275" s="5"/>
      <c r="O275" s="61"/>
      <c r="X275" s="61"/>
      <c r="Y275" s="61"/>
      <c r="Z275" s="106"/>
      <c r="AA275" s="61"/>
      <c r="AE275" s="186"/>
      <c r="AF275" s="61"/>
      <c r="AG275" s="61"/>
      <c r="AH275" s="61"/>
      <c r="AI275" s="61"/>
      <c r="BL275" s="2"/>
    </row>
    <row r="276" spans="2:64" x14ac:dyDescent="0.2">
      <c r="B276" s="597"/>
      <c r="C276" s="62"/>
      <c r="D276" s="61"/>
      <c r="E276" s="62"/>
      <c r="G276" s="5"/>
      <c r="H276" s="5"/>
      <c r="I276" s="61"/>
      <c r="J276" s="61"/>
      <c r="K276" s="502"/>
      <c r="L276" s="5"/>
      <c r="M276" s="6"/>
      <c r="O276" s="61"/>
      <c r="X276" s="61"/>
      <c r="Y276" s="61"/>
      <c r="Z276" s="99"/>
      <c r="AA276" s="61"/>
      <c r="AB276" s="61"/>
      <c r="AC276" s="61"/>
      <c r="AF276" s="61"/>
      <c r="AG276" s="61"/>
      <c r="AH276" s="61"/>
      <c r="AI276" s="61"/>
      <c r="BL276" s="2"/>
    </row>
    <row r="277" spans="2:64" x14ac:dyDescent="0.2">
      <c r="B277" s="597"/>
      <c r="C277" s="62"/>
      <c r="D277" s="61"/>
      <c r="E277" s="61"/>
      <c r="G277" s="5"/>
      <c r="H277" s="5"/>
      <c r="I277" s="61"/>
      <c r="J277" s="61"/>
      <c r="K277" s="502"/>
      <c r="L277" s="5"/>
      <c r="M277" s="5"/>
      <c r="O277" s="61"/>
      <c r="X277" s="61"/>
      <c r="Y277" s="61"/>
      <c r="Z277" s="99"/>
      <c r="AA277" s="61"/>
      <c r="AF277" s="61"/>
      <c r="AG277" s="61"/>
      <c r="AH277" s="61"/>
      <c r="AI277" s="61"/>
      <c r="BL277" s="2"/>
    </row>
    <row r="278" spans="2:64" x14ac:dyDescent="0.2">
      <c r="B278" s="597"/>
      <c r="C278" s="62"/>
      <c r="D278" s="61"/>
      <c r="E278" s="61"/>
      <c r="G278" s="5"/>
      <c r="H278" s="5"/>
      <c r="I278" s="61"/>
      <c r="K278" s="502"/>
      <c r="L278" s="5"/>
      <c r="M278" s="5"/>
      <c r="O278" s="61"/>
      <c r="X278" s="61"/>
      <c r="Y278" s="61"/>
      <c r="Z278" s="99"/>
      <c r="AA278" s="61"/>
      <c r="AF278" s="61"/>
      <c r="AG278" s="61"/>
      <c r="AH278" s="61"/>
      <c r="AI278" s="61"/>
      <c r="BL278" s="6"/>
    </row>
    <row r="279" spans="2:64" x14ac:dyDescent="0.2">
      <c r="B279" s="597"/>
      <c r="C279" s="62"/>
      <c r="D279" s="61"/>
      <c r="E279" s="61"/>
      <c r="G279" s="5"/>
      <c r="H279" s="5"/>
      <c r="I279" s="61"/>
      <c r="J279" s="61"/>
      <c r="K279" s="502"/>
      <c r="L279" s="5"/>
      <c r="M279" s="5"/>
      <c r="O279" s="61"/>
      <c r="X279" s="61"/>
      <c r="Y279" s="61"/>
      <c r="Z279" s="99"/>
      <c r="AA279" s="61"/>
      <c r="AB279" s="61"/>
      <c r="AC279" s="61"/>
      <c r="AF279" s="61"/>
      <c r="AG279" s="61"/>
      <c r="AH279" s="61"/>
      <c r="AI279" s="61"/>
      <c r="BL279" s="2"/>
    </row>
    <row r="280" spans="2:64" x14ac:dyDescent="0.2">
      <c r="B280" s="597"/>
      <c r="C280" s="61"/>
      <c r="D280" s="61"/>
      <c r="E280" s="61"/>
      <c r="G280" s="5"/>
      <c r="H280" s="5"/>
      <c r="I280" s="61"/>
      <c r="J280" s="62"/>
      <c r="K280" s="502"/>
      <c r="L280" s="5"/>
      <c r="M280" s="5"/>
      <c r="O280" s="62"/>
      <c r="X280" s="61"/>
      <c r="Y280" s="61"/>
      <c r="Z280" s="106"/>
      <c r="AA280" s="61"/>
      <c r="AF280" s="61"/>
      <c r="AG280" s="61"/>
      <c r="AH280" s="61"/>
      <c r="AI280" s="61"/>
      <c r="BL280" s="2"/>
    </row>
    <row r="281" spans="2:64" x14ac:dyDescent="0.2">
      <c r="B281" s="597"/>
      <c r="C281" s="62"/>
      <c r="D281" s="61"/>
      <c r="E281" s="61"/>
      <c r="G281" s="5"/>
      <c r="H281" s="5"/>
      <c r="I281" s="61"/>
      <c r="K281" s="502"/>
      <c r="L281" s="5"/>
      <c r="M281" s="6"/>
      <c r="O281" s="61"/>
      <c r="X281" s="61"/>
      <c r="Y281" s="61"/>
      <c r="Z281" s="99"/>
      <c r="AA281" s="61"/>
      <c r="AE281" s="186"/>
      <c r="AF281" s="61"/>
      <c r="AG281" s="61"/>
      <c r="AH281" s="61"/>
      <c r="AI281" s="61"/>
      <c r="AK281" s="61"/>
      <c r="BL281" s="2"/>
    </row>
    <row r="282" spans="2:64" x14ac:dyDescent="0.2">
      <c r="B282" s="597"/>
      <c r="C282" s="62"/>
      <c r="D282" s="61"/>
      <c r="E282" s="61"/>
      <c r="G282" s="5"/>
      <c r="H282" s="5"/>
      <c r="I282" s="61"/>
      <c r="K282" s="502"/>
      <c r="L282" s="5"/>
      <c r="M282" s="5"/>
      <c r="O282" s="61"/>
      <c r="X282" s="61"/>
      <c r="Y282" s="61"/>
      <c r="Z282" s="106"/>
      <c r="AA282" s="61"/>
      <c r="AB282" s="61"/>
      <c r="AC282" s="61"/>
      <c r="BL282" s="2"/>
    </row>
    <row r="283" spans="2:64" x14ac:dyDescent="0.2">
      <c r="B283" s="597"/>
      <c r="C283" s="62"/>
      <c r="D283" s="61"/>
      <c r="E283" s="62"/>
      <c r="G283" s="5"/>
      <c r="H283" s="5"/>
      <c r="I283" s="61"/>
      <c r="J283" s="61"/>
      <c r="K283" s="502"/>
      <c r="L283" s="5"/>
      <c r="M283" s="5"/>
      <c r="O283" s="61"/>
      <c r="X283" s="61"/>
      <c r="BL283" s="2"/>
    </row>
    <row r="284" spans="2:64" x14ac:dyDescent="0.2">
      <c r="B284" s="597"/>
      <c r="C284" s="61"/>
      <c r="D284" s="61"/>
      <c r="E284" s="61"/>
      <c r="G284" s="5"/>
      <c r="H284" s="5"/>
      <c r="I284" s="61"/>
      <c r="K284" s="502"/>
      <c r="L284" s="5"/>
      <c r="M284" s="5"/>
      <c r="X284" s="61"/>
      <c r="BL284" s="2"/>
    </row>
    <row r="285" spans="2:64" x14ac:dyDescent="0.2">
      <c r="B285"/>
      <c r="C285" s="62"/>
      <c r="D285" s="61"/>
      <c r="E285" s="61"/>
      <c r="G285" s="5"/>
      <c r="H285" s="5"/>
      <c r="I285" s="61"/>
      <c r="J285" s="61"/>
      <c r="K285" s="502"/>
      <c r="L285" s="5"/>
      <c r="M285" s="5"/>
      <c r="X285" s="61"/>
      <c r="BL285" s="2"/>
    </row>
    <row r="286" spans="2:64" x14ac:dyDescent="0.2">
      <c r="B286"/>
      <c r="C286" s="61"/>
      <c r="D286" s="61"/>
      <c r="E286" s="62"/>
      <c r="G286" s="5"/>
      <c r="H286" s="5"/>
      <c r="I286" s="61"/>
      <c r="K286" s="502"/>
      <c r="L286" s="8"/>
      <c r="M286" s="5"/>
      <c r="X286" s="61"/>
      <c r="BL286" s="2"/>
    </row>
    <row r="287" spans="2:64" x14ac:dyDescent="0.2">
      <c r="B287"/>
      <c r="C287" s="62"/>
      <c r="D287" s="61"/>
      <c r="E287" s="61"/>
      <c r="G287" s="5"/>
      <c r="H287" s="5"/>
      <c r="I287" s="61"/>
      <c r="J287" s="61"/>
      <c r="K287" s="598"/>
      <c r="M287" s="5"/>
      <c r="X287" s="61"/>
      <c r="BL287" s="2"/>
    </row>
    <row r="288" spans="2:64" x14ac:dyDescent="0.2">
      <c r="B288"/>
      <c r="C288" s="61"/>
      <c r="D288" s="61"/>
      <c r="E288" s="61"/>
      <c r="G288" s="5"/>
      <c r="H288" s="5"/>
      <c r="I288" s="61"/>
      <c r="J288" s="61"/>
      <c r="K288" s="598"/>
      <c r="M288" s="5"/>
      <c r="X288" s="61"/>
      <c r="BL288" s="6"/>
    </row>
    <row r="289" spans="2:64" x14ac:dyDescent="0.2">
      <c r="B289"/>
      <c r="C289" s="61"/>
      <c r="D289" s="61"/>
      <c r="E289" s="61"/>
      <c r="G289" s="5"/>
      <c r="H289" s="5"/>
      <c r="I289" s="61"/>
      <c r="J289" s="61"/>
      <c r="K289" s="598"/>
      <c r="M289" s="5"/>
      <c r="X289" s="61"/>
      <c r="BL289" s="2"/>
    </row>
    <row r="290" spans="2:64" x14ac:dyDescent="0.2">
      <c r="B290"/>
      <c r="C290" s="62"/>
      <c r="D290" s="61"/>
      <c r="E290" s="61"/>
      <c r="G290" s="5"/>
      <c r="H290" s="5"/>
      <c r="I290" s="62"/>
      <c r="L290" s="8"/>
      <c r="M290" s="5"/>
      <c r="X290" s="61"/>
      <c r="BL290" s="2"/>
    </row>
    <row r="291" spans="2:64" x14ac:dyDescent="0.2">
      <c r="B291"/>
      <c r="C291" s="62"/>
      <c r="D291" s="61"/>
      <c r="E291" s="61"/>
      <c r="G291" s="5"/>
      <c r="H291" s="5"/>
      <c r="I291" s="61"/>
      <c r="J291" s="61"/>
      <c r="M291" s="5"/>
      <c r="X291" s="61"/>
      <c r="BL291" s="2"/>
    </row>
    <row r="292" spans="2:64" x14ac:dyDescent="0.2">
      <c r="B292"/>
      <c r="C292" s="62"/>
      <c r="D292" s="61"/>
      <c r="E292" s="61"/>
      <c r="G292" s="5"/>
      <c r="H292" s="5"/>
      <c r="I292" s="61"/>
      <c r="J292" s="61"/>
      <c r="M292" s="5"/>
      <c r="X292" s="61"/>
      <c r="BL292" s="2"/>
    </row>
    <row r="293" spans="2:64" x14ac:dyDescent="0.2">
      <c r="B293"/>
      <c r="C293" s="62"/>
      <c r="D293" s="61"/>
      <c r="E293" s="650"/>
      <c r="G293" s="5"/>
      <c r="H293" s="5"/>
      <c r="I293" s="61"/>
      <c r="L293" s="8"/>
      <c r="M293" s="5"/>
      <c r="X293" s="61"/>
      <c r="BL293" s="6"/>
    </row>
    <row r="294" spans="2:64" x14ac:dyDescent="0.2">
      <c r="B294"/>
      <c r="C294" s="62"/>
      <c r="D294" s="61"/>
      <c r="E294" s="61"/>
      <c r="G294" s="5"/>
      <c r="H294" s="5"/>
      <c r="I294" s="61"/>
      <c r="J294" s="61"/>
      <c r="M294" s="5"/>
      <c r="X294" s="61"/>
      <c r="BL294" s="2"/>
    </row>
    <row r="295" spans="2:64" x14ac:dyDescent="0.2">
      <c r="B295"/>
      <c r="C295" s="62"/>
      <c r="D295" s="61"/>
      <c r="E295" s="61"/>
      <c r="G295" s="5"/>
      <c r="H295" s="5"/>
      <c r="I295" s="61"/>
      <c r="J295" s="62"/>
      <c r="L295" s="8"/>
      <c r="M295" s="5"/>
      <c r="X295" s="61"/>
      <c r="BL295" s="2"/>
    </row>
    <row r="296" spans="2:64" x14ac:dyDescent="0.2">
      <c r="B296"/>
      <c r="C296" s="61"/>
      <c r="D296" s="61"/>
      <c r="E296" s="61"/>
      <c r="G296" s="5"/>
      <c r="H296" s="5"/>
      <c r="I296" s="61"/>
      <c r="J296" s="61"/>
      <c r="M296" s="5"/>
      <c r="X296" s="61"/>
      <c r="BL296" s="2"/>
    </row>
    <row r="297" spans="2:64" x14ac:dyDescent="0.2">
      <c r="B297"/>
      <c r="C297" s="62"/>
      <c r="D297" s="61"/>
      <c r="E297" s="61"/>
      <c r="G297" s="5"/>
      <c r="H297" s="5"/>
      <c r="I297" s="61"/>
      <c r="J297" s="61"/>
      <c r="M297" s="5"/>
      <c r="X297" s="61"/>
      <c r="BL297" s="2"/>
    </row>
    <row r="298" spans="2:64" x14ac:dyDescent="0.2">
      <c r="B298"/>
      <c r="C298" s="61"/>
      <c r="D298" s="61"/>
      <c r="E298" s="61"/>
      <c r="G298" s="5"/>
      <c r="H298" s="5"/>
      <c r="I298" s="61"/>
      <c r="J298" s="61"/>
      <c r="L298" s="8"/>
      <c r="M298" s="5"/>
      <c r="X298" s="61"/>
      <c r="BL298" s="6"/>
    </row>
    <row r="299" spans="2:64" x14ac:dyDescent="0.2">
      <c r="B299"/>
      <c r="C299" s="61"/>
      <c r="D299" s="61"/>
      <c r="E299" s="61"/>
      <c r="G299" s="5"/>
      <c r="H299" s="5"/>
      <c r="I299" s="61"/>
      <c r="M299" s="5"/>
      <c r="BL299" s="2"/>
    </row>
    <row r="300" spans="2:64" x14ac:dyDescent="0.2">
      <c r="J300" s="61"/>
      <c r="M300" s="5"/>
      <c r="BL300" s="2"/>
    </row>
    <row r="301" spans="2:64" x14ac:dyDescent="0.2">
      <c r="M301" s="5"/>
      <c r="BL301" s="2"/>
    </row>
    <row r="302" spans="2:64" x14ac:dyDescent="0.2">
      <c r="I302" s="5"/>
      <c r="M302" s="5"/>
    </row>
    <row r="303" spans="2:64" x14ac:dyDescent="0.2">
      <c r="I303" s="8"/>
      <c r="M303" s="5"/>
    </row>
    <row r="304" spans="2:64" x14ac:dyDescent="0.2">
      <c r="J304" s="61"/>
      <c r="M304" s="398"/>
    </row>
    <row r="305" spans="9:13" x14ac:dyDescent="0.2">
      <c r="J305" s="61"/>
      <c r="M305" s="5"/>
    </row>
    <row r="306" spans="9:13" x14ac:dyDescent="0.2">
      <c r="J306" s="61"/>
      <c r="M306" s="5"/>
    </row>
    <row r="307" spans="9:13" x14ac:dyDescent="0.2">
      <c r="J307" s="61"/>
      <c r="M307" s="5"/>
    </row>
    <row r="308" spans="9:13" x14ac:dyDescent="0.2">
      <c r="J308" s="61"/>
      <c r="M308" s="5"/>
    </row>
    <row r="309" spans="9:13" x14ac:dyDescent="0.2">
      <c r="M309" s="5"/>
    </row>
    <row r="310" spans="9:13" x14ac:dyDescent="0.2">
      <c r="M310" s="5"/>
    </row>
    <row r="311" spans="9:13" x14ac:dyDescent="0.2">
      <c r="M311" s="5"/>
    </row>
    <row r="312" spans="9:13" x14ac:dyDescent="0.2">
      <c r="M312" s="5"/>
    </row>
    <row r="313" spans="9:13" x14ac:dyDescent="0.2">
      <c r="J313" s="61"/>
      <c r="M313" s="5"/>
    </row>
    <row r="314" spans="9:13" x14ac:dyDescent="0.2">
      <c r="J314" s="61"/>
      <c r="M314" s="5"/>
    </row>
    <row r="315" spans="9:13" x14ac:dyDescent="0.2">
      <c r="J315" s="61"/>
      <c r="M315" s="5"/>
    </row>
    <row r="316" spans="9:13" x14ac:dyDescent="0.2">
      <c r="L316" s="8"/>
      <c r="M316" s="5"/>
    </row>
    <row r="317" spans="9:13" x14ac:dyDescent="0.2">
      <c r="M317" s="5"/>
    </row>
    <row r="318" spans="9:13" x14ac:dyDescent="0.2">
      <c r="M318" s="5"/>
    </row>
    <row r="319" spans="9:13" x14ac:dyDescent="0.2">
      <c r="J319" s="61"/>
      <c r="M319" s="6"/>
    </row>
    <row r="320" spans="9:13" x14ac:dyDescent="0.2">
      <c r="I320" s="5"/>
      <c r="J320" s="61"/>
      <c r="M320" s="5"/>
    </row>
    <row r="321" spans="2:23" x14ac:dyDescent="0.2">
      <c r="I321" s="5"/>
      <c r="M321" s="5"/>
    </row>
    <row r="322" spans="2:23" x14ac:dyDescent="0.2">
      <c r="B322"/>
      <c r="C322"/>
      <c r="D322" s="5"/>
      <c r="I322" s="5"/>
      <c r="M322" s="5"/>
    </row>
    <row r="323" spans="2:23" x14ac:dyDescent="0.2">
      <c r="B323"/>
      <c r="C323"/>
      <c r="D323" s="5"/>
      <c r="I323" s="5"/>
      <c r="J323" s="61"/>
      <c r="M323" s="5"/>
    </row>
    <row r="324" spans="2:23" x14ac:dyDescent="0.2">
      <c r="B324"/>
      <c r="C324"/>
      <c r="D324" s="5"/>
      <c r="I324" s="5"/>
      <c r="M324" s="5"/>
    </row>
    <row r="325" spans="2:23" x14ac:dyDescent="0.2">
      <c r="B325"/>
      <c r="C325"/>
      <c r="D325" s="5"/>
      <c r="I325" s="5"/>
      <c r="J325" s="61"/>
      <c r="M325" s="5"/>
    </row>
    <row r="326" spans="2:23" x14ac:dyDescent="0.2">
      <c r="B326"/>
      <c r="C326"/>
      <c r="D326" s="5"/>
      <c r="I326" s="5"/>
      <c r="J326" s="61"/>
      <c r="M326" s="6"/>
    </row>
    <row r="327" spans="2:23" x14ac:dyDescent="0.2">
      <c r="B327"/>
      <c r="C327"/>
      <c r="D327" s="5"/>
      <c r="I327" s="5"/>
      <c r="J327" s="61"/>
      <c r="M327" s="5"/>
    </row>
    <row r="328" spans="2:23" x14ac:dyDescent="0.2">
      <c r="B328"/>
      <c r="C328"/>
      <c r="D328" s="5"/>
      <c r="I328" s="5"/>
    </row>
    <row r="329" spans="2:23" x14ac:dyDescent="0.2">
      <c r="B329"/>
      <c r="C329"/>
      <c r="D329" s="5"/>
      <c r="I329" s="5"/>
    </row>
    <row r="330" spans="2:23" x14ac:dyDescent="0.2">
      <c r="B330"/>
      <c r="C330"/>
      <c r="D330" s="5"/>
      <c r="I330" s="5"/>
    </row>
    <row r="331" spans="2:23" x14ac:dyDescent="0.2">
      <c r="B331"/>
      <c r="C331"/>
      <c r="D331" s="5"/>
      <c r="I331" s="5"/>
    </row>
    <row r="332" spans="2:23" x14ac:dyDescent="0.2">
      <c r="B332"/>
      <c r="C332"/>
      <c r="D332" s="5"/>
      <c r="I332" s="5"/>
    </row>
    <row r="333" spans="2:23" x14ac:dyDescent="0.2">
      <c r="B333"/>
      <c r="C333"/>
      <c r="D333" s="5"/>
      <c r="I333" s="5"/>
    </row>
    <row r="334" spans="2:23" x14ac:dyDescent="0.2">
      <c r="B334"/>
      <c r="C334"/>
      <c r="D334" s="5"/>
      <c r="I334" s="5"/>
    </row>
    <row r="335" spans="2:23" x14ac:dyDescent="0.2">
      <c r="B335"/>
      <c r="C335"/>
      <c r="D335" s="5"/>
      <c r="I335" s="5"/>
    </row>
    <row r="336" spans="2:23" x14ac:dyDescent="0.2">
      <c r="B336"/>
      <c r="C336"/>
      <c r="D336" s="5"/>
      <c r="I336" s="5"/>
      <c r="P336" s="61"/>
      <c r="T336" s="61"/>
      <c r="W336" s="5"/>
    </row>
    <row r="337" spans="2:78" x14ac:dyDescent="0.2">
      <c r="B337"/>
      <c r="C337"/>
      <c r="I337" s="5"/>
      <c r="P337" s="61"/>
      <c r="S337" s="61"/>
      <c r="T337" s="61"/>
      <c r="V337" s="8"/>
      <c r="W337" s="5"/>
    </row>
    <row r="338" spans="2:78" x14ac:dyDescent="0.2">
      <c r="B338"/>
      <c r="C338"/>
      <c r="I338" s="5"/>
      <c r="P338" s="61"/>
      <c r="S338" s="8"/>
      <c r="T338" s="61"/>
      <c r="W338" s="5"/>
    </row>
    <row r="339" spans="2:78" x14ac:dyDescent="0.2">
      <c r="B339"/>
      <c r="C339"/>
      <c r="I339" s="5"/>
      <c r="P339" s="61"/>
      <c r="Q339" s="8"/>
      <c r="R339" s="8"/>
      <c r="S339" s="9"/>
      <c r="T339" s="61"/>
      <c r="W339" s="5"/>
    </row>
    <row r="340" spans="2:78" x14ac:dyDescent="0.2">
      <c r="B340"/>
      <c r="C340"/>
      <c r="I340" s="5"/>
      <c r="P340" s="61"/>
      <c r="T340" s="61"/>
      <c r="X340" s="8"/>
      <c r="Y340" s="8"/>
      <c r="AB340" s="8"/>
      <c r="AC340" s="8"/>
    </row>
    <row r="341" spans="2:78" x14ac:dyDescent="0.2">
      <c r="B341"/>
      <c r="C341"/>
      <c r="I341" s="5"/>
      <c r="P341" s="5"/>
      <c r="T341" s="61"/>
    </row>
    <row r="342" spans="2:78" x14ac:dyDescent="0.2">
      <c r="B342"/>
      <c r="C342"/>
      <c r="I342" s="5"/>
      <c r="P342" s="5"/>
      <c r="R342" s="5"/>
      <c r="S342" s="8"/>
      <c r="W342" s="5"/>
    </row>
    <row r="343" spans="2:78" x14ac:dyDescent="0.2">
      <c r="B343"/>
      <c r="C343"/>
      <c r="I343" s="5"/>
      <c r="P343" s="5"/>
      <c r="R343" s="5"/>
      <c r="W343" s="5"/>
    </row>
    <row r="344" spans="2:78" x14ac:dyDescent="0.2">
      <c r="B344"/>
      <c r="C344"/>
      <c r="I344" s="5"/>
      <c r="P344" s="5"/>
      <c r="R344" s="5"/>
      <c r="W344" s="5"/>
    </row>
    <row r="345" spans="2:78" x14ac:dyDescent="0.2">
      <c r="B345"/>
      <c r="C345"/>
      <c r="I345" s="5"/>
      <c r="P345" s="5"/>
      <c r="R345" s="5"/>
      <c r="T345" s="61"/>
      <c r="V345" s="8"/>
      <c r="W345" s="5"/>
    </row>
    <row r="346" spans="2:78" x14ac:dyDescent="0.2">
      <c r="B346"/>
      <c r="C346"/>
      <c r="I346" s="5"/>
      <c r="P346" s="5"/>
      <c r="R346" s="5"/>
      <c r="S346" s="8"/>
      <c r="V346" s="8"/>
      <c r="W346" s="5"/>
    </row>
    <row r="347" spans="2:78" x14ac:dyDescent="0.2">
      <c r="B347"/>
      <c r="C347"/>
      <c r="I347" s="5"/>
      <c r="P347" s="5"/>
      <c r="R347" s="5"/>
      <c r="T347" s="61"/>
      <c r="W347" s="5"/>
    </row>
    <row r="348" spans="2:78" x14ac:dyDescent="0.2">
      <c r="B348"/>
      <c r="C348"/>
      <c r="I348" s="5"/>
      <c r="P348" s="5"/>
      <c r="R348" s="5"/>
      <c r="S348" s="8"/>
      <c r="T348" s="61"/>
      <c r="W348" s="5"/>
    </row>
    <row r="349" spans="2:78" x14ac:dyDescent="0.2">
      <c r="B349"/>
      <c r="C349"/>
      <c r="I349" s="5"/>
      <c r="P349" s="5"/>
      <c r="R349" s="5"/>
      <c r="W349" s="5"/>
      <c r="BY349" s="651"/>
      <c r="BZ349" s="651"/>
    </row>
    <row r="350" spans="2:78" x14ac:dyDescent="0.2">
      <c r="B350"/>
      <c r="C350"/>
      <c r="I350" s="5"/>
      <c r="P350" s="5"/>
      <c r="R350" s="5"/>
      <c r="W350" s="6"/>
      <c r="BY350" s="651"/>
      <c r="BZ350" s="651"/>
    </row>
    <row r="351" spans="2:78" x14ac:dyDescent="0.2">
      <c r="B351"/>
      <c r="C351"/>
      <c r="I351" s="5"/>
      <c r="P351" s="5"/>
      <c r="R351" s="5"/>
      <c r="W351" s="5"/>
      <c r="BY351" s="651"/>
      <c r="BZ351" s="651"/>
    </row>
    <row r="352" spans="2:78" x14ac:dyDescent="0.2">
      <c r="B352"/>
      <c r="C352"/>
      <c r="I352" s="5"/>
      <c r="P352" s="5"/>
      <c r="R352" s="5"/>
      <c r="W352" s="5"/>
      <c r="BY352" s="651"/>
      <c r="BZ352" s="651"/>
    </row>
    <row r="353" spans="2:78" x14ac:dyDescent="0.2">
      <c r="B353"/>
      <c r="C353"/>
      <c r="I353" s="5"/>
      <c r="P353" s="5"/>
      <c r="R353" s="5"/>
      <c r="W353" s="5"/>
      <c r="BY353" s="651"/>
      <c r="BZ353" s="651"/>
    </row>
    <row r="354" spans="2:78" x14ac:dyDescent="0.2">
      <c r="B354"/>
      <c r="C354"/>
      <c r="I354" s="5"/>
      <c r="P354" s="5"/>
      <c r="R354" s="5"/>
      <c r="S354" s="8"/>
      <c r="W354" s="5"/>
      <c r="BY354" s="651"/>
      <c r="BZ354" s="651"/>
    </row>
    <row r="355" spans="2:78" x14ac:dyDescent="0.2">
      <c r="B355"/>
      <c r="C355"/>
      <c r="I355" s="5"/>
      <c r="P355" s="5"/>
      <c r="R355" s="5"/>
      <c r="S355" s="8"/>
      <c r="W355" s="5"/>
      <c r="BY355" s="651"/>
      <c r="BZ355" s="651"/>
    </row>
    <row r="356" spans="2:78" x14ac:dyDescent="0.2">
      <c r="B356"/>
      <c r="C356"/>
      <c r="I356" s="5"/>
      <c r="P356" s="5"/>
      <c r="R356" s="5"/>
      <c r="S356" s="8"/>
      <c r="T356" s="61"/>
      <c r="W356" s="5"/>
      <c r="BY356" s="651"/>
      <c r="BZ356" s="651"/>
    </row>
    <row r="357" spans="2:78" x14ac:dyDescent="0.2">
      <c r="B357"/>
      <c r="C357"/>
      <c r="I357" s="5"/>
      <c r="P357" s="5"/>
      <c r="R357" s="5"/>
      <c r="S357" s="8"/>
      <c r="T357" s="61"/>
      <c r="W357" s="6"/>
      <c r="BY357" s="651"/>
      <c r="BZ357" s="651"/>
    </row>
    <row r="358" spans="2:78" x14ac:dyDescent="0.2">
      <c r="B358"/>
      <c r="C358"/>
      <c r="I358" s="5"/>
      <c r="P358" s="5"/>
      <c r="R358" s="5"/>
      <c r="T358" s="62"/>
      <c r="W358" s="5"/>
      <c r="BY358" s="651"/>
      <c r="BZ358" s="651"/>
    </row>
    <row r="359" spans="2:78" x14ac:dyDescent="0.2">
      <c r="B359"/>
      <c r="C359"/>
      <c r="I359" s="5"/>
      <c r="P359" s="5"/>
      <c r="R359" s="5"/>
      <c r="T359" s="61"/>
      <c r="W359" s="5"/>
      <c r="BY359" s="651"/>
      <c r="BZ359" s="651"/>
    </row>
    <row r="360" spans="2:78" x14ac:dyDescent="0.2">
      <c r="B360"/>
      <c r="C360"/>
      <c r="I360" s="5"/>
      <c r="P360" s="5"/>
      <c r="R360" s="5"/>
      <c r="W360" s="5"/>
      <c r="BY360" s="651"/>
      <c r="BZ360" s="651"/>
    </row>
    <row r="361" spans="2:78" x14ac:dyDescent="0.2">
      <c r="B361"/>
      <c r="C361"/>
      <c r="I361" s="5"/>
      <c r="P361" s="5"/>
      <c r="R361" s="5"/>
      <c r="W361" s="5"/>
      <c r="BY361" s="651"/>
      <c r="BZ361" s="651"/>
    </row>
    <row r="362" spans="2:78" x14ac:dyDescent="0.2">
      <c r="B362"/>
      <c r="C362"/>
      <c r="I362" s="5"/>
      <c r="P362" s="5"/>
      <c r="R362" s="5"/>
      <c r="S362" s="8"/>
      <c r="T362" s="61"/>
      <c r="V362" s="8"/>
      <c r="BY362" s="651"/>
      <c r="BZ362" s="651"/>
    </row>
    <row r="363" spans="2:78" x14ac:dyDescent="0.2">
      <c r="B363"/>
      <c r="C363"/>
      <c r="I363" s="5"/>
      <c r="P363" s="5"/>
      <c r="R363" s="5"/>
      <c r="T363" s="61"/>
      <c r="V363" s="8"/>
      <c r="BY363" s="651"/>
      <c r="BZ363" s="651"/>
    </row>
    <row r="364" spans="2:78" x14ac:dyDescent="0.2">
      <c r="B364"/>
      <c r="C364"/>
      <c r="I364" s="5"/>
      <c r="P364" s="5"/>
      <c r="R364" s="5"/>
      <c r="T364" s="62"/>
      <c r="V364" s="8"/>
    </row>
    <row r="365" spans="2:78" x14ac:dyDescent="0.2">
      <c r="B365"/>
      <c r="C365"/>
      <c r="I365" s="5"/>
      <c r="P365" s="5"/>
      <c r="R365" s="5"/>
    </row>
    <row r="366" spans="2:78" x14ac:dyDescent="0.2">
      <c r="B366"/>
      <c r="C366"/>
      <c r="I366" s="5"/>
      <c r="P366" s="5"/>
      <c r="R366" s="5"/>
    </row>
    <row r="367" spans="2:78" x14ac:dyDescent="0.2">
      <c r="B367"/>
      <c r="C367"/>
      <c r="I367" s="5"/>
      <c r="P367" s="5"/>
      <c r="R367" s="5"/>
    </row>
    <row r="368" spans="2:78" x14ac:dyDescent="0.2">
      <c r="B368"/>
      <c r="C368"/>
      <c r="I368" s="5"/>
      <c r="P368" s="5"/>
      <c r="R368" s="5"/>
    </row>
    <row r="369" spans="2:18" x14ac:dyDescent="0.2">
      <c r="B369"/>
      <c r="C369"/>
      <c r="I369" s="5"/>
      <c r="P369" s="5"/>
      <c r="R369" s="5"/>
    </row>
    <row r="370" spans="2:18" x14ac:dyDescent="0.2">
      <c r="B370"/>
      <c r="C370"/>
      <c r="I370" s="5"/>
      <c r="P370" s="5"/>
      <c r="R370" s="5"/>
    </row>
    <row r="371" spans="2:18" x14ac:dyDescent="0.2">
      <c r="B371"/>
      <c r="C371"/>
      <c r="I371" s="5"/>
      <c r="P371" s="5"/>
      <c r="R371" s="5"/>
    </row>
    <row r="372" spans="2:18" x14ac:dyDescent="0.2">
      <c r="B372"/>
      <c r="C372"/>
      <c r="I372" s="5"/>
      <c r="P372" s="5"/>
      <c r="R372" s="5"/>
    </row>
    <row r="373" spans="2:18" x14ac:dyDescent="0.2">
      <c r="B373"/>
      <c r="C373"/>
      <c r="I373" s="5"/>
      <c r="P373" s="5"/>
      <c r="R373" s="5"/>
    </row>
    <row r="374" spans="2:18" x14ac:dyDescent="0.2">
      <c r="B374"/>
      <c r="C374"/>
      <c r="I374" s="5"/>
      <c r="P374" s="5"/>
      <c r="R374" s="5"/>
    </row>
    <row r="375" spans="2:18" x14ac:dyDescent="0.2">
      <c r="B375"/>
      <c r="C375"/>
      <c r="I375" s="5"/>
      <c r="P375" s="5"/>
      <c r="R375" s="5"/>
    </row>
    <row r="376" spans="2:18" x14ac:dyDescent="0.2">
      <c r="B376"/>
      <c r="C376"/>
      <c r="I376" s="5"/>
      <c r="P376" s="5"/>
      <c r="R376" s="5"/>
    </row>
    <row r="377" spans="2:18" x14ac:dyDescent="0.2">
      <c r="B377"/>
      <c r="C377"/>
      <c r="I377" s="5"/>
      <c r="P377" s="5"/>
      <c r="R377" s="5"/>
    </row>
    <row r="378" spans="2:18" x14ac:dyDescent="0.2">
      <c r="B378"/>
      <c r="C378"/>
      <c r="I378" s="5"/>
      <c r="P378" s="5"/>
      <c r="R378" s="5"/>
    </row>
    <row r="379" spans="2:18" x14ac:dyDescent="0.2">
      <c r="B379"/>
      <c r="C379"/>
      <c r="I379" s="5"/>
      <c r="P379" s="5"/>
      <c r="R379" s="5"/>
    </row>
    <row r="380" spans="2:18" x14ac:dyDescent="0.2">
      <c r="B380"/>
      <c r="C380"/>
      <c r="I380" s="5"/>
      <c r="P380" s="5"/>
      <c r="R380" s="5"/>
    </row>
    <row r="381" spans="2:18" x14ac:dyDescent="0.2">
      <c r="B381"/>
      <c r="C381"/>
      <c r="I381" s="5"/>
      <c r="P381" s="5"/>
      <c r="R381" s="5"/>
    </row>
    <row r="382" spans="2:18" x14ac:dyDescent="0.2">
      <c r="B382"/>
      <c r="C382"/>
      <c r="I382" s="5"/>
      <c r="P382" s="5"/>
      <c r="R382" s="5"/>
    </row>
    <row r="383" spans="2:18" x14ac:dyDescent="0.2">
      <c r="B383"/>
      <c r="C383"/>
      <c r="I383" s="5"/>
      <c r="P383" s="5"/>
      <c r="R383" s="5"/>
    </row>
    <row r="384" spans="2:18" x14ac:dyDescent="0.2">
      <c r="B384"/>
      <c r="C384"/>
      <c r="I384" s="5"/>
      <c r="P384" s="5"/>
      <c r="R384" s="5"/>
    </row>
    <row r="385" spans="2:18" x14ac:dyDescent="0.2">
      <c r="B385"/>
      <c r="C385"/>
      <c r="I385" s="5"/>
      <c r="P385" s="5"/>
      <c r="R385" s="5"/>
    </row>
    <row r="386" spans="2:18" x14ac:dyDescent="0.2">
      <c r="B386"/>
      <c r="C386"/>
      <c r="I386" s="5"/>
      <c r="P386" s="5"/>
      <c r="R386" s="5"/>
    </row>
    <row r="387" spans="2:18" x14ac:dyDescent="0.2">
      <c r="B387"/>
      <c r="C387"/>
      <c r="I387" s="5"/>
      <c r="P387" s="5"/>
      <c r="R387" s="5"/>
    </row>
    <row r="388" spans="2:18" x14ac:dyDescent="0.2">
      <c r="B388"/>
      <c r="C388"/>
      <c r="I388" s="5"/>
      <c r="P388" s="5"/>
      <c r="R388" s="5"/>
    </row>
    <row r="389" spans="2:18" x14ac:dyDescent="0.2">
      <c r="B389"/>
      <c r="C389"/>
      <c r="I389" s="5"/>
      <c r="P389" s="5"/>
      <c r="R389" s="5"/>
    </row>
    <row r="390" spans="2:18" x14ac:dyDescent="0.2">
      <c r="B390"/>
      <c r="C390"/>
      <c r="I390" s="5"/>
      <c r="P390" s="5"/>
      <c r="R390" s="5"/>
    </row>
    <row r="391" spans="2:18" x14ac:dyDescent="0.2">
      <c r="B391"/>
      <c r="C391"/>
      <c r="I391" s="5"/>
      <c r="P391" s="5"/>
      <c r="R391" s="5"/>
    </row>
    <row r="392" spans="2:18" x14ac:dyDescent="0.2">
      <c r="B392"/>
      <c r="C392"/>
      <c r="I392" s="5"/>
      <c r="P392" s="5"/>
      <c r="R392" s="5"/>
    </row>
    <row r="393" spans="2:18" x14ac:dyDescent="0.2">
      <c r="B393"/>
      <c r="C393"/>
      <c r="I393" s="5"/>
      <c r="P393" s="5"/>
      <c r="R393" s="5"/>
    </row>
    <row r="394" spans="2:18" x14ac:dyDescent="0.2">
      <c r="B394"/>
      <c r="C394"/>
      <c r="P394" s="5"/>
      <c r="R394" s="5"/>
    </row>
    <row r="395" spans="2:18" x14ac:dyDescent="0.2">
      <c r="B395"/>
      <c r="C395"/>
      <c r="P395" s="5"/>
      <c r="R395" s="5"/>
    </row>
    <row r="396" spans="2:18" x14ac:dyDescent="0.2">
      <c r="B396"/>
      <c r="C396"/>
      <c r="P396" s="5"/>
      <c r="R396" s="5"/>
    </row>
    <row r="397" spans="2:18" x14ac:dyDescent="0.2">
      <c r="B397"/>
      <c r="C397"/>
      <c r="P397" s="5"/>
      <c r="R397" s="5"/>
    </row>
    <row r="398" spans="2:18" x14ac:dyDescent="0.2">
      <c r="B398"/>
      <c r="C398"/>
      <c r="P398" s="5"/>
      <c r="R398" s="5"/>
    </row>
    <row r="399" spans="2:18" x14ac:dyDescent="0.2">
      <c r="B399"/>
      <c r="C399"/>
      <c r="P399" s="5"/>
      <c r="R399" s="5"/>
    </row>
    <row r="400" spans="2:18" x14ac:dyDescent="0.2">
      <c r="B400"/>
      <c r="C400"/>
      <c r="P400" s="5"/>
      <c r="R400" s="5"/>
    </row>
    <row r="401" spans="2:18" x14ac:dyDescent="0.2">
      <c r="B401"/>
      <c r="C401"/>
      <c r="P401" s="5"/>
      <c r="R401" s="5"/>
    </row>
    <row r="402" spans="2:18" x14ac:dyDescent="0.2">
      <c r="B402"/>
      <c r="C402"/>
      <c r="P402" s="5"/>
      <c r="R402" s="5"/>
    </row>
    <row r="403" spans="2:18" x14ac:dyDescent="0.2">
      <c r="B403"/>
      <c r="C403"/>
      <c r="P403" s="5"/>
      <c r="R403" s="5"/>
    </row>
    <row r="404" spans="2:18" x14ac:dyDescent="0.2">
      <c r="B404"/>
      <c r="C404"/>
      <c r="P404" s="5"/>
      <c r="R404" s="5"/>
    </row>
    <row r="405" spans="2:18" x14ac:dyDescent="0.2">
      <c r="B405"/>
      <c r="C405"/>
      <c r="P405" s="5"/>
      <c r="R405" s="5"/>
    </row>
    <row r="406" spans="2:18" x14ac:dyDescent="0.2">
      <c r="B406"/>
      <c r="C406"/>
      <c r="P406" s="5"/>
      <c r="R406" s="5"/>
    </row>
    <row r="407" spans="2:18" x14ac:dyDescent="0.2">
      <c r="B407"/>
      <c r="C407"/>
      <c r="P407" s="5"/>
      <c r="R407" s="5"/>
    </row>
    <row r="408" spans="2:18" x14ac:dyDescent="0.2">
      <c r="B408"/>
      <c r="C408"/>
      <c r="P408" s="5"/>
      <c r="R408" s="5"/>
    </row>
    <row r="409" spans="2:18" x14ac:dyDescent="0.2">
      <c r="B409"/>
      <c r="C409"/>
      <c r="P409" s="5"/>
      <c r="R409" s="5"/>
    </row>
    <row r="410" spans="2:18" x14ac:dyDescent="0.2">
      <c r="B410"/>
      <c r="C410"/>
      <c r="P410" s="5"/>
      <c r="R410" s="5"/>
    </row>
    <row r="411" spans="2:18" x14ac:dyDescent="0.2">
      <c r="B411"/>
      <c r="C411"/>
      <c r="P411" s="5"/>
      <c r="R411" s="5"/>
    </row>
    <row r="412" spans="2:18" x14ac:dyDescent="0.2">
      <c r="B412"/>
      <c r="C412"/>
      <c r="P412" s="5"/>
      <c r="R412" s="5"/>
    </row>
    <row r="413" spans="2:18" x14ac:dyDescent="0.2">
      <c r="B413"/>
      <c r="C413"/>
      <c r="P413" s="5"/>
      <c r="R413" s="5"/>
    </row>
    <row r="414" spans="2:18" x14ac:dyDescent="0.2">
      <c r="B414"/>
      <c r="C414"/>
      <c r="P414" s="5"/>
      <c r="R414" s="5"/>
    </row>
    <row r="415" spans="2:18" x14ac:dyDescent="0.2">
      <c r="B415"/>
      <c r="C415"/>
      <c r="P415" s="5"/>
      <c r="R415" s="5"/>
    </row>
    <row r="416" spans="2:18" x14ac:dyDescent="0.2">
      <c r="B416"/>
      <c r="C416"/>
      <c r="P416" s="5"/>
      <c r="R416" s="5"/>
    </row>
    <row r="417" spans="2:18" x14ac:dyDescent="0.2">
      <c r="B417"/>
      <c r="C417"/>
      <c r="P417" s="5"/>
      <c r="R417" s="5"/>
    </row>
    <row r="418" spans="2:18" x14ac:dyDescent="0.2">
      <c r="B418"/>
      <c r="C418"/>
      <c r="P418" s="5"/>
      <c r="R418" s="5"/>
    </row>
    <row r="419" spans="2:18" x14ac:dyDescent="0.2">
      <c r="B419"/>
      <c r="C419"/>
      <c r="P419" s="5"/>
      <c r="R419" s="5"/>
    </row>
    <row r="420" spans="2:18" x14ac:dyDescent="0.2">
      <c r="B420"/>
      <c r="C420"/>
      <c r="P420" s="5"/>
      <c r="R420" s="5"/>
    </row>
    <row r="421" spans="2:18" x14ac:dyDescent="0.2">
      <c r="B421"/>
      <c r="C421"/>
      <c r="P421" s="5"/>
      <c r="R421" s="5"/>
    </row>
    <row r="422" spans="2:18" x14ac:dyDescent="0.2">
      <c r="B422"/>
      <c r="C422"/>
      <c r="P422" s="5"/>
      <c r="R422" s="5"/>
    </row>
    <row r="423" spans="2:18" x14ac:dyDescent="0.2">
      <c r="B423"/>
      <c r="C423"/>
      <c r="P423" s="5"/>
      <c r="R423" s="5"/>
    </row>
    <row r="424" spans="2:18" x14ac:dyDescent="0.2">
      <c r="B424"/>
      <c r="C424"/>
      <c r="P424" s="5"/>
      <c r="R424" s="5"/>
    </row>
    <row r="425" spans="2:18" x14ac:dyDescent="0.2">
      <c r="B425"/>
      <c r="C425"/>
      <c r="P425" s="5"/>
      <c r="R425" s="5"/>
    </row>
    <row r="426" spans="2:18" x14ac:dyDescent="0.2">
      <c r="B426"/>
      <c r="C426"/>
      <c r="P426" s="5"/>
      <c r="R426" s="5"/>
    </row>
    <row r="427" spans="2:18" x14ac:dyDescent="0.2">
      <c r="B427"/>
      <c r="C427"/>
      <c r="P427" s="5"/>
      <c r="R427" s="5"/>
    </row>
    <row r="428" spans="2:18" x14ac:dyDescent="0.2">
      <c r="B428"/>
      <c r="C428"/>
      <c r="P428" s="5"/>
      <c r="R428" s="5"/>
    </row>
    <row r="429" spans="2:18" x14ac:dyDescent="0.2">
      <c r="B429"/>
      <c r="C429"/>
      <c r="F429" s="5"/>
      <c r="H429" s="5"/>
      <c r="P429" s="5"/>
      <c r="R429" s="5"/>
    </row>
    <row r="430" spans="2:18" x14ac:dyDescent="0.2">
      <c r="B430"/>
      <c r="C430"/>
      <c r="F430" s="5"/>
      <c r="H430" s="5"/>
      <c r="P430" s="5"/>
      <c r="R430" s="5"/>
    </row>
    <row r="431" spans="2:18" x14ac:dyDescent="0.2">
      <c r="B431"/>
      <c r="C431"/>
      <c r="F431" s="5"/>
      <c r="P431" s="5"/>
      <c r="R431" s="5"/>
    </row>
    <row r="432" spans="2:18" x14ac:dyDescent="0.2">
      <c r="B432"/>
      <c r="C432"/>
      <c r="F432" s="5"/>
      <c r="P432" s="5"/>
      <c r="R432" s="5"/>
    </row>
    <row r="433" spans="2:18" x14ac:dyDescent="0.2">
      <c r="B433"/>
      <c r="C433"/>
      <c r="P433" s="5"/>
      <c r="R433" s="5"/>
    </row>
    <row r="434" spans="2:18" x14ac:dyDescent="0.2">
      <c r="B434"/>
      <c r="C434"/>
      <c r="P434" s="5"/>
      <c r="R434" s="5"/>
    </row>
    <row r="435" spans="2:18" x14ac:dyDescent="0.2">
      <c r="B435"/>
      <c r="C435"/>
      <c r="P435" s="5"/>
      <c r="R435" s="5"/>
    </row>
    <row r="436" spans="2:18" x14ac:dyDescent="0.2">
      <c r="B436"/>
      <c r="C436"/>
      <c r="P436" s="5"/>
      <c r="R436" s="5"/>
    </row>
    <row r="437" spans="2:18" x14ac:dyDescent="0.2">
      <c r="B437"/>
      <c r="C437"/>
    </row>
    <row r="438" spans="2:18" x14ac:dyDescent="0.2">
      <c r="B438"/>
      <c r="C438"/>
    </row>
    <row r="439" spans="2:18" x14ac:dyDescent="0.2">
      <c r="B439"/>
      <c r="C439"/>
    </row>
    <row r="440" spans="2:18" x14ac:dyDescent="0.2">
      <c r="B440"/>
      <c r="C440"/>
    </row>
    <row r="441" spans="2:18" x14ac:dyDescent="0.2">
      <c r="B441"/>
      <c r="C441"/>
    </row>
    <row r="442" spans="2:18" x14ac:dyDescent="0.2">
      <c r="B442"/>
      <c r="C442"/>
    </row>
    <row r="443" spans="2:18" x14ac:dyDescent="0.2">
      <c r="B443"/>
      <c r="C443"/>
    </row>
    <row r="444" spans="2:18" x14ac:dyDescent="0.2">
      <c r="B444"/>
      <c r="C444"/>
    </row>
    <row r="445" spans="2:18" x14ac:dyDescent="0.2">
      <c r="B445"/>
      <c r="C445"/>
    </row>
    <row r="446" spans="2:18" x14ac:dyDescent="0.2">
      <c r="B446"/>
      <c r="C446"/>
    </row>
    <row r="447" spans="2:18" x14ac:dyDescent="0.2">
      <c r="B447"/>
      <c r="C447"/>
    </row>
    <row r="448" spans="2:18" x14ac:dyDescent="0.2">
      <c r="B448"/>
      <c r="C448"/>
    </row>
    <row r="449" spans="2:3" x14ac:dyDescent="0.2">
      <c r="B449"/>
      <c r="C449"/>
    </row>
    <row r="450" spans="2:3" x14ac:dyDescent="0.2">
      <c r="B450"/>
      <c r="C450"/>
    </row>
    <row r="451" spans="2:3" x14ac:dyDescent="0.2">
      <c r="B451"/>
      <c r="C451"/>
    </row>
    <row r="452" spans="2:3" x14ac:dyDescent="0.2">
      <c r="B452"/>
      <c r="C452"/>
    </row>
    <row r="453" spans="2:3" x14ac:dyDescent="0.2">
      <c r="B453"/>
      <c r="C453"/>
    </row>
    <row r="454" spans="2:3" x14ac:dyDescent="0.2">
      <c r="B454"/>
      <c r="C454"/>
    </row>
    <row r="455" spans="2:3" x14ac:dyDescent="0.2">
      <c r="B455"/>
      <c r="C455"/>
    </row>
    <row r="456" spans="2:3" x14ac:dyDescent="0.2">
      <c r="B456"/>
      <c r="C456"/>
    </row>
    <row r="457" spans="2:3" x14ac:dyDescent="0.2">
      <c r="B457"/>
      <c r="C457"/>
    </row>
    <row r="458" spans="2:3" x14ac:dyDescent="0.2">
      <c r="B458"/>
      <c r="C458"/>
    </row>
    <row r="459" spans="2:3" x14ac:dyDescent="0.2">
      <c r="B459"/>
      <c r="C459"/>
    </row>
    <row r="460" spans="2:3" x14ac:dyDescent="0.2">
      <c r="B460"/>
      <c r="C460"/>
    </row>
    <row r="461" spans="2:3" x14ac:dyDescent="0.2">
      <c r="B461"/>
      <c r="C461"/>
    </row>
    <row r="462" spans="2:3" x14ac:dyDescent="0.2">
      <c r="B462"/>
      <c r="C462"/>
    </row>
    <row r="463" spans="2:3" x14ac:dyDescent="0.2">
      <c r="B463"/>
      <c r="C463"/>
    </row>
    <row r="464" spans="2:3" x14ac:dyDescent="0.2">
      <c r="B464"/>
      <c r="C464"/>
    </row>
    <row r="465" spans="2:3" x14ac:dyDescent="0.2">
      <c r="B465"/>
      <c r="C465"/>
    </row>
    <row r="466" spans="2:3" x14ac:dyDescent="0.2">
      <c r="B466"/>
      <c r="C466"/>
    </row>
    <row r="467" spans="2:3" x14ac:dyDescent="0.2">
      <c r="B467"/>
      <c r="C467"/>
    </row>
    <row r="468" spans="2:3" x14ac:dyDescent="0.2">
      <c r="B468"/>
      <c r="C468"/>
    </row>
    <row r="469" spans="2:3" x14ac:dyDescent="0.2">
      <c r="B469"/>
      <c r="C469"/>
    </row>
    <row r="470" spans="2:3" x14ac:dyDescent="0.2">
      <c r="B470"/>
      <c r="C470"/>
    </row>
    <row r="471" spans="2:3" x14ac:dyDescent="0.2">
      <c r="B471"/>
      <c r="C471"/>
    </row>
    <row r="472" spans="2:3" x14ac:dyDescent="0.2">
      <c r="B472"/>
      <c r="C472"/>
    </row>
    <row r="473" spans="2:3" x14ac:dyDescent="0.2">
      <c r="B473"/>
      <c r="C473"/>
    </row>
    <row r="474" spans="2:3" x14ac:dyDescent="0.2">
      <c r="B474"/>
      <c r="C474"/>
    </row>
    <row r="475" spans="2:3" x14ac:dyDescent="0.2">
      <c r="B475"/>
      <c r="C475"/>
    </row>
    <row r="476" spans="2:3" x14ac:dyDescent="0.2">
      <c r="B476"/>
      <c r="C476"/>
    </row>
    <row r="477" spans="2:3" x14ac:dyDescent="0.2">
      <c r="B477"/>
      <c r="C477"/>
    </row>
    <row r="478" spans="2:3" x14ac:dyDescent="0.2">
      <c r="B478"/>
      <c r="C478"/>
    </row>
    <row r="479" spans="2:3" x14ac:dyDescent="0.2">
      <c r="B479"/>
      <c r="C479"/>
    </row>
    <row r="480" spans="2:3" x14ac:dyDescent="0.2">
      <c r="B480"/>
      <c r="C480"/>
    </row>
    <row r="481" spans="2:3" x14ac:dyDescent="0.2">
      <c r="B481"/>
      <c r="C481"/>
    </row>
    <row r="482" spans="2:3" x14ac:dyDescent="0.2">
      <c r="B482"/>
      <c r="C482"/>
    </row>
    <row r="483" spans="2:3" x14ac:dyDescent="0.2">
      <c r="B483"/>
      <c r="C483"/>
    </row>
    <row r="484" spans="2:3" x14ac:dyDescent="0.2">
      <c r="B484"/>
      <c r="C484"/>
    </row>
    <row r="485" spans="2:3" x14ac:dyDescent="0.2">
      <c r="B485"/>
      <c r="C485"/>
    </row>
    <row r="486" spans="2:3" x14ac:dyDescent="0.2">
      <c r="B486"/>
      <c r="C486"/>
    </row>
    <row r="487" spans="2:3" x14ac:dyDescent="0.2">
      <c r="B487"/>
      <c r="C487"/>
    </row>
    <row r="488" spans="2:3" x14ac:dyDescent="0.2">
      <c r="B488"/>
      <c r="C488"/>
    </row>
    <row r="489" spans="2:3" x14ac:dyDescent="0.2">
      <c r="B489"/>
      <c r="C489"/>
    </row>
    <row r="490" spans="2:3" x14ac:dyDescent="0.2">
      <c r="B490"/>
      <c r="C490"/>
    </row>
    <row r="491" spans="2:3" x14ac:dyDescent="0.2">
      <c r="B491"/>
      <c r="C491"/>
    </row>
    <row r="492" spans="2:3" x14ac:dyDescent="0.2">
      <c r="B492"/>
      <c r="C492"/>
    </row>
    <row r="493" spans="2:3" x14ac:dyDescent="0.2">
      <c r="B493"/>
      <c r="C493"/>
    </row>
    <row r="494" spans="2:3" x14ac:dyDescent="0.2">
      <c r="B494"/>
      <c r="C494"/>
    </row>
    <row r="495" spans="2:3" x14ac:dyDescent="0.2">
      <c r="B495"/>
      <c r="C495"/>
    </row>
    <row r="496" spans="2:3" x14ac:dyDescent="0.2">
      <c r="B496"/>
      <c r="C496"/>
    </row>
    <row r="497" spans="2:3" x14ac:dyDescent="0.2">
      <c r="B497"/>
      <c r="C497"/>
    </row>
    <row r="498" spans="2:3" x14ac:dyDescent="0.2">
      <c r="B498"/>
      <c r="C498"/>
    </row>
    <row r="499" spans="2:3" x14ac:dyDescent="0.2">
      <c r="B499"/>
      <c r="C499"/>
    </row>
    <row r="500" spans="2:3" x14ac:dyDescent="0.2">
      <c r="B500"/>
      <c r="C500"/>
    </row>
    <row r="501" spans="2:3" x14ac:dyDescent="0.2">
      <c r="B501"/>
      <c r="C501"/>
    </row>
    <row r="502" spans="2:3" x14ac:dyDescent="0.2">
      <c r="B502"/>
      <c r="C502"/>
    </row>
    <row r="503" spans="2:3" x14ac:dyDescent="0.2">
      <c r="B503"/>
      <c r="C503"/>
    </row>
    <row r="504" spans="2:3" x14ac:dyDescent="0.2">
      <c r="B504"/>
      <c r="C504"/>
    </row>
    <row r="505" spans="2:3" x14ac:dyDescent="0.2">
      <c r="B505"/>
      <c r="C505"/>
    </row>
    <row r="506" spans="2:3" x14ac:dyDescent="0.2">
      <c r="B506"/>
      <c r="C506"/>
    </row>
    <row r="507" spans="2:3" x14ac:dyDescent="0.2">
      <c r="B507"/>
      <c r="C507"/>
    </row>
    <row r="508" spans="2:3" x14ac:dyDescent="0.2">
      <c r="B508"/>
      <c r="C508"/>
    </row>
    <row r="509" spans="2:3" x14ac:dyDescent="0.2">
      <c r="B509"/>
      <c r="C509"/>
    </row>
    <row r="510" spans="2:3" x14ac:dyDescent="0.2">
      <c r="B510"/>
      <c r="C510"/>
    </row>
    <row r="511" spans="2:3" x14ac:dyDescent="0.2">
      <c r="B511"/>
      <c r="C511"/>
    </row>
    <row r="512" spans="2:3" x14ac:dyDescent="0.2">
      <c r="B512"/>
      <c r="C512"/>
    </row>
    <row r="513" spans="2:3" x14ac:dyDescent="0.2">
      <c r="B513"/>
      <c r="C513"/>
    </row>
    <row r="514" spans="2:3" x14ac:dyDescent="0.2">
      <c r="B514"/>
      <c r="C514"/>
    </row>
    <row r="515" spans="2:3" x14ac:dyDescent="0.2">
      <c r="B515"/>
      <c r="C515"/>
    </row>
    <row r="516" spans="2:3" x14ac:dyDescent="0.2">
      <c r="B516"/>
      <c r="C516"/>
    </row>
    <row r="517" spans="2:3" x14ac:dyDescent="0.2">
      <c r="B517"/>
      <c r="C517"/>
    </row>
    <row r="518" spans="2:3" x14ac:dyDescent="0.2">
      <c r="B518"/>
      <c r="C518"/>
    </row>
    <row r="519" spans="2:3" x14ac:dyDescent="0.2">
      <c r="B519"/>
      <c r="C519"/>
    </row>
    <row r="520" spans="2:3" x14ac:dyDescent="0.2">
      <c r="B520"/>
      <c r="C520"/>
    </row>
    <row r="521" spans="2:3" x14ac:dyDescent="0.2">
      <c r="B521"/>
      <c r="C521"/>
    </row>
    <row r="522" spans="2:3" x14ac:dyDescent="0.2">
      <c r="B522"/>
      <c r="C522"/>
    </row>
    <row r="523" spans="2:3" x14ac:dyDescent="0.2">
      <c r="B523"/>
      <c r="C523"/>
    </row>
    <row r="524" spans="2:3" x14ac:dyDescent="0.2">
      <c r="B524"/>
      <c r="C524"/>
    </row>
    <row r="525" spans="2:3" x14ac:dyDescent="0.2">
      <c r="B525"/>
      <c r="C525"/>
    </row>
    <row r="526" spans="2:3" x14ac:dyDescent="0.2">
      <c r="B526"/>
      <c r="C526"/>
    </row>
    <row r="527" spans="2:3" x14ac:dyDescent="0.2">
      <c r="B527"/>
      <c r="C527"/>
    </row>
    <row r="528" spans="2:3" x14ac:dyDescent="0.2">
      <c r="B528"/>
      <c r="C528"/>
    </row>
    <row r="529" spans="2:3" x14ac:dyDescent="0.2">
      <c r="B529"/>
      <c r="C529"/>
    </row>
    <row r="530" spans="2:3" x14ac:dyDescent="0.2">
      <c r="B530"/>
      <c r="C530"/>
    </row>
    <row r="531" spans="2:3" x14ac:dyDescent="0.2">
      <c r="B531"/>
      <c r="C531"/>
    </row>
    <row r="532" spans="2:3" x14ac:dyDescent="0.2">
      <c r="B532"/>
      <c r="C532"/>
    </row>
    <row r="533" spans="2:3" x14ac:dyDescent="0.2">
      <c r="B533"/>
      <c r="C533"/>
    </row>
    <row r="534" spans="2:3" x14ac:dyDescent="0.2">
      <c r="B534"/>
      <c r="C534"/>
    </row>
    <row r="535" spans="2:3" x14ac:dyDescent="0.2">
      <c r="B535"/>
      <c r="C535"/>
    </row>
    <row r="536" spans="2:3" x14ac:dyDescent="0.2">
      <c r="B536"/>
      <c r="C536"/>
    </row>
    <row r="537" spans="2:3" x14ac:dyDescent="0.2">
      <c r="B537"/>
      <c r="C537"/>
    </row>
    <row r="538" spans="2:3" x14ac:dyDescent="0.2">
      <c r="B538"/>
      <c r="C538"/>
    </row>
    <row r="539" spans="2:3" x14ac:dyDescent="0.2">
      <c r="B539"/>
      <c r="C539"/>
    </row>
    <row r="540" spans="2:3" x14ac:dyDescent="0.2">
      <c r="B540"/>
      <c r="C540"/>
    </row>
    <row r="541" spans="2:3" x14ac:dyDescent="0.2">
      <c r="B541"/>
      <c r="C541"/>
    </row>
    <row r="542" spans="2:3" x14ac:dyDescent="0.2">
      <c r="B542"/>
      <c r="C542"/>
    </row>
    <row r="543" spans="2:3" x14ac:dyDescent="0.2">
      <c r="B543"/>
      <c r="C543"/>
    </row>
    <row r="544" spans="2:3" x14ac:dyDescent="0.2">
      <c r="B544"/>
      <c r="C544"/>
    </row>
    <row r="545" spans="2:3" x14ac:dyDescent="0.2">
      <c r="B545"/>
      <c r="C545"/>
    </row>
    <row r="546" spans="2:3" x14ac:dyDescent="0.2">
      <c r="B546"/>
      <c r="C546"/>
    </row>
    <row r="547" spans="2:3" x14ac:dyDescent="0.2">
      <c r="B547"/>
      <c r="C547"/>
    </row>
    <row r="548" spans="2:3" x14ac:dyDescent="0.2">
      <c r="B548"/>
      <c r="C548"/>
    </row>
    <row r="549" spans="2:3" x14ac:dyDescent="0.2">
      <c r="B549"/>
      <c r="C549"/>
    </row>
    <row r="550" spans="2:3" x14ac:dyDescent="0.2">
      <c r="B550"/>
      <c r="C550"/>
    </row>
    <row r="551" spans="2:3" x14ac:dyDescent="0.2">
      <c r="B551"/>
      <c r="C551"/>
    </row>
    <row r="552" spans="2:3" x14ac:dyDescent="0.2">
      <c r="B552"/>
      <c r="C552"/>
    </row>
    <row r="553" spans="2:3" x14ac:dyDescent="0.2">
      <c r="B553"/>
      <c r="C553"/>
    </row>
    <row r="554" spans="2:3" x14ac:dyDescent="0.2">
      <c r="B554"/>
      <c r="C554"/>
    </row>
    <row r="555" spans="2:3" x14ac:dyDescent="0.2">
      <c r="B555"/>
      <c r="C555"/>
    </row>
    <row r="556" spans="2:3" x14ac:dyDescent="0.2">
      <c r="B556"/>
      <c r="C556"/>
    </row>
    <row r="557" spans="2:3" x14ac:dyDescent="0.2">
      <c r="B557"/>
      <c r="C557"/>
    </row>
    <row r="558" spans="2:3" x14ac:dyDescent="0.2">
      <c r="B558"/>
      <c r="C558"/>
    </row>
    <row r="559" spans="2:3" x14ac:dyDescent="0.2">
      <c r="B559"/>
      <c r="C559"/>
    </row>
    <row r="560" spans="2:3" x14ac:dyDescent="0.2">
      <c r="B560"/>
      <c r="C560"/>
    </row>
    <row r="561" spans="2:3" x14ac:dyDescent="0.2">
      <c r="B561"/>
      <c r="C561"/>
    </row>
    <row r="562" spans="2:3" x14ac:dyDescent="0.2">
      <c r="B562"/>
      <c r="C562"/>
    </row>
    <row r="563" spans="2:3" x14ac:dyDescent="0.2">
      <c r="B563"/>
      <c r="C563"/>
    </row>
    <row r="564" spans="2:3" x14ac:dyDescent="0.2">
      <c r="B564"/>
      <c r="C564"/>
    </row>
    <row r="565" spans="2:3" x14ac:dyDescent="0.2">
      <c r="B565"/>
      <c r="C565"/>
    </row>
    <row r="566" spans="2:3" x14ac:dyDescent="0.2">
      <c r="B566"/>
      <c r="C566"/>
    </row>
    <row r="567" spans="2:3" x14ac:dyDescent="0.2">
      <c r="B567"/>
      <c r="C567"/>
    </row>
    <row r="568" spans="2:3" x14ac:dyDescent="0.2">
      <c r="B568"/>
      <c r="C568"/>
    </row>
    <row r="569" spans="2:3" x14ac:dyDescent="0.2">
      <c r="B569"/>
      <c r="C569"/>
    </row>
    <row r="570" spans="2:3" x14ac:dyDescent="0.2">
      <c r="B570"/>
      <c r="C570"/>
    </row>
    <row r="571" spans="2:3" x14ac:dyDescent="0.2">
      <c r="B571"/>
      <c r="C571"/>
    </row>
    <row r="572" spans="2:3" x14ac:dyDescent="0.2">
      <c r="B572"/>
      <c r="C572"/>
    </row>
    <row r="573" spans="2:3" x14ac:dyDescent="0.2">
      <c r="B573"/>
      <c r="C573"/>
    </row>
    <row r="574" spans="2:3" x14ac:dyDescent="0.2">
      <c r="B574"/>
      <c r="C574"/>
    </row>
    <row r="575" spans="2:3" x14ac:dyDescent="0.2">
      <c r="B575"/>
      <c r="C575"/>
    </row>
    <row r="576" spans="2:3" x14ac:dyDescent="0.2">
      <c r="B576"/>
      <c r="C576"/>
    </row>
    <row r="577" spans="2:3" x14ac:dyDescent="0.2">
      <c r="B577"/>
      <c r="C577"/>
    </row>
    <row r="578" spans="2:3" x14ac:dyDescent="0.2">
      <c r="B578"/>
      <c r="C578"/>
    </row>
    <row r="579" spans="2:3" x14ac:dyDescent="0.2">
      <c r="B579"/>
      <c r="C579"/>
    </row>
    <row r="580" spans="2:3" x14ac:dyDescent="0.2">
      <c r="B580"/>
      <c r="C580"/>
    </row>
    <row r="581" spans="2:3" x14ac:dyDescent="0.2">
      <c r="B581"/>
      <c r="C581"/>
    </row>
    <row r="582" spans="2:3" x14ac:dyDescent="0.2">
      <c r="B582"/>
      <c r="C582"/>
    </row>
    <row r="583" spans="2:3" x14ac:dyDescent="0.2">
      <c r="B583"/>
      <c r="C583"/>
    </row>
    <row r="584" spans="2:3" x14ac:dyDescent="0.2">
      <c r="B584"/>
      <c r="C584"/>
    </row>
    <row r="585" spans="2:3" x14ac:dyDescent="0.2">
      <c r="B585"/>
      <c r="C585"/>
    </row>
    <row r="586" spans="2:3" x14ac:dyDescent="0.2">
      <c r="B586"/>
      <c r="C586"/>
    </row>
    <row r="587" spans="2:3" x14ac:dyDescent="0.2">
      <c r="B587"/>
      <c r="C587"/>
    </row>
    <row r="588" spans="2:3" x14ac:dyDescent="0.2">
      <c r="B588"/>
      <c r="C588"/>
    </row>
    <row r="589" spans="2:3" x14ac:dyDescent="0.2">
      <c r="B589"/>
      <c r="C589"/>
    </row>
    <row r="590" spans="2:3" x14ac:dyDescent="0.2">
      <c r="B590"/>
      <c r="C590"/>
    </row>
    <row r="591" spans="2:3" x14ac:dyDescent="0.2">
      <c r="B591"/>
      <c r="C591"/>
    </row>
    <row r="592" spans="2:3" x14ac:dyDescent="0.2">
      <c r="B592"/>
      <c r="C592"/>
    </row>
    <row r="593" spans="2:3" x14ac:dyDescent="0.2">
      <c r="B593"/>
      <c r="C593"/>
    </row>
    <row r="594" spans="2:3" x14ac:dyDescent="0.2">
      <c r="B594"/>
      <c r="C594"/>
    </row>
    <row r="595" spans="2:3" x14ac:dyDescent="0.2">
      <c r="B595"/>
      <c r="C595"/>
    </row>
    <row r="596" spans="2:3" x14ac:dyDescent="0.2">
      <c r="B596"/>
      <c r="C596"/>
    </row>
    <row r="597" spans="2:3" x14ac:dyDescent="0.2">
      <c r="B597"/>
      <c r="C597"/>
    </row>
    <row r="598" spans="2:3" x14ac:dyDescent="0.2">
      <c r="B598"/>
      <c r="C598"/>
    </row>
    <row r="599" spans="2:3" x14ac:dyDescent="0.2">
      <c r="B599"/>
      <c r="C599"/>
    </row>
    <row r="600" spans="2:3" x14ac:dyDescent="0.2">
      <c r="B600"/>
      <c r="C600"/>
    </row>
    <row r="601" spans="2:3" x14ac:dyDescent="0.2">
      <c r="B601"/>
      <c r="C601"/>
    </row>
    <row r="602" spans="2:3" x14ac:dyDescent="0.2">
      <c r="B602"/>
      <c r="C602"/>
    </row>
    <row r="603" spans="2:3" x14ac:dyDescent="0.2">
      <c r="B603"/>
      <c r="C603"/>
    </row>
    <row r="604" spans="2:3" x14ac:dyDescent="0.2">
      <c r="B604"/>
      <c r="C604"/>
    </row>
    <row r="605" spans="2:3" x14ac:dyDescent="0.2">
      <c r="B605"/>
      <c r="C605"/>
    </row>
    <row r="606" spans="2:3" x14ac:dyDescent="0.2">
      <c r="B606"/>
      <c r="C606"/>
    </row>
    <row r="607" spans="2:3" x14ac:dyDescent="0.2">
      <c r="B607"/>
      <c r="C607"/>
    </row>
    <row r="608" spans="2:3" x14ac:dyDescent="0.2">
      <c r="B608"/>
      <c r="C608"/>
    </row>
    <row r="609" spans="2:3" x14ac:dyDescent="0.2">
      <c r="B609"/>
      <c r="C609"/>
    </row>
    <row r="610" spans="2:3" x14ac:dyDescent="0.2">
      <c r="B610"/>
      <c r="C610"/>
    </row>
    <row r="611" spans="2:3" x14ac:dyDescent="0.2">
      <c r="B611"/>
      <c r="C611"/>
    </row>
    <row r="612" spans="2:3" x14ac:dyDescent="0.2">
      <c r="B612"/>
      <c r="C612"/>
    </row>
    <row r="613" spans="2:3" x14ac:dyDescent="0.2">
      <c r="B613"/>
      <c r="C613"/>
    </row>
    <row r="614" spans="2:3" x14ac:dyDescent="0.2">
      <c r="B614"/>
      <c r="C614"/>
    </row>
    <row r="615" spans="2:3" x14ac:dyDescent="0.2">
      <c r="B615"/>
      <c r="C615"/>
    </row>
    <row r="616" spans="2:3" x14ac:dyDescent="0.2">
      <c r="B616"/>
      <c r="C616"/>
    </row>
    <row r="617" spans="2:3" x14ac:dyDescent="0.2">
      <c r="B617"/>
      <c r="C617"/>
    </row>
    <row r="618" spans="2:3" x14ac:dyDescent="0.2">
      <c r="B618"/>
      <c r="C618"/>
    </row>
    <row r="619" spans="2:3" x14ac:dyDescent="0.2">
      <c r="B619"/>
      <c r="C619"/>
    </row>
    <row r="620" spans="2:3" x14ac:dyDescent="0.2">
      <c r="B620"/>
      <c r="C620"/>
    </row>
    <row r="621" spans="2:3" x14ac:dyDescent="0.2">
      <c r="B621"/>
      <c r="C621"/>
    </row>
    <row r="622" spans="2:3" x14ac:dyDescent="0.2">
      <c r="B622"/>
      <c r="C622"/>
    </row>
    <row r="623" spans="2:3" x14ac:dyDescent="0.2">
      <c r="B623"/>
      <c r="C623"/>
    </row>
    <row r="624" spans="2:3" x14ac:dyDescent="0.2">
      <c r="B624"/>
      <c r="C624"/>
    </row>
    <row r="625" spans="2:3" x14ac:dyDescent="0.2">
      <c r="B625"/>
      <c r="C625"/>
    </row>
    <row r="626" spans="2:3" x14ac:dyDescent="0.2">
      <c r="B626"/>
      <c r="C626"/>
    </row>
    <row r="627" spans="2:3" x14ac:dyDescent="0.2">
      <c r="B627"/>
      <c r="C627"/>
    </row>
    <row r="628" spans="2:3" x14ac:dyDescent="0.2">
      <c r="B628"/>
      <c r="C628"/>
    </row>
    <row r="629" spans="2:3" x14ac:dyDescent="0.2">
      <c r="B629"/>
      <c r="C629"/>
    </row>
    <row r="630" spans="2:3" x14ac:dyDescent="0.2">
      <c r="B630"/>
      <c r="C630"/>
    </row>
    <row r="631" spans="2:3" x14ac:dyDescent="0.2">
      <c r="B631"/>
      <c r="C631"/>
    </row>
    <row r="632" spans="2:3" x14ac:dyDescent="0.2">
      <c r="B632"/>
      <c r="C632"/>
    </row>
    <row r="633" spans="2:3" x14ac:dyDescent="0.2">
      <c r="B633"/>
      <c r="C633"/>
    </row>
    <row r="634" spans="2:3" x14ac:dyDescent="0.2">
      <c r="B634"/>
      <c r="C634"/>
    </row>
    <row r="635" spans="2:3" x14ac:dyDescent="0.2">
      <c r="B635"/>
      <c r="C635"/>
    </row>
    <row r="636" spans="2:3" x14ac:dyDescent="0.2">
      <c r="B636"/>
      <c r="C636"/>
    </row>
    <row r="637" spans="2:3" x14ac:dyDescent="0.2">
      <c r="B637"/>
      <c r="C637"/>
    </row>
    <row r="638" spans="2:3" x14ac:dyDescent="0.2">
      <c r="B638"/>
      <c r="C638"/>
    </row>
    <row r="639" spans="2:3" x14ac:dyDescent="0.2">
      <c r="B639"/>
      <c r="C639"/>
    </row>
    <row r="640" spans="2:3" x14ac:dyDescent="0.2">
      <c r="B640"/>
      <c r="C640"/>
    </row>
    <row r="641" spans="2:3" x14ac:dyDescent="0.2">
      <c r="B641"/>
      <c r="C641"/>
    </row>
    <row r="642" spans="2:3" x14ac:dyDescent="0.2">
      <c r="B642"/>
      <c r="C642"/>
    </row>
    <row r="643" spans="2:3" x14ac:dyDescent="0.2">
      <c r="B643"/>
      <c r="C643"/>
    </row>
    <row r="644" spans="2:3" x14ac:dyDescent="0.2">
      <c r="B644"/>
      <c r="C644"/>
    </row>
    <row r="645" spans="2:3" x14ac:dyDescent="0.2">
      <c r="B645"/>
      <c r="C645"/>
    </row>
    <row r="646" spans="2:3" x14ac:dyDescent="0.2">
      <c r="B646"/>
      <c r="C646"/>
    </row>
    <row r="647" spans="2:3" x14ac:dyDescent="0.2">
      <c r="B647"/>
      <c r="C647"/>
    </row>
    <row r="648" spans="2:3" x14ac:dyDescent="0.2">
      <c r="B648"/>
      <c r="C648"/>
    </row>
    <row r="649" spans="2:3" x14ac:dyDescent="0.2">
      <c r="B649"/>
      <c r="C649"/>
    </row>
    <row r="650" spans="2:3" x14ac:dyDescent="0.2">
      <c r="B650"/>
      <c r="C650"/>
    </row>
    <row r="651" spans="2:3" x14ac:dyDescent="0.2">
      <c r="B651"/>
      <c r="C651"/>
    </row>
    <row r="652" spans="2:3" x14ac:dyDescent="0.2">
      <c r="B652"/>
      <c r="C652"/>
    </row>
    <row r="653" spans="2:3" x14ac:dyDescent="0.2">
      <c r="B653"/>
      <c r="C653"/>
    </row>
    <row r="654" spans="2:3" x14ac:dyDescent="0.2">
      <c r="B654"/>
      <c r="C654"/>
    </row>
    <row r="655" spans="2:3" x14ac:dyDescent="0.2">
      <c r="B655"/>
      <c r="C655"/>
    </row>
    <row r="656" spans="2:3" x14ac:dyDescent="0.2">
      <c r="B656"/>
      <c r="C656"/>
    </row>
    <row r="657" spans="2:3" x14ac:dyDescent="0.2">
      <c r="B657"/>
      <c r="C657"/>
    </row>
    <row r="658" spans="2:3" x14ac:dyDescent="0.2">
      <c r="B658"/>
      <c r="C658"/>
    </row>
    <row r="659" spans="2:3" x14ac:dyDescent="0.2">
      <c r="B659"/>
      <c r="C659"/>
    </row>
    <row r="660" spans="2:3" x14ac:dyDescent="0.2">
      <c r="B660"/>
      <c r="C660"/>
    </row>
    <row r="661" spans="2:3" x14ac:dyDescent="0.2">
      <c r="B661"/>
      <c r="C661"/>
    </row>
    <row r="662" spans="2:3" x14ac:dyDescent="0.2">
      <c r="B662"/>
      <c r="C662"/>
    </row>
    <row r="663" spans="2:3" x14ac:dyDescent="0.2">
      <c r="B663"/>
      <c r="C663"/>
    </row>
    <row r="664" spans="2:3" x14ac:dyDescent="0.2">
      <c r="B664"/>
      <c r="C664"/>
    </row>
    <row r="665" spans="2:3" x14ac:dyDescent="0.2">
      <c r="B665"/>
      <c r="C665"/>
    </row>
    <row r="666" spans="2:3" x14ac:dyDescent="0.2">
      <c r="B666"/>
      <c r="C666"/>
    </row>
    <row r="667" spans="2:3" x14ac:dyDescent="0.2">
      <c r="B667"/>
      <c r="C667"/>
    </row>
    <row r="668" spans="2:3" x14ac:dyDescent="0.2">
      <c r="B668"/>
      <c r="C668"/>
    </row>
    <row r="669" spans="2:3" x14ac:dyDescent="0.2">
      <c r="B669"/>
      <c r="C669"/>
    </row>
    <row r="670" spans="2:3" x14ac:dyDescent="0.2">
      <c r="B670"/>
      <c r="C670"/>
    </row>
    <row r="671" spans="2:3" x14ac:dyDescent="0.2">
      <c r="B671"/>
      <c r="C671"/>
    </row>
    <row r="672" spans="2:3" x14ac:dyDescent="0.2">
      <c r="B672"/>
      <c r="C672"/>
    </row>
    <row r="673" spans="2:3" x14ac:dyDescent="0.2">
      <c r="B673"/>
      <c r="C673"/>
    </row>
    <row r="674" spans="2:3" x14ac:dyDescent="0.2">
      <c r="B674"/>
      <c r="C674"/>
    </row>
    <row r="675" spans="2:3" x14ac:dyDescent="0.2">
      <c r="B675"/>
      <c r="C675"/>
    </row>
    <row r="676" spans="2:3" x14ac:dyDescent="0.2">
      <c r="B676"/>
      <c r="C676"/>
    </row>
    <row r="677" spans="2:3" x14ac:dyDescent="0.2">
      <c r="B677"/>
      <c r="C677"/>
    </row>
    <row r="678" spans="2:3" x14ac:dyDescent="0.2">
      <c r="B678"/>
      <c r="C678"/>
    </row>
    <row r="679" spans="2:3" x14ac:dyDescent="0.2">
      <c r="B679"/>
      <c r="C679"/>
    </row>
    <row r="680" spans="2:3" x14ac:dyDescent="0.2">
      <c r="B680"/>
      <c r="C680"/>
    </row>
    <row r="681" spans="2:3" x14ac:dyDescent="0.2">
      <c r="B681"/>
      <c r="C681"/>
    </row>
    <row r="682" spans="2:3" x14ac:dyDescent="0.2">
      <c r="B682"/>
      <c r="C682"/>
    </row>
    <row r="683" spans="2:3" x14ac:dyDescent="0.2">
      <c r="B683"/>
      <c r="C683"/>
    </row>
    <row r="684" spans="2:3" x14ac:dyDescent="0.2">
      <c r="B684"/>
      <c r="C684"/>
    </row>
    <row r="685" spans="2:3" x14ac:dyDescent="0.2">
      <c r="B685"/>
      <c r="C685"/>
    </row>
    <row r="686" spans="2:3" x14ac:dyDescent="0.2">
      <c r="B686"/>
      <c r="C686"/>
    </row>
    <row r="687" spans="2:3" x14ac:dyDescent="0.2">
      <c r="B687"/>
      <c r="C687"/>
    </row>
    <row r="688" spans="2:3" x14ac:dyDescent="0.2">
      <c r="B688"/>
      <c r="C688"/>
    </row>
    <row r="689" spans="2:3" x14ac:dyDescent="0.2">
      <c r="B689"/>
      <c r="C689"/>
    </row>
    <row r="690" spans="2:3" x14ac:dyDescent="0.2">
      <c r="B690"/>
      <c r="C690"/>
    </row>
    <row r="691" spans="2:3" x14ac:dyDescent="0.2">
      <c r="B691"/>
      <c r="C691"/>
    </row>
    <row r="692" spans="2:3" x14ac:dyDescent="0.2">
      <c r="B692"/>
      <c r="C692"/>
    </row>
    <row r="693" spans="2:3" x14ac:dyDescent="0.2">
      <c r="B693"/>
      <c r="C693"/>
    </row>
    <row r="694" spans="2:3" x14ac:dyDescent="0.2">
      <c r="B694"/>
      <c r="C694"/>
    </row>
    <row r="695" spans="2:3" x14ac:dyDescent="0.2">
      <c r="B695"/>
      <c r="C695"/>
    </row>
    <row r="696" spans="2:3" x14ac:dyDescent="0.2">
      <c r="B696"/>
      <c r="C696"/>
    </row>
    <row r="697" spans="2:3" x14ac:dyDescent="0.2">
      <c r="B697"/>
      <c r="C697"/>
    </row>
    <row r="698" spans="2:3" x14ac:dyDescent="0.2">
      <c r="B698"/>
      <c r="C698"/>
    </row>
    <row r="699" spans="2:3" x14ac:dyDescent="0.2">
      <c r="B699"/>
      <c r="C699"/>
    </row>
    <row r="700" spans="2:3" x14ac:dyDescent="0.2">
      <c r="B700"/>
      <c r="C700"/>
    </row>
    <row r="701" spans="2:3" x14ac:dyDescent="0.2">
      <c r="B701"/>
      <c r="C701"/>
    </row>
    <row r="702" spans="2:3" x14ac:dyDescent="0.2">
      <c r="B702"/>
      <c r="C702"/>
    </row>
    <row r="703" spans="2:3" x14ac:dyDescent="0.2">
      <c r="B703"/>
      <c r="C703"/>
    </row>
    <row r="704" spans="2:3" x14ac:dyDescent="0.2">
      <c r="B704"/>
      <c r="C704"/>
    </row>
    <row r="705" spans="2:3" x14ac:dyDescent="0.2">
      <c r="B705"/>
      <c r="C705"/>
    </row>
    <row r="706" spans="2:3" x14ac:dyDescent="0.2">
      <c r="B706"/>
      <c r="C706"/>
    </row>
    <row r="707" spans="2:3" x14ac:dyDescent="0.2">
      <c r="B707"/>
      <c r="C707"/>
    </row>
    <row r="708" spans="2:3" x14ac:dyDescent="0.2">
      <c r="B708"/>
      <c r="C708"/>
    </row>
    <row r="709" spans="2:3" x14ac:dyDescent="0.2">
      <c r="B709"/>
      <c r="C709"/>
    </row>
    <row r="710" spans="2:3" x14ac:dyDescent="0.2">
      <c r="B710"/>
      <c r="C710"/>
    </row>
    <row r="711" spans="2:3" x14ac:dyDescent="0.2">
      <c r="B711"/>
      <c r="C711"/>
    </row>
    <row r="712" spans="2:3" x14ac:dyDescent="0.2">
      <c r="B712"/>
      <c r="C712"/>
    </row>
    <row r="713" spans="2:3" x14ac:dyDescent="0.2">
      <c r="B713"/>
      <c r="C713"/>
    </row>
    <row r="714" spans="2:3" x14ac:dyDescent="0.2">
      <c r="B714"/>
      <c r="C714"/>
    </row>
    <row r="715" spans="2:3" x14ac:dyDescent="0.2">
      <c r="B715"/>
      <c r="C715"/>
    </row>
    <row r="716" spans="2:3" x14ac:dyDescent="0.2">
      <c r="B716"/>
      <c r="C716"/>
    </row>
    <row r="717" spans="2:3" x14ac:dyDescent="0.2">
      <c r="B717"/>
      <c r="C717"/>
    </row>
    <row r="718" spans="2:3" x14ac:dyDescent="0.2">
      <c r="B718"/>
      <c r="C718"/>
    </row>
    <row r="719" spans="2:3" x14ac:dyDescent="0.2">
      <c r="B719"/>
      <c r="C719"/>
    </row>
    <row r="720" spans="2:3" x14ac:dyDescent="0.2">
      <c r="B720"/>
      <c r="C720"/>
    </row>
    <row r="721" spans="2:3" x14ac:dyDescent="0.2">
      <c r="B721"/>
      <c r="C721"/>
    </row>
    <row r="722" spans="2:3" x14ac:dyDescent="0.2">
      <c r="B722"/>
      <c r="C722"/>
    </row>
    <row r="723" spans="2:3" x14ac:dyDescent="0.2">
      <c r="B723"/>
      <c r="C723"/>
    </row>
    <row r="724" spans="2:3" x14ac:dyDescent="0.2">
      <c r="B724"/>
      <c r="C724"/>
    </row>
    <row r="725" spans="2:3" x14ac:dyDescent="0.2">
      <c r="B725"/>
      <c r="C725"/>
    </row>
    <row r="726" spans="2:3" x14ac:dyDescent="0.2">
      <c r="B726"/>
      <c r="C726"/>
    </row>
    <row r="727" spans="2:3" x14ac:dyDescent="0.2">
      <c r="B727"/>
      <c r="C727"/>
    </row>
    <row r="728" spans="2:3" x14ac:dyDescent="0.2">
      <c r="B728"/>
      <c r="C728"/>
    </row>
    <row r="729" spans="2:3" x14ac:dyDescent="0.2">
      <c r="B729"/>
      <c r="C729"/>
    </row>
    <row r="730" spans="2:3" x14ac:dyDescent="0.2">
      <c r="B730"/>
      <c r="C730"/>
    </row>
    <row r="731" spans="2:3" x14ac:dyDescent="0.2">
      <c r="B731"/>
      <c r="C731"/>
    </row>
    <row r="732" spans="2:3" x14ac:dyDescent="0.2">
      <c r="B732"/>
      <c r="C732"/>
    </row>
    <row r="733" spans="2:3" x14ac:dyDescent="0.2">
      <c r="B733"/>
      <c r="C733"/>
    </row>
    <row r="734" spans="2:3" x14ac:dyDescent="0.2">
      <c r="B734"/>
      <c r="C734"/>
    </row>
    <row r="735" spans="2:3" x14ac:dyDescent="0.2">
      <c r="B735"/>
      <c r="C735"/>
    </row>
    <row r="736" spans="2:3" x14ac:dyDescent="0.2">
      <c r="B736"/>
      <c r="C736"/>
    </row>
    <row r="737" spans="2:3" x14ac:dyDescent="0.2">
      <c r="B737"/>
      <c r="C737"/>
    </row>
    <row r="738" spans="2:3" x14ac:dyDescent="0.2">
      <c r="B738"/>
      <c r="C738"/>
    </row>
    <row r="739" spans="2:3" x14ac:dyDescent="0.2">
      <c r="B739"/>
      <c r="C739"/>
    </row>
    <row r="740" spans="2:3" x14ac:dyDescent="0.2">
      <c r="B740"/>
      <c r="C740"/>
    </row>
    <row r="741" spans="2:3" x14ac:dyDescent="0.2">
      <c r="B741"/>
      <c r="C741"/>
    </row>
    <row r="742" spans="2:3" x14ac:dyDescent="0.2">
      <c r="B742"/>
      <c r="C742"/>
    </row>
    <row r="743" spans="2:3" x14ac:dyDescent="0.2">
      <c r="B743"/>
      <c r="C743"/>
    </row>
    <row r="744" spans="2:3" x14ac:dyDescent="0.2">
      <c r="B744"/>
      <c r="C744"/>
    </row>
    <row r="745" spans="2:3" x14ac:dyDescent="0.2">
      <c r="B745"/>
      <c r="C745"/>
    </row>
    <row r="746" spans="2:3" x14ac:dyDescent="0.2">
      <c r="B746"/>
      <c r="C746"/>
    </row>
    <row r="747" spans="2:3" x14ac:dyDescent="0.2">
      <c r="B747"/>
      <c r="C747"/>
    </row>
    <row r="748" spans="2:3" x14ac:dyDescent="0.2">
      <c r="B748"/>
      <c r="C748"/>
    </row>
    <row r="749" spans="2:3" x14ac:dyDescent="0.2">
      <c r="B749"/>
      <c r="C749"/>
    </row>
    <row r="750" spans="2:3" x14ac:dyDescent="0.2">
      <c r="B750"/>
      <c r="C750"/>
    </row>
    <row r="751" spans="2:3" x14ac:dyDescent="0.2">
      <c r="B751"/>
      <c r="C751"/>
    </row>
    <row r="752" spans="2:3" x14ac:dyDescent="0.2">
      <c r="B752"/>
      <c r="C752"/>
    </row>
    <row r="753" spans="2:3" x14ac:dyDescent="0.2">
      <c r="B753"/>
      <c r="C753"/>
    </row>
    <row r="754" spans="2:3" x14ac:dyDescent="0.2">
      <c r="B754"/>
      <c r="C754"/>
    </row>
    <row r="755" spans="2:3" x14ac:dyDescent="0.2">
      <c r="B755"/>
      <c r="C755"/>
    </row>
    <row r="756" spans="2:3" x14ac:dyDescent="0.2">
      <c r="B756"/>
      <c r="C756"/>
    </row>
    <row r="757" spans="2:3" x14ac:dyDescent="0.2">
      <c r="B757"/>
      <c r="C757"/>
    </row>
    <row r="758" spans="2:3" x14ac:dyDescent="0.2">
      <c r="B758"/>
      <c r="C758"/>
    </row>
    <row r="759" spans="2:3" x14ac:dyDescent="0.2">
      <c r="B759"/>
      <c r="C759"/>
    </row>
    <row r="760" spans="2:3" x14ac:dyDescent="0.2">
      <c r="B760"/>
      <c r="C760"/>
    </row>
    <row r="761" spans="2:3" x14ac:dyDescent="0.2">
      <c r="B761"/>
      <c r="C761"/>
    </row>
    <row r="762" spans="2:3" x14ac:dyDescent="0.2">
      <c r="B762"/>
      <c r="C762"/>
    </row>
    <row r="763" spans="2:3" x14ac:dyDescent="0.2">
      <c r="B763"/>
      <c r="C763"/>
    </row>
    <row r="764" spans="2:3" x14ac:dyDescent="0.2">
      <c r="B764"/>
      <c r="C764"/>
    </row>
    <row r="765" spans="2:3" x14ac:dyDescent="0.2">
      <c r="B765"/>
      <c r="C765"/>
    </row>
    <row r="766" spans="2:3" x14ac:dyDescent="0.2">
      <c r="B766"/>
      <c r="C766"/>
    </row>
    <row r="767" spans="2:3" x14ac:dyDescent="0.2">
      <c r="B767"/>
      <c r="C767"/>
    </row>
    <row r="768" spans="2:3" x14ac:dyDescent="0.2">
      <c r="B768"/>
      <c r="C768"/>
    </row>
    <row r="769" spans="2:3" x14ac:dyDescent="0.2">
      <c r="B769"/>
      <c r="C769"/>
    </row>
    <row r="770" spans="2:3" x14ac:dyDescent="0.2">
      <c r="B770"/>
      <c r="C770"/>
    </row>
    <row r="771" spans="2:3" x14ac:dyDescent="0.2">
      <c r="B771"/>
      <c r="C771"/>
    </row>
    <row r="772" spans="2:3" x14ac:dyDescent="0.2">
      <c r="B772"/>
      <c r="C772"/>
    </row>
    <row r="773" spans="2:3" x14ac:dyDescent="0.2">
      <c r="B773"/>
      <c r="C773"/>
    </row>
    <row r="774" spans="2:3" x14ac:dyDescent="0.2">
      <c r="B774"/>
      <c r="C774"/>
    </row>
    <row r="775" spans="2:3" x14ac:dyDescent="0.2">
      <c r="B775"/>
      <c r="C775"/>
    </row>
    <row r="776" spans="2:3" x14ac:dyDescent="0.2">
      <c r="B776"/>
      <c r="C776"/>
    </row>
    <row r="777" spans="2:3" x14ac:dyDescent="0.2">
      <c r="B777"/>
      <c r="C777"/>
    </row>
    <row r="778" spans="2:3" x14ac:dyDescent="0.2">
      <c r="B778"/>
      <c r="C778"/>
    </row>
    <row r="779" spans="2:3" x14ac:dyDescent="0.2">
      <c r="B779"/>
      <c r="C779"/>
    </row>
    <row r="780" spans="2:3" x14ac:dyDescent="0.2">
      <c r="B780"/>
      <c r="C780"/>
    </row>
    <row r="781" spans="2:3" x14ac:dyDescent="0.2">
      <c r="B781"/>
      <c r="C781"/>
    </row>
    <row r="782" spans="2:3" x14ac:dyDescent="0.2">
      <c r="B782"/>
      <c r="C782"/>
    </row>
    <row r="783" spans="2:3" x14ac:dyDescent="0.2">
      <c r="B783"/>
      <c r="C783"/>
    </row>
    <row r="784" spans="2:3" x14ac:dyDescent="0.2">
      <c r="B784"/>
      <c r="C784"/>
    </row>
    <row r="785" spans="2:3" x14ac:dyDescent="0.2">
      <c r="B785"/>
      <c r="C785"/>
    </row>
    <row r="786" spans="2:3" x14ac:dyDescent="0.2">
      <c r="B786"/>
      <c r="C786"/>
    </row>
    <row r="787" spans="2:3" x14ac:dyDescent="0.2">
      <c r="B787"/>
      <c r="C787"/>
    </row>
    <row r="788" spans="2:3" x14ac:dyDescent="0.2">
      <c r="B788"/>
      <c r="C788"/>
    </row>
    <row r="789" spans="2:3" x14ac:dyDescent="0.2">
      <c r="B789"/>
      <c r="C789"/>
    </row>
    <row r="790" spans="2:3" x14ac:dyDescent="0.2">
      <c r="B790"/>
      <c r="C790"/>
    </row>
    <row r="791" spans="2:3" x14ac:dyDescent="0.2">
      <c r="B791"/>
      <c r="C791"/>
    </row>
    <row r="792" spans="2:3" x14ac:dyDescent="0.2">
      <c r="B792"/>
      <c r="C792"/>
    </row>
    <row r="793" spans="2:3" x14ac:dyDescent="0.2">
      <c r="B793"/>
      <c r="C793"/>
    </row>
    <row r="794" spans="2:3" x14ac:dyDescent="0.2">
      <c r="B794"/>
      <c r="C794"/>
    </row>
    <row r="795" spans="2:3" x14ac:dyDescent="0.2">
      <c r="B795"/>
      <c r="C795"/>
    </row>
    <row r="796" spans="2:3" x14ac:dyDescent="0.2">
      <c r="B796"/>
      <c r="C796"/>
    </row>
    <row r="797" spans="2:3" x14ac:dyDescent="0.2">
      <c r="B797"/>
      <c r="C797"/>
    </row>
    <row r="798" spans="2:3" x14ac:dyDescent="0.2">
      <c r="B798"/>
      <c r="C798"/>
    </row>
    <row r="799" spans="2:3" x14ac:dyDescent="0.2">
      <c r="B799"/>
      <c r="C799"/>
    </row>
    <row r="800" spans="2:3" x14ac:dyDescent="0.2">
      <c r="B800"/>
      <c r="C800"/>
    </row>
    <row r="801" spans="2:3" x14ac:dyDescent="0.2">
      <c r="B801"/>
      <c r="C801"/>
    </row>
    <row r="802" spans="2:3" x14ac:dyDescent="0.2">
      <c r="B802"/>
      <c r="C802"/>
    </row>
    <row r="803" spans="2:3" x14ac:dyDescent="0.2">
      <c r="B803"/>
      <c r="C803"/>
    </row>
    <row r="804" spans="2:3" x14ac:dyDescent="0.2">
      <c r="B804"/>
      <c r="C804"/>
    </row>
    <row r="805" spans="2:3" x14ac:dyDescent="0.2">
      <c r="B805"/>
      <c r="C805"/>
    </row>
    <row r="806" spans="2:3" x14ac:dyDescent="0.2">
      <c r="B806"/>
      <c r="C806"/>
    </row>
    <row r="807" spans="2:3" x14ac:dyDescent="0.2">
      <c r="B807"/>
      <c r="C807"/>
    </row>
    <row r="808" spans="2:3" x14ac:dyDescent="0.2">
      <c r="B808"/>
      <c r="C808"/>
    </row>
    <row r="809" spans="2:3" x14ac:dyDescent="0.2">
      <c r="B809"/>
      <c r="C809"/>
    </row>
    <row r="810" spans="2:3" x14ac:dyDescent="0.2">
      <c r="B810"/>
      <c r="C810"/>
    </row>
    <row r="811" spans="2:3" x14ac:dyDescent="0.2">
      <c r="B811"/>
      <c r="C811"/>
    </row>
    <row r="812" spans="2:3" x14ac:dyDescent="0.2">
      <c r="B812"/>
      <c r="C812"/>
    </row>
    <row r="813" spans="2:3" x14ac:dyDescent="0.2">
      <c r="B813"/>
      <c r="C813"/>
    </row>
    <row r="814" spans="2:3" x14ac:dyDescent="0.2">
      <c r="B814"/>
      <c r="C814"/>
    </row>
    <row r="815" spans="2:3" x14ac:dyDescent="0.2">
      <c r="B815"/>
      <c r="C815"/>
    </row>
    <row r="816" spans="2:3" x14ac:dyDescent="0.2">
      <c r="B816"/>
      <c r="C816"/>
    </row>
    <row r="817" spans="2:3" x14ac:dyDescent="0.2">
      <c r="B817"/>
      <c r="C817"/>
    </row>
    <row r="818" spans="2:3" x14ac:dyDescent="0.2">
      <c r="B818"/>
      <c r="C818"/>
    </row>
    <row r="819" spans="2:3" x14ac:dyDescent="0.2">
      <c r="B819"/>
      <c r="C819"/>
    </row>
    <row r="820" spans="2:3" x14ac:dyDescent="0.2">
      <c r="B820"/>
      <c r="C820"/>
    </row>
    <row r="821" spans="2:3" x14ac:dyDescent="0.2">
      <c r="B821"/>
      <c r="C821"/>
    </row>
    <row r="822" spans="2:3" x14ac:dyDescent="0.2">
      <c r="B822"/>
      <c r="C822"/>
    </row>
    <row r="823" spans="2:3" x14ac:dyDescent="0.2">
      <c r="B823"/>
      <c r="C823"/>
    </row>
    <row r="824" spans="2:3" x14ac:dyDescent="0.2">
      <c r="B824"/>
      <c r="C824"/>
    </row>
    <row r="825" spans="2:3" x14ac:dyDescent="0.2">
      <c r="B825"/>
      <c r="C825"/>
    </row>
    <row r="826" spans="2:3" x14ac:dyDescent="0.2">
      <c r="B826"/>
      <c r="C826"/>
    </row>
    <row r="827" spans="2:3" x14ac:dyDescent="0.2">
      <c r="B827"/>
      <c r="C827"/>
    </row>
    <row r="828" spans="2:3" x14ac:dyDescent="0.2">
      <c r="B828"/>
      <c r="C828"/>
    </row>
    <row r="829" spans="2:3" x14ac:dyDescent="0.2">
      <c r="B829"/>
      <c r="C829"/>
    </row>
    <row r="830" spans="2:3" x14ac:dyDescent="0.2">
      <c r="B830"/>
      <c r="C830"/>
    </row>
    <row r="831" spans="2:3" x14ac:dyDescent="0.2">
      <c r="B831"/>
      <c r="C831"/>
    </row>
    <row r="832" spans="2:3" x14ac:dyDescent="0.2">
      <c r="B832"/>
      <c r="C832"/>
    </row>
    <row r="833" spans="2:3" x14ac:dyDescent="0.2">
      <c r="B833"/>
      <c r="C833"/>
    </row>
    <row r="834" spans="2:3" x14ac:dyDescent="0.2">
      <c r="B834"/>
      <c r="C834"/>
    </row>
    <row r="835" spans="2:3" x14ac:dyDescent="0.2">
      <c r="B835"/>
      <c r="C835"/>
    </row>
    <row r="836" spans="2:3" x14ac:dyDescent="0.2">
      <c r="B836"/>
      <c r="C836"/>
    </row>
    <row r="837" spans="2:3" x14ac:dyDescent="0.2">
      <c r="B837"/>
      <c r="C837"/>
    </row>
    <row r="838" spans="2:3" x14ac:dyDescent="0.2">
      <c r="B838"/>
      <c r="C838"/>
    </row>
    <row r="839" spans="2:3" x14ac:dyDescent="0.2">
      <c r="B839"/>
      <c r="C839"/>
    </row>
    <row r="840" spans="2:3" x14ac:dyDescent="0.2">
      <c r="B840"/>
      <c r="C840"/>
    </row>
    <row r="841" spans="2:3" x14ac:dyDescent="0.2">
      <c r="B841"/>
      <c r="C841"/>
    </row>
    <row r="842" spans="2:3" x14ac:dyDescent="0.2">
      <c r="B842"/>
      <c r="C842"/>
    </row>
    <row r="843" spans="2:3" x14ac:dyDescent="0.2">
      <c r="B843"/>
      <c r="C843"/>
    </row>
    <row r="844" spans="2:3" x14ac:dyDescent="0.2">
      <c r="B844"/>
      <c r="C844"/>
    </row>
    <row r="845" spans="2:3" x14ac:dyDescent="0.2">
      <c r="B845"/>
      <c r="C845"/>
    </row>
    <row r="846" spans="2:3" x14ac:dyDescent="0.2">
      <c r="B846"/>
      <c r="C846"/>
    </row>
    <row r="847" spans="2:3" x14ac:dyDescent="0.2">
      <c r="B847"/>
      <c r="C847"/>
    </row>
    <row r="848" spans="2:3" x14ac:dyDescent="0.2">
      <c r="B848"/>
      <c r="C848"/>
    </row>
    <row r="849" spans="2:3" x14ac:dyDescent="0.2">
      <c r="B849"/>
      <c r="C849"/>
    </row>
    <row r="850" spans="2:3" x14ac:dyDescent="0.2">
      <c r="B850"/>
      <c r="C850"/>
    </row>
    <row r="851" spans="2:3" x14ac:dyDescent="0.2">
      <c r="B851"/>
      <c r="C851"/>
    </row>
    <row r="852" spans="2:3" x14ac:dyDescent="0.2">
      <c r="B852"/>
      <c r="C852"/>
    </row>
    <row r="853" spans="2:3" x14ac:dyDescent="0.2">
      <c r="B853"/>
      <c r="C853"/>
    </row>
    <row r="854" spans="2:3" x14ac:dyDescent="0.2">
      <c r="B854"/>
      <c r="C854"/>
    </row>
    <row r="855" spans="2:3" x14ac:dyDescent="0.2">
      <c r="B855"/>
      <c r="C855"/>
    </row>
    <row r="856" spans="2:3" x14ac:dyDescent="0.2">
      <c r="B856"/>
      <c r="C856"/>
    </row>
    <row r="857" spans="2:3" x14ac:dyDescent="0.2">
      <c r="B857"/>
      <c r="C857"/>
    </row>
    <row r="858" spans="2:3" x14ac:dyDescent="0.2">
      <c r="B858"/>
      <c r="C858"/>
    </row>
    <row r="859" spans="2:3" x14ac:dyDescent="0.2">
      <c r="B859"/>
      <c r="C859"/>
    </row>
    <row r="860" spans="2:3" x14ac:dyDescent="0.2">
      <c r="B860"/>
      <c r="C860"/>
    </row>
    <row r="861" spans="2:3" x14ac:dyDescent="0.2">
      <c r="B861"/>
      <c r="C861"/>
    </row>
    <row r="862" spans="2:3" x14ac:dyDescent="0.2">
      <c r="B862"/>
      <c r="C862"/>
    </row>
    <row r="863" spans="2:3" x14ac:dyDescent="0.2">
      <c r="B863"/>
      <c r="C863"/>
    </row>
    <row r="864" spans="2:3" x14ac:dyDescent="0.2">
      <c r="B864"/>
      <c r="C864"/>
    </row>
    <row r="865" spans="2:3" x14ac:dyDescent="0.2">
      <c r="B865"/>
      <c r="C865"/>
    </row>
    <row r="866" spans="2:3" x14ac:dyDescent="0.2">
      <c r="B866"/>
      <c r="C866"/>
    </row>
    <row r="867" spans="2:3" x14ac:dyDescent="0.2">
      <c r="B867"/>
      <c r="C867"/>
    </row>
    <row r="868" spans="2:3" x14ac:dyDescent="0.2">
      <c r="B868"/>
      <c r="C868"/>
    </row>
    <row r="869" spans="2:3" x14ac:dyDescent="0.2">
      <c r="B869"/>
      <c r="C869"/>
    </row>
    <row r="870" spans="2:3" x14ac:dyDescent="0.2">
      <c r="B870"/>
      <c r="C870"/>
    </row>
    <row r="871" spans="2:3" x14ac:dyDescent="0.2">
      <c r="B871"/>
      <c r="C871"/>
    </row>
    <row r="872" spans="2:3" x14ac:dyDescent="0.2">
      <c r="B872"/>
      <c r="C872"/>
    </row>
    <row r="873" spans="2:3" x14ac:dyDescent="0.2">
      <c r="B873"/>
      <c r="C873"/>
    </row>
    <row r="874" spans="2:3" x14ac:dyDescent="0.2">
      <c r="B874"/>
      <c r="C874"/>
    </row>
    <row r="875" spans="2:3" x14ac:dyDescent="0.2">
      <c r="B875"/>
      <c r="C875"/>
    </row>
    <row r="876" spans="2:3" x14ac:dyDescent="0.2">
      <c r="B876"/>
      <c r="C876"/>
    </row>
    <row r="877" spans="2:3" x14ac:dyDescent="0.2">
      <c r="B877"/>
      <c r="C877"/>
    </row>
    <row r="878" spans="2:3" x14ac:dyDescent="0.2">
      <c r="B878"/>
      <c r="C878"/>
    </row>
    <row r="879" spans="2:3" x14ac:dyDescent="0.2">
      <c r="B879"/>
      <c r="C879"/>
    </row>
    <row r="880" spans="2:3" x14ac:dyDescent="0.2">
      <c r="B880"/>
      <c r="C880"/>
    </row>
    <row r="881" spans="2:3" x14ac:dyDescent="0.2">
      <c r="B881"/>
      <c r="C881"/>
    </row>
    <row r="882" spans="2:3" x14ac:dyDescent="0.2">
      <c r="B882"/>
      <c r="C882"/>
    </row>
    <row r="883" spans="2:3" x14ac:dyDescent="0.2">
      <c r="B883"/>
      <c r="C883"/>
    </row>
    <row r="884" spans="2:3" x14ac:dyDescent="0.2">
      <c r="B884"/>
      <c r="C884"/>
    </row>
    <row r="885" spans="2:3" x14ac:dyDescent="0.2">
      <c r="B885"/>
      <c r="C885"/>
    </row>
    <row r="886" spans="2:3" x14ac:dyDescent="0.2">
      <c r="B886"/>
      <c r="C886"/>
    </row>
    <row r="887" spans="2:3" x14ac:dyDescent="0.2">
      <c r="B887"/>
      <c r="C887"/>
    </row>
    <row r="888" spans="2:3" x14ac:dyDescent="0.2">
      <c r="B888"/>
      <c r="C888"/>
    </row>
    <row r="889" spans="2:3" x14ac:dyDescent="0.2">
      <c r="B889"/>
      <c r="C889"/>
    </row>
    <row r="890" spans="2:3" x14ac:dyDescent="0.2">
      <c r="B890"/>
      <c r="C890"/>
    </row>
    <row r="891" spans="2:3" x14ac:dyDescent="0.2">
      <c r="B891"/>
      <c r="C891"/>
    </row>
    <row r="892" spans="2:3" x14ac:dyDescent="0.2">
      <c r="B892"/>
      <c r="C892"/>
    </row>
    <row r="893" spans="2:3" x14ac:dyDescent="0.2">
      <c r="B893"/>
      <c r="C893"/>
    </row>
    <row r="894" spans="2:3" x14ac:dyDescent="0.2">
      <c r="B894"/>
      <c r="C894"/>
    </row>
    <row r="895" spans="2:3" x14ac:dyDescent="0.2">
      <c r="B895"/>
      <c r="C895"/>
    </row>
    <row r="896" spans="2:3" x14ac:dyDescent="0.2">
      <c r="B896"/>
      <c r="C896"/>
    </row>
    <row r="897" spans="2:3" x14ac:dyDescent="0.2">
      <c r="B897"/>
      <c r="C897"/>
    </row>
    <row r="898" spans="2:3" x14ac:dyDescent="0.2">
      <c r="B898"/>
      <c r="C898"/>
    </row>
    <row r="899" spans="2:3" x14ac:dyDescent="0.2">
      <c r="B899"/>
      <c r="C899"/>
    </row>
    <row r="900" spans="2:3" x14ac:dyDescent="0.2">
      <c r="B900"/>
      <c r="C900"/>
    </row>
    <row r="901" spans="2:3" x14ac:dyDescent="0.2">
      <c r="B901"/>
      <c r="C901"/>
    </row>
    <row r="902" spans="2:3" x14ac:dyDescent="0.2">
      <c r="B902"/>
      <c r="C902"/>
    </row>
    <row r="903" spans="2:3" x14ac:dyDescent="0.2">
      <c r="B903"/>
      <c r="C903"/>
    </row>
    <row r="904" spans="2:3" x14ac:dyDescent="0.2">
      <c r="B904"/>
      <c r="C904"/>
    </row>
    <row r="905" spans="2:3" x14ac:dyDescent="0.2">
      <c r="B905"/>
      <c r="C905"/>
    </row>
    <row r="906" spans="2:3" x14ac:dyDescent="0.2">
      <c r="B906"/>
      <c r="C906"/>
    </row>
    <row r="907" spans="2:3" x14ac:dyDescent="0.2">
      <c r="B907"/>
      <c r="C907"/>
    </row>
    <row r="908" spans="2:3" x14ac:dyDescent="0.2">
      <c r="B908"/>
      <c r="C908"/>
    </row>
    <row r="909" spans="2:3" x14ac:dyDescent="0.2">
      <c r="B909"/>
      <c r="C909"/>
    </row>
    <row r="910" spans="2:3" x14ac:dyDescent="0.2">
      <c r="B910"/>
      <c r="C910"/>
    </row>
    <row r="911" spans="2:3" x14ac:dyDescent="0.2">
      <c r="B911"/>
      <c r="C911"/>
    </row>
    <row r="912" spans="2:3" x14ac:dyDescent="0.2">
      <c r="B912"/>
      <c r="C912"/>
    </row>
    <row r="913" spans="2:3" x14ac:dyDescent="0.2">
      <c r="B913"/>
      <c r="C913"/>
    </row>
    <row r="914" spans="2:3" x14ac:dyDescent="0.2">
      <c r="B914"/>
      <c r="C914"/>
    </row>
    <row r="915" spans="2:3" x14ac:dyDescent="0.2">
      <c r="B915"/>
      <c r="C915"/>
    </row>
    <row r="916" spans="2:3" x14ac:dyDescent="0.2">
      <c r="B916"/>
      <c r="C916"/>
    </row>
    <row r="917" spans="2:3" x14ac:dyDescent="0.2">
      <c r="B917"/>
      <c r="C917"/>
    </row>
    <row r="918" spans="2:3" x14ac:dyDescent="0.2">
      <c r="B918"/>
      <c r="C918"/>
    </row>
    <row r="919" spans="2:3" x14ac:dyDescent="0.2">
      <c r="B919"/>
      <c r="C919"/>
    </row>
    <row r="920" spans="2:3" x14ac:dyDescent="0.2">
      <c r="B920"/>
      <c r="C920"/>
    </row>
    <row r="921" spans="2:3" x14ac:dyDescent="0.2">
      <c r="B921"/>
      <c r="C921"/>
    </row>
    <row r="922" spans="2:3" x14ac:dyDescent="0.2">
      <c r="B922"/>
      <c r="C922"/>
    </row>
    <row r="923" spans="2:3" x14ac:dyDescent="0.2">
      <c r="B923"/>
      <c r="C923"/>
    </row>
    <row r="924" spans="2:3" x14ac:dyDescent="0.2">
      <c r="B924"/>
      <c r="C924"/>
    </row>
    <row r="925" spans="2:3" x14ac:dyDescent="0.2">
      <c r="B925"/>
      <c r="C925"/>
    </row>
    <row r="926" spans="2:3" x14ac:dyDescent="0.2">
      <c r="B926"/>
      <c r="C926"/>
    </row>
    <row r="927" spans="2:3" x14ac:dyDescent="0.2">
      <c r="B927"/>
      <c r="C927"/>
    </row>
    <row r="928" spans="2:3" x14ac:dyDescent="0.2">
      <c r="B928"/>
      <c r="C928"/>
    </row>
    <row r="929" spans="2:3" x14ac:dyDescent="0.2">
      <c r="B929"/>
      <c r="C929"/>
    </row>
    <row r="930" spans="2:3" x14ac:dyDescent="0.2">
      <c r="B930"/>
      <c r="C930"/>
    </row>
    <row r="931" spans="2:3" x14ac:dyDescent="0.2">
      <c r="B931"/>
      <c r="C931"/>
    </row>
    <row r="932" spans="2:3" x14ac:dyDescent="0.2">
      <c r="B932"/>
      <c r="C932"/>
    </row>
    <row r="933" spans="2:3" x14ac:dyDescent="0.2">
      <c r="B933"/>
      <c r="C933"/>
    </row>
    <row r="934" spans="2:3" x14ac:dyDescent="0.2">
      <c r="B934"/>
      <c r="C934"/>
    </row>
    <row r="935" spans="2:3" x14ac:dyDescent="0.2">
      <c r="B935"/>
      <c r="C935"/>
    </row>
    <row r="936" spans="2:3" x14ac:dyDescent="0.2">
      <c r="B936"/>
      <c r="C936"/>
    </row>
    <row r="937" spans="2:3" x14ac:dyDescent="0.2">
      <c r="B937"/>
      <c r="C937"/>
    </row>
    <row r="938" spans="2:3" x14ac:dyDescent="0.2">
      <c r="B938"/>
      <c r="C938"/>
    </row>
    <row r="939" spans="2:3" x14ac:dyDescent="0.2">
      <c r="B939"/>
      <c r="C939"/>
    </row>
    <row r="940" spans="2:3" x14ac:dyDescent="0.2">
      <c r="B940"/>
      <c r="C940"/>
    </row>
    <row r="941" spans="2:3" x14ac:dyDescent="0.2">
      <c r="B941"/>
      <c r="C941"/>
    </row>
    <row r="942" spans="2:3" x14ac:dyDescent="0.2">
      <c r="B942"/>
      <c r="C942"/>
    </row>
    <row r="943" spans="2:3" x14ac:dyDescent="0.2">
      <c r="B943"/>
      <c r="C943"/>
    </row>
    <row r="944" spans="2:3" x14ac:dyDescent="0.2">
      <c r="B944"/>
      <c r="C944"/>
    </row>
    <row r="945" spans="2:3" x14ac:dyDescent="0.2">
      <c r="B945"/>
      <c r="C945"/>
    </row>
    <row r="946" spans="2:3" x14ac:dyDescent="0.2">
      <c r="B946"/>
      <c r="C946"/>
    </row>
    <row r="947" spans="2:3" x14ac:dyDescent="0.2">
      <c r="B947"/>
      <c r="C947"/>
    </row>
    <row r="948" spans="2:3" x14ac:dyDescent="0.2">
      <c r="B948"/>
      <c r="C948"/>
    </row>
    <row r="949" spans="2:3" x14ac:dyDescent="0.2">
      <c r="B949"/>
      <c r="C949"/>
    </row>
    <row r="950" spans="2:3" x14ac:dyDescent="0.2">
      <c r="B950"/>
      <c r="C950"/>
    </row>
    <row r="951" spans="2:3" x14ac:dyDescent="0.2">
      <c r="B951"/>
      <c r="C951"/>
    </row>
    <row r="952" spans="2:3" x14ac:dyDescent="0.2">
      <c r="B952"/>
      <c r="C952"/>
    </row>
    <row r="953" spans="2:3" x14ac:dyDescent="0.2">
      <c r="B953"/>
      <c r="C953"/>
    </row>
    <row r="954" spans="2:3" x14ac:dyDescent="0.2">
      <c r="B954"/>
      <c r="C954"/>
    </row>
    <row r="955" spans="2:3" x14ac:dyDescent="0.2">
      <c r="B955"/>
      <c r="C955"/>
    </row>
    <row r="956" spans="2:3" x14ac:dyDescent="0.2">
      <c r="B956"/>
      <c r="C956"/>
    </row>
    <row r="957" spans="2:3" x14ac:dyDescent="0.2">
      <c r="B957"/>
      <c r="C957"/>
    </row>
    <row r="958" spans="2:3" x14ac:dyDescent="0.2">
      <c r="B958"/>
      <c r="C958"/>
    </row>
    <row r="959" spans="2:3" x14ac:dyDescent="0.2">
      <c r="B959"/>
      <c r="C959"/>
    </row>
    <row r="960" spans="2:3" x14ac:dyDescent="0.2">
      <c r="B960"/>
      <c r="C960"/>
    </row>
    <row r="961" spans="2:3" x14ac:dyDescent="0.2">
      <c r="B961"/>
      <c r="C961"/>
    </row>
    <row r="962" spans="2:3" x14ac:dyDescent="0.2">
      <c r="B962"/>
      <c r="C962"/>
    </row>
    <row r="963" spans="2:3" x14ac:dyDescent="0.2">
      <c r="B963"/>
      <c r="C963"/>
    </row>
    <row r="964" spans="2:3" x14ac:dyDescent="0.2">
      <c r="B964"/>
      <c r="C964"/>
    </row>
    <row r="965" spans="2:3" x14ac:dyDescent="0.2">
      <c r="B965"/>
      <c r="C965"/>
    </row>
    <row r="966" spans="2:3" x14ac:dyDescent="0.2">
      <c r="B966"/>
      <c r="C966"/>
    </row>
    <row r="967" spans="2:3" x14ac:dyDescent="0.2">
      <c r="B967"/>
      <c r="C967"/>
    </row>
    <row r="968" spans="2:3" x14ac:dyDescent="0.2">
      <c r="B968"/>
      <c r="C968"/>
    </row>
    <row r="969" spans="2:3" x14ac:dyDescent="0.2">
      <c r="B969"/>
      <c r="C969"/>
    </row>
    <row r="970" spans="2:3" x14ac:dyDescent="0.2">
      <c r="B970"/>
      <c r="C970"/>
    </row>
    <row r="971" spans="2:3" x14ac:dyDescent="0.2">
      <c r="B971"/>
      <c r="C971"/>
    </row>
    <row r="972" spans="2:3" x14ac:dyDescent="0.2">
      <c r="B972"/>
      <c r="C972"/>
    </row>
    <row r="973" spans="2:3" x14ac:dyDescent="0.2">
      <c r="B973"/>
      <c r="C973"/>
    </row>
    <row r="974" spans="2:3" x14ac:dyDescent="0.2">
      <c r="B974"/>
      <c r="C974"/>
    </row>
    <row r="975" spans="2:3" x14ac:dyDescent="0.2">
      <c r="B975"/>
      <c r="C975"/>
    </row>
    <row r="976" spans="2:3" x14ac:dyDescent="0.2">
      <c r="B976"/>
      <c r="C976"/>
    </row>
    <row r="977" spans="2:3" x14ac:dyDescent="0.2">
      <c r="B977"/>
      <c r="C977"/>
    </row>
    <row r="978" spans="2:3" x14ac:dyDescent="0.2">
      <c r="B978"/>
      <c r="C978"/>
    </row>
    <row r="979" spans="2:3" x14ac:dyDescent="0.2">
      <c r="B979"/>
      <c r="C979"/>
    </row>
    <row r="980" spans="2:3" x14ac:dyDescent="0.2">
      <c r="B980"/>
      <c r="C980"/>
    </row>
    <row r="981" spans="2:3" x14ac:dyDescent="0.2">
      <c r="B981"/>
      <c r="C981"/>
    </row>
    <row r="982" spans="2:3" x14ac:dyDescent="0.2">
      <c r="B982"/>
      <c r="C982"/>
    </row>
    <row r="983" spans="2:3" x14ac:dyDescent="0.2">
      <c r="B983"/>
      <c r="C983"/>
    </row>
    <row r="984" spans="2:3" x14ac:dyDescent="0.2">
      <c r="B984"/>
      <c r="C984"/>
    </row>
    <row r="985" spans="2:3" x14ac:dyDescent="0.2">
      <c r="B985"/>
      <c r="C985"/>
    </row>
    <row r="986" spans="2:3" x14ac:dyDescent="0.2">
      <c r="B986"/>
      <c r="C986"/>
    </row>
    <row r="987" spans="2:3" x14ac:dyDescent="0.2">
      <c r="B987"/>
      <c r="C987"/>
    </row>
    <row r="988" spans="2:3" x14ac:dyDescent="0.2">
      <c r="B988"/>
      <c r="C988"/>
    </row>
    <row r="989" spans="2:3" x14ac:dyDescent="0.2">
      <c r="B989"/>
      <c r="C989"/>
    </row>
    <row r="990" spans="2:3" x14ac:dyDescent="0.2">
      <c r="B990"/>
      <c r="C990"/>
    </row>
    <row r="991" spans="2:3" x14ac:dyDescent="0.2">
      <c r="B991"/>
      <c r="C991"/>
    </row>
    <row r="992" spans="2:3" x14ac:dyDescent="0.2">
      <c r="B992"/>
      <c r="C992"/>
    </row>
    <row r="993" spans="2:3" x14ac:dyDescent="0.2">
      <c r="B993"/>
      <c r="C993"/>
    </row>
    <row r="994" spans="2:3" x14ac:dyDescent="0.2">
      <c r="B994"/>
      <c r="C994"/>
    </row>
    <row r="995" spans="2:3" x14ac:dyDescent="0.2">
      <c r="B995"/>
      <c r="C995"/>
    </row>
    <row r="996" spans="2:3" x14ac:dyDescent="0.2">
      <c r="B996"/>
      <c r="C996"/>
    </row>
    <row r="997" spans="2:3" x14ac:dyDescent="0.2">
      <c r="B997"/>
      <c r="C997"/>
    </row>
    <row r="998" spans="2:3" x14ac:dyDescent="0.2">
      <c r="B998"/>
      <c r="C998"/>
    </row>
    <row r="999" spans="2:3" x14ac:dyDescent="0.2">
      <c r="B999"/>
      <c r="C999"/>
    </row>
    <row r="1000" spans="2:3" x14ac:dyDescent="0.2">
      <c r="B1000"/>
      <c r="C1000"/>
    </row>
    <row r="1001" spans="2:3" x14ac:dyDescent="0.2">
      <c r="B1001"/>
      <c r="C1001"/>
    </row>
    <row r="1002" spans="2:3" x14ac:dyDescent="0.2">
      <c r="B1002"/>
      <c r="C1002"/>
    </row>
    <row r="1003" spans="2:3" x14ac:dyDescent="0.2">
      <c r="B1003"/>
      <c r="C1003"/>
    </row>
    <row r="1004" spans="2:3" x14ac:dyDescent="0.2">
      <c r="B1004"/>
      <c r="C1004"/>
    </row>
    <row r="1005" spans="2:3" x14ac:dyDescent="0.2">
      <c r="B1005"/>
      <c r="C1005"/>
    </row>
    <row r="1006" spans="2:3" x14ac:dyDescent="0.2">
      <c r="B1006"/>
      <c r="C1006"/>
    </row>
    <row r="1007" spans="2:3" x14ac:dyDescent="0.2">
      <c r="B1007"/>
      <c r="C1007"/>
    </row>
    <row r="1008" spans="2:3" x14ac:dyDescent="0.2">
      <c r="B1008"/>
      <c r="C1008"/>
    </row>
    <row r="1009" spans="2:3" x14ac:dyDescent="0.2">
      <c r="B1009"/>
      <c r="C1009"/>
    </row>
    <row r="1010" spans="2:3" x14ac:dyDescent="0.2">
      <c r="B1010"/>
      <c r="C1010"/>
    </row>
    <row r="1011" spans="2:3" x14ac:dyDescent="0.2">
      <c r="B1011"/>
      <c r="C1011"/>
    </row>
    <row r="1012" spans="2:3" x14ac:dyDescent="0.2">
      <c r="B1012"/>
      <c r="C1012"/>
    </row>
    <row r="1013" spans="2:3" x14ac:dyDescent="0.2">
      <c r="B1013"/>
      <c r="C1013"/>
    </row>
    <row r="1014" spans="2:3" x14ac:dyDescent="0.2">
      <c r="B1014"/>
      <c r="C1014"/>
    </row>
    <row r="1015" spans="2:3" x14ac:dyDescent="0.2">
      <c r="B1015"/>
      <c r="C1015"/>
    </row>
    <row r="1016" spans="2:3" x14ac:dyDescent="0.2">
      <c r="B1016"/>
      <c r="C1016"/>
    </row>
    <row r="1017" spans="2:3" x14ac:dyDescent="0.2">
      <c r="B1017"/>
      <c r="C1017"/>
    </row>
    <row r="1018" spans="2:3" x14ac:dyDescent="0.2">
      <c r="B1018"/>
      <c r="C1018"/>
    </row>
    <row r="1019" spans="2:3" x14ac:dyDescent="0.2">
      <c r="B1019"/>
      <c r="C1019"/>
    </row>
    <row r="1020" spans="2:3" x14ac:dyDescent="0.2">
      <c r="B1020"/>
      <c r="C1020"/>
    </row>
    <row r="1021" spans="2:3" x14ac:dyDescent="0.2">
      <c r="B1021"/>
      <c r="C1021"/>
    </row>
    <row r="1022" spans="2:3" x14ac:dyDescent="0.2">
      <c r="B1022"/>
      <c r="C1022"/>
    </row>
    <row r="1023" spans="2:3" x14ac:dyDescent="0.2">
      <c r="B1023"/>
      <c r="C1023"/>
    </row>
    <row r="1024" spans="2:3" x14ac:dyDescent="0.2">
      <c r="B1024"/>
      <c r="C1024"/>
    </row>
    <row r="1025" spans="2:3" x14ac:dyDescent="0.2">
      <c r="B1025"/>
      <c r="C1025"/>
    </row>
    <row r="1026" spans="2:3" x14ac:dyDescent="0.2">
      <c r="B1026"/>
      <c r="C1026"/>
    </row>
    <row r="1027" spans="2:3" x14ac:dyDescent="0.2">
      <c r="B1027"/>
      <c r="C1027"/>
    </row>
    <row r="1028" spans="2:3" x14ac:dyDescent="0.2">
      <c r="B1028"/>
      <c r="C1028"/>
    </row>
    <row r="1029" spans="2:3" x14ac:dyDescent="0.2">
      <c r="B1029"/>
      <c r="C1029"/>
    </row>
    <row r="1030" spans="2:3" x14ac:dyDescent="0.2">
      <c r="B1030"/>
      <c r="C1030"/>
    </row>
    <row r="1031" spans="2:3" x14ac:dyDescent="0.2">
      <c r="B1031"/>
      <c r="C1031"/>
    </row>
    <row r="1032" spans="2:3" x14ac:dyDescent="0.2">
      <c r="B1032"/>
      <c r="C1032"/>
    </row>
    <row r="1033" spans="2:3" x14ac:dyDescent="0.2">
      <c r="B1033"/>
      <c r="C1033"/>
    </row>
    <row r="1034" spans="2:3" x14ac:dyDescent="0.2">
      <c r="B1034"/>
      <c r="C1034"/>
    </row>
    <row r="1035" spans="2:3" x14ac:dyDescent="0.2">
      <c r="B1035"/>
      <c r="C1035"/>
    </row>
    <row r="1036" spans="2:3" x14ac:dyDescent="0.2">
      <c r="B1036"/>
      <c r="C1036"/>
    </row>
    <row r="1037" spans="2:3" x14ac:dyDescent="0.2">
      <c r="B1037"/>
      <c r="C1037"/>
    </row>
    <row r="1038" spans="2:3" x14ac:dyDescent="0.2">
      <c r="B1038"/>
      <c r="C1038"/>
    </row>
    <row r="1039" spans="2:3" x14ac:dyDescent="0.2">
      <c r="B1039"/>
      <c r="C1039"/>
    </row>
    <row r="1040" spans="2:3" x14ac:dyDescent="0.2">
      <c r="B1040"/>
      <c r="C1040"/>
    </row>
    <row r="1041" spans="2:3" x14ac:dyDescent="0.2">
      <c r="B1041"/>
      <c r="C1041"/>
    </row>
    <row r="1042" spans="2:3" x14ac:dyDescent="0.2">
      <c r="B1042"/>
      <c r="C1042"/>
    </row>
    <row r="1043" spans="2:3" x14ac:dyDescent="0.2">
      <c r="B1043"/>
      <c r="C1043"/>
    </row>
    <row r="1044" spans="2:3" x14ac:dyDescent="0.2">
      <c r="B1044"/>
      <c r="C1044"/>
    </row>
    <row r="1045" spans="2:3" x14ac:dyDescent="0.2">
      <c r="B1045"/>
      <c r="C1045"/>
    </row>
    <row r="1046" spans="2:3" x14ac:dyDescent="0.2">
      <c r="B1046"/>
      <c r="C1046"/>
    </row>
    <row r="1047" spans="2:3" x14ac:dyDescent="0.2">
      <c r="B1047"/>
      <c r="C1047"/>
    </row>
    <row r="1048" spans="2:3" x14ac:dyDescent="0.2">
      <c r="B1048"/>
      <c r="C1048"/>
    </row>
    <row r="1049" spans="2:3" x14ac:dyDescent="0.2">
      <c r="B1049"/>
      <c r="C1049"/>
    </row>
    <row r="1050" spans="2:3" x14ac:dyDescent="0.2">
      <c r="B1050"/>
      <c r="C1050"/>
    </row>
    <row r="1051" spans="2:3" x14ac:dyDescent="0.2">
      <c r="B1051"/>
      <c r="C1051"/>
    </row>
    <row r="1052" spans="2:3" x14ac:dyDescent="0.2">
      <c r="B1052"/>
      <c r="C1052"/>
    </row>
    <row r="1053" spans="2:3" x14ac:dyDescent="0.2">
      <c r="B1053"/>
      <c r="C1053"/>
    </row>
    <row r="1054" spans="2:3" x14ac:dyDescent="0.2">
      <c r="B1054"/>
      <c r="C1054"/>
    </row>
    <row r="1055" spans="2:3" x14ac:dyDescent="0.2">
      <c r="B1055"/>
      <c r="C1055"/>
    </row>
    <row r="1056" spans="2:3" x14ac:dyDescent="0.2">
      <c r="B1056"/>
      <c r="C1056"/>
    </row>
    <row r="1057" spans="2:3" x14ac:dyDescent="0.2">
      <c r="B1057"/>
      <c r="C1057"/>
    </row>
    <row r="1058" spans="2:3" x14ac:dyDescent="0.2">
      <c r="B1058"/>
      <c r="C1058"/>
    </row>
    <row r="1059" spans="2:3" x14ac:dyDescent="0.2">
      <c r="B1059"/>
      <c r="C1059"/>
    </row>
    <row r="1060" spans="2:3" x14ac:dyDescent="0.2">
      <c r="B1060"/>
      <c r="C1060"/>
    </row>
    <row r="1061" spans="2:3" x14ac:dyDescent="0.2">
      <c r="B1061"/>
      <c r="C1061"/>
    </row>
    <row r="1062" spans="2:3" x14ac:dyDescent="0.2">
      <c r="B1062"/>
      <c r="C1062"/>
    </row>
    <row r="1063" spans="2:3" x14ac:dyDescent="0.2">
      <c r="B1063"/>
      <c r="C1063"/>
    </row>
    <row r="1064" spans="2:3" x14ac:dyDescent="0.2">
      <c r="B1064"/>
      <c r="C1064"/>
    </row>
    <row r="1065" spans="2:3" x14ac:dyDescent="0.2">
      <c r="B1065"/>
      <c r="C1065"/>
    </row>
    <row r="1066" spans="2:3" x14ac:dyDescent="0.2">
      <c r="B1066"/>
      <c r="C1066"/>
    </row>
    <row r="1067" spans="2:3" x14ac:dyDescent="0.2">
      <c r="B1067"/>
      <c r="C1067"/>
    </row>
    <row r="1068" spans="2:3" x14ac:dyDescent="0.2">
      <c r="B1068"/>
      <c r="C1068"/>
    </row>
    <row r="1069" spans="2:3" x14ac:dyDescent="0.2">
      <c r="B1069"/>
      <c r="C1069"/>
    </row>
    <row r="1070" spans="2:3" x14ac:dyDescent="0.2">
      <c r="B1070"/>
      <c r="C1070"/>
    </row>
    <row r="1071" spans="2:3" x14ac:dyDescent="0.2">
      <c r="B1071"/>
      <c r="C1071"/>
    </row>
    <row r="1072" spans="2:3" x14ac:dyDescent="0.2">
      <c r="B1072"/>
      <c r="C1072"/>
    </row>
    <row r="1073" spans="2:3" x14ac:dyDescent="0.2">
      <c r="B1073"/>
      <c r="C1073"/>
    </row>
    <row r="1074" spans="2:3" x14ac:dyDescent="0.2">
      <c r="B1074"/>
      <c r="C1074"/>
    </row>
    <row r="1075" spans="2:3" x14ac:dyDescent="0.2">
      <c r="B1075"/>
      <c r="C1075"/>
    </row>
    <row r="1076" spans="2:3" x14ac:dyDescent="0.2">
      <c r="B1076"/>
      <c r="C1076"/>
    </row>
    <row r="1077" spans="2:3" x14ac:dyDescent="0.2">
      <c r="B1077"/>
      <c r="C1077"/>
    </row>
    <row r="1078" spans="2:3" x14ac:dyDescent="0.2">
      <c r="B1078"/>
      <c r="C1078"/>
    </row>
    <row r="1079" spans="2:3" x14ac:dyDescent="0.2">
      <c r="B1079"/>
      <c r="C1079"/>
    </row>
    <row r="1080" spans="2:3" x14ac:dyDescent="0.2">
      <c r="B1080"/>
      <c r="C1080"/>
    </row>
    <row r="1081" spans="2:3" x14ac:dyDescent="0.2">
      <c r="B1081"/>
      <c r="C1081"/>
    </row>
    <row r="1082" spans="2:3" x14ac:dyDescent="0.2">
      <c r="B1082"/>
      <c r="C1082"/>
    </row>
    <row r="1083" spans="2:3" x14ac:dyDescent="0.2">
      <c r="B1083"/>
      <c r="C1083"/>
    </row>
    <row r="1084" spans="2:3" x14ac:dyDescent="0.2">
      <c r="B1084"/>
      <c r="C1084"/>
    </row>
    <row r="1085" spans="2:3" x14ac:dyDescent="0.2">
      <c r="B1085"/>
      <c r="C1085"/>
    </row>
    <row r="1086" spans="2:3" x14ac:dyDescent="0.2">
      <c r="B1086"/>
      <c r="C1086"/>
    </row>
    <row r="1087" spans="2:3" x14ac:dyDescent="0.2">
      <c r="B1087"/>
      <c r="C1087"/>
    </row>
    <row r="1088" spans="2:3" x14ac:dyDescent="0.2">
      <c r="B1088"/>
      <c r="C1088"/>
    </row>
    <row r="1089" spans="2:3" x14ac:dyDescent="0.2">
      <c r="B1089"/>
      <c r="C1089"/>
    </row>
    <row r="1090" spans="2:3" x14ac:dyDescent="0.2">
      <c r="B1090"/>
      <c r="C1090"/>
    </row>
    <row r="1091" spans="2:3" x14ac:dyDescent="0.2">
      <c r="B1091"/>
      <c r="C1091"/>
    </row>
    <row r="1092" spans="2:3" x14ac:dyDescent="0.2">
      <c r="B1092"/>
      <c r="C1092"/>
    </row>
    <row r="1093" spans="2:3" x14ac:dyDescent="0.2">
      <c r="B1093"/>
      <c r="C1093"/>
    </row>
    <row r="1094" spans="2:3" x14ac:dyDescent="0.2">
      <c r="B1094"/>
      <c r="C1094"/>
    </row>
    <row r="1095" spans="2:3" x14ac:dyDescent="0.2">
      <c r="B1095"/>
      <c r="C1095"/>
    </row>
    <row r="1096" spans="2:3" x14ac:dyDescent="0.2">
      <c r="B1096"/>
      <c r="C1096"/>
    </row>
    <row r="1097" spans="2:3" x14ac:dyDescent="0.2">
      <c r="B1097"/>
      <c r="C1097"/>
    </row>
    <row r="1098" spans="2:3" x14ac:dyDescent="0.2">
      <c r="B1098"/>
      <c r="C1098"/>
    </row>
    <row r="1099" spans="2:3" x14ac:dyDescent="0.2">
      <c r="B1099"/>
      <c r="C1099"/>
    </row>
    <row r="1100" spans="2:3" x14ac:dyDescent="0.2">
      <c r="B1100"/>
      <c r="C1100"/>
    </row>
    <row r="1101" spans="2:3" x14ac:dyDescent="0.2">
      <c r="B1101"/>
      <c r="C1101"/>
    </row>
    <row r="1102" spans="2:3" x14ac:dyDescent="0.2">
      <c r="B1102"/>
      <c r="C1102"/>
    </row>
    <row r="1103" spans="2:3" x14ac:dyDescent="0.2">
      <c r="B1103"/>
      <c r="C1103"/>
    </row>
    <row r="1104" spans="2:3" x14ac:dyDescent="0.2">
      <c r="B1104"/>
      <c r="C1104"/>
    </row>
    <row r="1105" spans="2:3" x14ac:dyDescent="0.2">
      <c r="B1105"/>
      <c r="C1105"/>
    </row>
    <row r="1106" spans="2:3" x14ac:dyDescent="0.2">
      <c r="B1106"/>
      <c r="C1106"/>
    </row>
    <row r="1107" spans="2:3" x14ac:dyDescent="0.2">
      <c r="B1107"/>
      <c r="C1107"/>
    </row>
    <row r="1108" spans="2:3" x14ac:dyDescent="0.2">
      <c r="B1108"/>
      <c r="C1108"/>
    </row>
    <row r="1109" spans="2:3" x14ac:dyDescent="0.2">
      <c r="B1109"/>
      <c r="C1109"/>
    </row>
    <row r="1110" spans="2:3" x14ac:dyDescent="0.2">
      <c r="B1110"/>
      <c r="C1110"/>
    </row>
    <row r="1111" spans="2:3" x14ac:dyDescent="0.2">
      <c r="B1111"/>
      <c r="C1111"/>
    </row>
    <row r="1112" spans="2:3" x14ac:dyDescent="0.2">
      <c r="B1112"/>
      <c r="C1112"/>
    </row>
    <row r="1113" spans="2:3" x14ac:dyDescent="0.2">
      <c r="B1113"/>
      <c r="C1113"/>
    </row>
    <row r="1114" spans="2:3" x14ac:dyDescent="0.2">
      <c r="B1114"/>
      <c r="C1114"/>
    </row>
    <row r="1115" spans="2:3" x14ac:dyDescent="0.2">
      <c r="B1115"/>
      <c r="C1115"/>
    </row>
    <row r="1116" spans="2:3" x14ac:dyDescent="0.2">
      <c r="B1116"/>
      <c r="C1116"/>
    </row>
    <row r="1117" spans="2:3" x14ac:dyDescent="0.2">
      <c r="B1117"/>
      <c r="C1117"/>
    </row>
    <row r="1118" spans="2:3" x14ac:dyDescent="0.2">
      <c r="B1118"/>
      <c r="C1118"/>
    </row>
    <row r="1119" spans="2:3" x14ac:dyDescent="0.2">
      <c r="B1119"/>
      <c r="C1119"/>
    </row>
    <row r="1120" spans="2:3" x14ac:dyDescent="0.2">
      <c r="B1120"/>
      <c r="C1120"/>
    </row>
    <row r="1121" spans="2:3" x14ac:dyDescent="0.2">
      <c r="B1121"/>
      <c r="C1121"/>
    </row>
    <row r="1122" spans="2:3" x14ac:dyDescent="0.2">
      <c r="B1122"/>
      <c r="C1122"/>
    </row>
    <row r="1123" spans="2:3" x14ac:dyDescent="0.2">
      <c r="B1123"/>
      <c r="C1123"/>
    </row>
    <row r="1124" spans="2:3" x14ac:dyDescent="0.2">
      <c r="B1124"/>
      <c r="C1124"/>
    </row>
    <row r="1125" spans="2:3" x14ac:dyDescent="0.2">
      <c r="B1125"/>
      <c r="C1125"/>
    </row>
    <row r="1126" spans="2:3" x14ac:dyDescent="0.2">
      <c r="B1126"/>
      <c r="C1126"/>
    </row>
    <row r="1127" spans="2:3" x14ac:dyDescent="0.2">
      <c r="B1127"/>
      <c r="C1127"/>
    </row>
    <row r="1128" spans="2:3" x14ac:dyDescent="0.2">
      <c r="B1128"/>
      <c r="C1128"/>
    </row>
    <row r="1129" spans="2:3" x14ac:dyDescent="0.2">
      <c r="B1129"/>
      <c r="C1129"/>
    </row>
    <row r="1130" spans="2:3" x14ac:dyDescent="0.2">
      <c r="B1130"/>
      <c r="C1130"/>
    </row>
    <row r="1131" spans="2:3" x14ac:dyDescent="0.2">
      <c r="B1131"/>
      <c r="C1131"/>
    </row>
    <row r="1132" spans="2:3" x14ac:dyDescent="0.2">
      <c r="B1132"/>
      <c r="C1132"/>
    </row>
    <row r="1133" spans="2:3" x14ac:dyDescent="0.2">
      <c r="B1133"/>
      <c r="C1133"/>
    </row>
    <row r="1134" spans="2:3" x14ac:dyDescent="0.2">
      <c r="B1134"/>
      <c r="C1134"/>
    </row>
    <row r="1135" spans="2:3" x14ac:dyDescent="0.2">
      <c r="B1135"/>
      <c r="C1135"/>
    </row>
    <row r="1136" spans="2:3" x14ac:dyDescent="0.2">
      <c r="B1136"/>
      <c r="C1136"/>
    </row>
    <row r="1137" spans="2:3" x14ac:dyDescent="0.2">
      <c r="B1137"/>
      <c r="C1137"/>
    </row>
    <row r="1138" spans="2:3" x14ac:dyDescent="0.2">
      <c r="B1138"/>
      <c r="C1138"/>
    </row>
    <row r="1139" spans="2:3" x14ac:dyDescent="0.2">
      <c r="B1139"/>
      <c r="C1139"/>
    </row>
    <row r="1140" spans="2:3" x14ac:dyDescent="0.2">
      <c r="B1140"/>
      <c r="C1140"/>
    </row>
    <row r="1141" spans="2:3" x14ac:dyDescent="0.2">
      <c r="B1141"/>
      <c r="C1141"/>
    </row>
    <row r="1142" spans="2:3" x14ac:dyDescent="0.2">
      <c r="B1142"/>
      <c r="C1142"/>
    </row>
    <row r="1143" spans="2:3" x14ac:dyDescent="0.2">
      <c r="B1143"/>
      <c r="C1143"/>
    </row>
    <row r="1144" spans="2:3" x14ac:dyDescent="0.2">
      <c r="B1144"/>
      <c r="C1144"/>
    </row>
    <row r="1145" spans="2:3" x14ac:dyDescent="0.2">
      <c r="B1145"/>
      <c r="C1145"/>
    </row>
    <row r="1146" spans="2:3" x14ac:dyDescent="0.2">
      <c r="B1146"/>
      <c r="C1146"/>
    </row>
    <row r="1147" spans="2:3" x14ac:dyDescent="0.2">
      <c r="B1147"/>
      <c r="C1147"/>
    </row>
    <row r="1148" spans="2:3" x14ac:dyDescent="0.2">
      <c r="B1148"/>
      <c r="C1148"/>
    </row>
    <row r="1149" spans="2:3" x14ac:dyDescent="0.2">
      <c r="B1149"/>
      <c r="C1149"/>
    </row>
    <row r="1150" spans="2:3" x14ac:dyDescent="0.2">
      <c r="B1150"/>
      <c r="C1150"/>
    </row>
    <row r="1151" spans="2:3" x14ac:dyDescent="0.2">
      <c r="B1151"/>
      <c r="C1151"/>
    </row>
    <row r="1152" spans="2:3" x14ac:dyDescent="0.2">
      <c r="B1152"/>
      <c r="C1152"/>
    </row>
    <row r="1153" spans="2:3" x14ac:dyDescent="0.2">
      <c r="B1153"/>
      <c r="C1153"/>
    </row>
    <row r="1154" spans="2:3" x14ac:dyDescent="0.2">
      <c r="B1154"/>
      <c r="C1154"/>
    </row>
    <row r="1155" spans="2:3" x14ac:dyDescent="0.2">
      <c r="B1155"/>
      <c r="C1155"/>
    </row>
    <row r="1156" spans="2:3" x14ac:dyDescent="0.2">
      <c r="B1156"/>
      <c r="C1156"/>
    </row>
    <row r="1157" spans="2:3" x14ac:dyDescent="0.2">
      <c r="B1157"/>
      <c r="C1157"/>
    </row>
    <row r="1158" spans="2:3" x14ac:dyDescent="0.2">
      <c r="B1158"/>
      <c r="C1158"/>
    </row>
    <row r="1159" spans="2:3" x14ac:dyDescent="0.2">
      <c r="B1159"/>
      <c r="C1159"/>
    </row>
    <row r="1160" spans="2:3" x14ac:dyDescent="0.2">
      <c r="B1160"/>
      <c r="C1160"/>
    </row>
    <row r="1161" spans="2:3" x14ac:dyDescent="0.2">
      <c r="B1161"/>
      <c r="C1161"/>
    </row>
    <row r="1162" spans="2:3" x14ac:dyDescent="0.2">
      <c r="B1162"/>
      <c r="C1162"/>
    </row>
    <row r="1163" spans="2:3" x14ac:dyDescent="0.2">
      <c r="B1163"/>
      <c r="C1163"/>
    </row>
    <row r="1164" spans="2:3" x14ac:dyDescent="0.2">
      <c r="B1164"/>
      <c r="C1164"/>
    </row>
    <row r="1165" spans="2:3" x14ac:dyDescent="0.2">
      <c r="B1165"/>
      <c r="C1165"/>
    </row>
    <row r="1166" spans="2:3" x14ac:dyDescent="0.2">
      <c r="B1166"/>
      <c r="C1166"/>
    </row>
    <row r="1167" spans="2:3" x14ac:dyDescent="0.2">
      <c r="B1167"/>
      <c r="C1167"/>
    </row>
    <row r="1168" spans="2:3" x14ac:dyDescent="0.2">
      <c r="B1168"/>
      <c r="C1168"/>
    </row>
    <row r="1169" spans="2:3" x14ac:dyDescent="0.2">
      <c r="B1169"/>
      <c r="C1169"/>
    </row>
    <row r="1170" spans="2:3" x14ac:dyDescent="0.2">
      <c r="B1170"/>
      <c r="C1170"/>
    </row>
    <row r="1171" spans="2:3" x14ac:dyDescent="0.2">
      <c r="B1171"/>
      <c r="C1171"/>
    </row>
    <row r="1172" spans="2:3" x14ac:dyDescent="0.2">
      <c r="B1172"/>
      <c r="C1172"/>
    </row>
    <row r="1173" spans="2:3" x14ac:dyDescent="0.2">
      <c r="B1173"/>
      <c r="C1173"/>
    </row>
    <row r="1174" spans="2:3" x14ac:dyDescent="0.2">
      <c r="B1174"/>
      <c r="C1174"/>
    </row>
    <row r="1175" spans="2:3" x14ac:dyDescent="0.2">
      <c r="B1175"/>
      <c r="C1175"/>
    </row>
    <row r="1176" spans="2:3" x14ac:dyDescent="0.2">
      <c r="B1176"/>
      <c r="C1176"/>
    </row>
    <row r="1177" spans="2:3" x14ac:dyDescent="0.2">
      <c r="B1177"/>
      <c r="C1177"/>
    </row>
    <row r="1178" spans="2:3" x14ac:dyDescent="0.2">
      <c r="B1178"/>
      <c r="C1178"/>
    </row>
    <row r="1179" spans="2:3" x14ac:dyDescent="0.2">
      <c r="B1179"/>
      <c r="C1179"/>
    </row>
    <row r="1180" spans="2:3" x14ac:dyDescent="0.2">
      <c r="B1180"/>
      <c r="C1180"/>
    </row>
    <row r="1181" spans="2:3" x14ac:dyDescent="0.2">
      <c r="B1181"/>
      <c r="C1181"/>
    </row>
    <row r="1182" spans="2:3" x14ac:dyDescent="0.2">
      <c r="B1182"/>
      <c r="C1182"/>
    </row>
    <row r="1183" spans="2:3" x14ac:dyDescent="0.2">
      <c r="B1183"/>
      <c r="C1183"/>
    </row>
    <row r="1184" spans="2:3" x14ac:dyDescent="0.2">
      <c r="B1184"/>
      <c r="C1184"/>
    </row>
    <row r="1185" spans="2:3" x14ac:dyDescent="0.2">
      <c r="B1185"/>
      <c r="C1185"/>
    </row>
    <row r="1186" spans="2:3" x14ac:dyDescent="0.2">
      <c r="B1186"/>
      <c r="C1186"/>
    </row>
    <row r="1187" spans="2:3" x14ac:dyDescent="0.2">
      <c r="B1187"/>
      <c r="C1187"/>
    </row>
    <row r="1188" spans="2:3" x14ac:dyDescent="0.2">
      <c r="B1188"/>
      <c r="C1188"/>
    </row>
    <row r="1189" spans="2:3" x14ac:dyDescent="0.2">
      <c r="B1189"/>
      <c r="C1189"/>
    </row>
    <row r="1190" spans="2:3" x14ac:dyDescent="0.2">
      <c r="B1190"/>
      <c r="C1190"/>
    </row>
    <row r="1191" spans="2:3" x14ac:dyDescent="0.2">
      <c r="B1191"/>
      <c r="C1191"/>
    </row>
    <row r="1192" spans="2:3" x14ac:dyDescent="0.2">
      <c r="B1192"/>
      <c r="C1192"/>
    </row>
    <row r="1193" spans="2:3" x14ac:dyDescent="0.2">
      <c r="B1193"/>
      <c r="C1193"/>
    </row>
    <row r="1194" spans="2:3" x14ac:dyDescent="0.2">
      <c r="B1194"/>
      <c r="C1194"/>
    </row>
    <row r="1195" spans="2:3" x14ac:dyDescent="0.2">
      <c r="B1195"/>
      <c r="C1195"/>
    </row>
    <row r="1196" spans="2:3" x14ac:dyDescent="0.2">
      <c r="B1196"/>
      <c r="C1196"/>
    </row>
    <row r="1197" spans="2:3" x14ac:dyDescent="0.2">
      <c r="B1197"/>
      <c r="C1197"/>
    </row>
    <row r="1198" spans="2:3" x14ac:dyDescent="0.2">
      <c r="B1198"/>
      <c r="C1198"/>
    </row>
    <row r="1199" spans="2:3" x14ac:dyDescent="0.2">
      <c r="B1199"/>
      <c r="C1199"/>
    </row>
    <row r="1200" spans="2:3" x14ac:dyDescent="0.2">
      <c r="B1200"/>
      <c r="C1200"/>
    </row>
    <row r="1201" spans="2:3" x14ac:dyDescent="0.2">
      <c r="B1201"/>
      <c r="C1201"/>
    </row>
    <row r="1202" spans="2:3" x14ac:dyDescent="0.2">
      <c r="B1202"/>
      <c r="C1202"/>
    </row>
    <row r="1203" spans="2:3" x14ac:dyDescent="0.2">
      <c r="B1203"/>
      <c r="C1203"/>
    </row>
    <row r="1204" spans="2:3" x14ac:dyDescent="0.2">
      <c r="B1204"/>
      <c r="C1204"/>
    </row>
    <row r="1205" spans="2:3" x14ac:dyDescent="0.2">
      <c r="B1205"/>
      <c r="C1205"/>
    </row>
    <row r="1206" spans="2:3" x14ac:dyDescent="0.2">
      <c r="B1206"/>
      <c r="C1206"/>
    </row>
    <row r="1207" spans="2:3" x14ac:dyDescent="0.2">
      <c r="B1207"/>
      <c r="C1207"/>
    </row>
    <row r="1208" spans="2:3" x14ac:dyDescent="0.2">
      <c r="B1208"/>
      <c r="C1208"/>
    </row>
    <row r="1209" spans="2:3" x14ac:dyDescent="0.2">
      <c r="B1209"/>
      <c r="C1209"/>
    </row>
    <row r="1210" spans="2:3" x14ac:dyDescent="0.2">
      <c r="B1210"/>
      <c r="C1210"/>
    </row>
    <row r="1211" spans="2:3" x14ac:dyDescent="0.2">
      <c r="B1211"/>
      <c r="C1211"/>
    </row>
    <row r="1212" spans="2:3" x14ac:dyDescent="0.2">
      <c r="B1212"/>
      <c r="C1212"/>
    </row>
    <row r="1213" spans="2:3" x14ac:dyDescent="0.2">
      <c r="B1213"/>
      <c r="C1213"/>
    </row>
    <row r="1214" spans="2:3" x14ac:dyDescent="0.2">
      <c r="B1214"/>
      <c r="C1214"/>
    </row>
    <row r="1215" spans="2:3" x14ac:dyDescent="0.2">
      <c r="B1215"/>
      <c r="C1215"/>
    </row>
    <row r="1216" spans="2:3" x14ac:dyDescent="0.2">
      <c r="B1216"/>
      <c r="C1216"/>
    </row>
    <row r="1217" spans="2:3" x14ac:dyDescent="0.2">
      <c r="B1217"/>
      <c r="C1217"/>
    </row>
    <row r="1218" spans="2:3" x14ac:dyDescent="0.2">
      <c r="B1218"/>
      <c r="C1218"/>
    </row>
    <row r="1219" spans="2:3" x14ac:dyDescent="0.2">
      <c r="B1219"/>
      <c r="C1219"/>
    </row>
    <row r="1220" spans="2:3" x14ac:dyDescent="0.2">
      <c r="B1220"/>
      <c r="C1220"/>
    </row>
    <row r="1221" spans="2:3" x14ac:dyDescent="0.2">
      <c r="B1221"/>
      <c r="C1221"/>
    </row>
    <row r="1222" spans="2:3" x14ac:dyDescent="0.2">
      <c r="B1222"/>
      <c r="C1222"/>
    </row>
    <row r="1223" spans="2:3" x14ac:dyDescent="0.2">
      <c r="B1223"/>
      <c r="C1223"/>
    </row>
    <row r="1224" spans="2:3" x14ac:dyDescent="0.2">
      <c r="B1224"/>
      <c r="C1224"/>
    </row>
    <row r="1225" spans="2:3" x14ac:dyDescent="0.2">
      <c r="B1225"/>
      <c r="C1225"/>
    </row>
    <row r="1226" spans="2:3" x14ac:dyDescent="0.2">
      <c r="B1226"/>
      <c r="C1226"/>
    </row>
    <row r="1227" spans="2:3" x14ac:dyDescent="0.2">
      <c r="B1227"/>
      <c r="C1227"/>
    </row>
    <row r="1228" spans="2:3" x14ac:dyDescent="0.2">
      <c r="B1228"/>
      <c r="C1228"/>
    </row>
    <row r="1229" spans="2:3" x14ac:dyDescent="0.2">
      <c r="B1229"/>
      <c r="C1229"/>
    </row>
    <row r="1230" spans="2:3" x14ac:dyDescent="0.2">
      <c r="B1230"/>
      <c r="C1230"/>
    </row>
    <row r="1231" spans="2:3" x14ac:dyDescent="0.2">
      <c r="B1231"/>
      <c r="C1231"/>
    </row>
    <row r="1232" spans="2:3" x14ac:dyDescent="0.2">
      <c r="B1232"/>
      <c r="C1232"/>
    </row>
    <row r="1233" spans="2:3" x14ac:dyDescent="0.2">
      <c r="B1233"/>
      <c r="C1233"/>
    </row>
    <row r="1234" spans="2:3" x14ac:dyDescent="0.2">
      <c r="B1234"/>
      <c r="C1234"/>
    </row>
    <row r="1235" spans="2:3" x14ac:dyDescent="0.2">
      <c r="B1235"/>
      <c r="C1235"/>
    </row>
    <row r="1236" spans="2:3" x14ac:dyDescent="0.2">
      <c r="B1236"/>
      <c r="C1236"/>
    </row>
    <row r="1237" spans="2:3" x14ac:dyDescent="0.2">
      <c r="B1237"/>
      <c r="C1237"/>
    </row>
    <row r="1238" spans="2:3" x14ac:dyDescent="0.2">
      <c r="B1238"/>
      <c r="C1238"/>
    </row>
    <row r="1239" spans="2:3" x14ac:dyDescent="0.2">
      <c r="B1239"/>
      <c r="C1239"/>
    </row>
    <row r="1240" spans="2:3" x14ac:dyDescent="0.2">
      <c r="B1240"/>
      <c r="C1240"/>
    </row>
    <row r="1241" spans="2:3" x14ac:dyDescent="0.2">
      <c r="B1241"/>
      <c r="C1241"/>
    </row>
    <row r="1242" spans="2:3" x14ac:dyDescent="0.2">
      <c r="B1242"/>
      <c r="C1242"/>
    </row>
    <row r="1243" spans="2:3" x14ac:dyDescent="0.2">
      <c r="B1243"/>
      <c r="C1243"/>
    </row>
    <row r="1244" spans="2:3" x14ac:dyDescent="0.2">
      <c r="B1244"/>
      <c r="C1244"/>
    </row>
    <row r="1245" spans="2:3" x14ac:dyDescent="0.2">
      <c r="B1245"/>
      <c r="C1245"/>
    </row>
    <row r="1246" spans="2:3" x14ac:dyDescent="0.2">
      <c r="B1246"/>
      <c r="C1246"/>
    </row>
    <row r="1247" spans="2:3" x14ac:dyDescent="0.2">
      <c r="B1247"/>
      <c r="C1247"/>
    </row>
    <row r="1248" spans="2:3" x14ac:dyDescent="0.2">
      <c r="B1248"/>
      <c r="C1248"/>
    </row>
    <row r="1249" spans="2:3" x14ac:dyDescent="0.2">
      <c r="B1249"/>
      <c r="C1249"/>
    </row>
    <row r="1250" spans="2:3" x14ac:dyDescent="0.2">
      <c r="B1250"/>
      <c r="C1250"/>
    </row>
    <row r="1251" spans="2:3" x14ac:dyDescent="0.2">
      <c r="B1251"/>
      <c r="C1251"/>
    </row>
    <row r="1252" spans="2:3" x14ac:dyDescent="0.2">
      <c r="B1252"/>
      <c r="C1252"/>
    </row>
    <row r="1253" spans="2:3" x14ac:dyDescent="0.2">
      <c r="B1253"/>
      <c r="C1253"/>
    </row>
    <row r="1254" spans="2:3" x14ac:dyDescent="0.2">
      <c r="B1254"/>
      <c r="C1254"/>
    </row>
    <row r="1255" spans="2:3" x14ac:dyDescent="0.2">
      <c r="B1255"/>
      <c r="C1255"/>
    </row>
    <row r="1256" spans="2:3" x14ac:dyDescent="0.2">
      <c r="B1256"/>
      <c r="C1256"/>
    </row>
    <row r="1257" spans="2:3" x14ac:dyDescent="0.2">
      <c r="B1257"/>
      <c r="C1257"/>
    </row>
    <row r="1258" spans="2:3" x14ac:dyDescent="0.2">
      <c r="B1258"/>
      <c r="C1258"/>
    </row>
    <row r="1259" spans="2:3" x14ac:dyDescent="0.2">
      <c r="B1259"/>
      <c r="C1259"/>
    </row>
    <row r="1260" spans="2:3" x14ac:dyDescent="0.2">
      <c r="B1260"/>
      <c r="C1260"/>
    </row>
    <row r="1261" spans="2:3" x14ac:dyDescent="0.2">
      <c r="B1261"/>
      <c r="C1261"/>
    </row>
    <row r="1262" spans="2:3" x14ac:dyDescent="0.2">
      <c r="B1262"/>
      <c r="C1262"/>
    </row>
    <row r="1263" spans="2:3" x14ac:dyDescent="0.2">
      <c r="B1263"/>
      <c r="C1263"/>
    </row>
    <row r="1264" spans="2:3" x14ac:dyDescent="0.2">
      <c r="B1264"/>
      <c r="C1264"/>
    </row>
    <row r="1265" spans="2:3" x14ac:dyDescent="0.2">
      <c r="B1265"/>
      <c r="C1265"/>
    </row>
    <row r="1266" spans="2:3" x14ac:dyDescent="0.2">
      <c r="B1266"/>
      <c r="C1266"/>
    </row>
    <row r="1267" spans="2:3" x14ac:dyDescent="0.2">
      <c r="B1267"/>
      <c r="C1267"/>
    </row>
    <row r="1268" spans="2:3" x14ac:dyDescent="0.2">
      <c r="B1268"/>
      <c r="C1268"/>
    </row>
    <row r="1269" spans="2:3" x14ac:dyDescent="0.2">
      <c r="B1269"/>
      <c r="C1269"/>
    </row>
    <row r="1270" spans="2:3" x14ac:dyDescent="0.2">
      <c r="B1270"/>
      <c r="C1270"/>
    </row>
    <row r="1271" spans="2:3" x14ac:dyDescent="0.2">
      <c r="B1271"/>
      <c r="C1271"/>
    </row>
    <row r="1272" spans="2:3" x14ac:dyDescent="0.2">
      <c r="B1272"/>
      <c r="C1272"/>
    </row>
    <row r="1273" spans="2:3" x14ac:dyDescent="0.2">
      <c r="B1273"/>
      <c r="C1273"/>
    </row>
    <row r="1274" spans="2:3" x14ac:dyDescent="0.2">
      <c r="B1274"/>
      <c r="C1274"/>
    </row>
    <row r="1275" spans="2:3" x14ac:dyDescent="0.2">
      <c r="B1275"/>
      <c r="C1275"/>
    </row>
    <row r="1276" spans="2:3" x14ac:dyDescent="0.2">
      <c r="B1276"/>
      <c r="C1276"/>
    </row>
    <row r="1277" spans="2:3" x14ac:dyDescent="0.2">
      <c r="B1277"/>
      <c r="C1277"/>
    </row>
    <row r="1278" spans="2:3" x14ac:dyDescent="0.2">
      <c r="B1278"/>
      <c r="C1278"/>
    </row>
    <row r="1279" spans="2:3" x14ac:dyDescent="0.2">
      <c r="B1279"/>
      <c r="C1279"/>
    </row>
    <row r="1280" spans="2:3" x14ac:dyDescent="0.2">
      <c r="B1280"/>
      <c r="C1280"/>
    </row>
    <row r="1281" spans="2:3" x14ac:dyDescent="0.2">
      <c r="B1281"/>
      <c r="C1281"/>
    </row>
    <row r="1282" spans="2:3" x14ac:dyDescent="0.2">
      <c r="B1282"/>
      <c r="C1282"/>
    </row>
    <row r="1283" spans="2:3" x14ac:dyDescent="0.2">
      <c r="B1283"/>
      <c r="C1283"/>
    </row>
    <row r="1284" spans="2:3" x14ac:dyDescent="0.2">
      <c r="B1284"/>
      <c r="C1284"/>
    </row>
    <row r="1285" spans="2:3" x14ac:dyDescent="0.2">
      <c r="B1285"/>
      <c r="C1285"/>
    </row>
    <row r="1286" spans="2:3" x14ac:dyDescent="0.2">
      <c r="B1286"/>
      <c r="C1286"/>
    </row>
    <row r="1287" spans="2:3" x14ac:dyDescent="0.2">
      <c r="B1287"/>
      <c r="C1287"/>
    </row>
    <row r="1288" spans="2:3" x14ac:dyDescent="0.2">
      <c r="B1288"/>
      <c r="C1288"/>
    </row>
    <row r="1289" spans="2:3" x14ac:dyDescent="0.2">
      <c r="B1289"/>
      <c r="C1289"/>
    </row>
    <row r="1290" spans="2:3" x14ac:dyDescent="0.2">
      <c r="B1290"/>
      <c r="C1290"/>
    </row>
    <row r="1291" spans="2:3" x14ac:dyDescent="0.2">
      <c r="B1291"/>
      <c r="C1291"/>
    </row>
    <row r="1292" spans="2:3" x14ac:dyDescent="0.2">
      <c r="B1292"/>
      <c r="C1292"/>
    </row>
    <row r="1293" spans="2:3" x14ac:dyDescent="0.2">
      <c r="B1293"/>
      <c r="C1293"/>
    </row>
    <row r="1294" spans="2:3" x14ac:dyDescent="0.2">
      <c r="B1294"/>
      <c r="C1294"/>
    </row>
    <row r="1295" spans="2:3" x14ac:dyDescent="0.2">
      <c r="B1295"/>
      <c r="C1295"/>
    </row>
    <row r="1296" spans="2:3" x14ac:dyDescent="0.2">
      <c r="B1296"/>
      <c r="C1296"/>
    </row>
    <row r="1297" spans="2:3" x14ac:dyDescent="0.2">
      <c r="B1297"/>
      <c r="C1297"/>
    </row>
    <row r="1298" spans="2:3" x14ac:dyDescent="0.2">
      <c r="B1298"/>
      <c r="C1298"/>
    </row>
    <row r="1299" spans="2:3" x14ac:dyDescent="0.2">
      <c r="B1299"/>
      <c r="C1299"/>
    </row>
    <row r="1300" spans="2:3" x14ac:dyDescent="0.2">
      <c r="B1300"/>
      <c r="C1300"/>
    </row>
    <row r="1301" spans="2:3" x14ac:dyDescent="0.2">
      <c r="B1301"/>
      <c r="C1301"/>
    </row>
    <row r="1302" spans="2:3" x14ac:dyDescent="0.2">
      <c r="B1302"/>
      <c r="C1302"/>
    </row>
    <row r="1303" spans="2:3" x14ac:dyDescent="0.2">
      <c r="B1303"/>
      <c r="C1303"/>
    </row>
    <row r="1304" spans="2:3" x14ac:dyDescent="0.2">
      <c r="B1304"/>
      <c r="C1304"/>
    </row>
    <row r="1305" spans="2:3" x14ac:dyDescent="0.2">
      <c r="B1305"/>
      <c r="C1305"/>
    </row>
    <row r="1306" spans="2:3" x14ac:dyDescent="0.2">
      <c r="B1306"/>
      <c r="C1306"/>
    </row>
    <row r="1307" spans="2:3" x14ac:dyDescent="0.2">
      <c r="B1307"/>
      <c r="C1307"/>
    </row>
    <row r="1308" spans="2:3" x14ac:dyDescent="0.2">
      <c r="B1308"/>
      <c r="C1308"/>
    </row>
    <row r="1309" spans="2:3" x14ac:dyDescent="0.2">
      <c r="B1309"/>
      <c r="C1309"/>
    </row>
    <row r="1310" spans="2:3" x14ac:dyDescent="0.2">
      <c r="B1310"/>
      <c r="C1310"/>
    </row>
    <row r="1311" spans="2:3" x14ac:dyDescent="0.2">
      <c r="B1311"/>
      <c r="C1311"/>
    </row>
    <row r="1312" spans="2:3" x14ac:dyDescent="0.2">
      <c r="B1312"/>
      <c r="C1312"/>
    </row>
    <row r="1313" spans="2:3" x14ac:dyDescent="0.2">
      <c r="B1313"/>
      <c r="C1313"/>
    </row>
    <row r="1314" spans="2:3" x14ac:dyDescent="0.2">
      <c r="B1314"/>
      <c r="C1314"/>
    </row>
    <row r="1315" spans="2:3" x14ac:dyDescent="0.2">
      <c r="B1315"/>
      <c r="C1315"/>
    </row>
    <row r="1316" spans="2:3" x14ac:dyDescent="0.2">
      <c r="B1316"/>
      <c r="C1316"/>
    </row>
    <row r="1317" spans="2:3" x14ac:dyDescent="0.2">
      <c r="B1317"/>
      <c r="C1317"/>
    </row>
    <row r="1318" spans="2:3" x14ac:dyDescent="0.2">
      <c r="B1318"/>
      <c r="C1318"/>
    </row>
    <row r="1319" spans="2:3" x14ac:dyDescent="0.2">
      <c r="B1319"/>
      <c r="C1319"/>
    </row>
    <row r="1320" spans="2:3" x14ac:dyDescent="0.2">
      <c r="B1320"/>
      <c r="C1320"/>
    </row>
    <row r="1321" spans="2:3" x14ac:dyDescent="0.2">
      <c r="B1321"/>
      <c r="C1321"/>
    </row>
    <row r="1322" spans="2:3" x14ac:dyDescent="0.2">
      <c r="B1322"/>
      <c r="C1322"/>
    </row>
    <row r="1323" spans="2:3" x14ac:dyDescent="0.2">
      <c r="B1323"/>
      <c r="C1323"/>
    </row>
    <row r="1324" spans="2:3" x14ac:dyDescent="0.2">
      <c r="B1324"/>
      <c r="C1324"/>
    </row>
    <row r="1325" spans="2:3" x14ac:dyDescent="0.2">
      <c r="B1325"/>
      <c r="C1325"/>
    </row>
    <row r="1326" spans="2:3" x14ac:dyDescent="0.2">
      <c r="B1326"/>
      <c r="C1326"/>
    </row>
    <row r="1327" spans="2:3" x14ac:dyDescent="0.2">
      <c r="B1327"/>
      <c r="C1327"/>
    </row>
    <row r="1328" spans="2:3" x14ac:dyDescent="0.2">
      <c r="B1328"/>
      <c r="C1328"/>
    </row>
    <row r="1329" spans="2:3" x14ac:dyDescent="0.2">
      <c r="B1329"/>
      <c r="C1329"/>
    </row>
    <row r="1330" spans="2:3" x14ac:dyDescent="0.2">
      <c r="B1330"/>
      <c r="C1330"/>
    </row>
    <row r="1331" spans="2:3" x14ac:dyDescent="0.2">
      <c r="B1331"/>
      <c r="C1331"/>
    </row>
    <row r="1332" spans="2:3" x14ac:dyDescent="0.2">
      <c r="B1332"/>
      <c r="C1332"/>
    </row>
    <row r="1333" spans="2:3" x14ac:dyDescent="0.2">
      <c r="B1333"/>
      <c r="C1333"/>
    </row>
    <row r="1334" spans="2:3" x14ac:dyDescent="0.2">
      <c r="B1334"/>
      <c r="C1334"/>
    </row>
    <row r="1335" spans="2:3" x14ac:dyDescent="0.2">
      <c r="B1335"/>
      <c r="C1335"/>
    </row>
    <row r="1336" spans="2:3" x14ac:dyDescent="0.2">
      <c r="B1336"/>
      <c r="C1336"/>
    </row>
    <row r="1337" spans="2:3" x14ac:dyDescent="0.2">
      <c r="B1337"/>
      <c r="C1337"/>
    </row>
    <row r="1338" spans="2:3" x14ac:dyDescent="0.2">
      <c r="B1338"/>
      <c r="C1338"/>
    </row>
    <row r="1339" spans="2:3" x14ac:dyDescent="0.2">
      <c r="B1339"/>
      <c r="C1339"/>
    </row>
    <row r="1340" spans="2:3" x14ac:dyDescent="0.2">
      <c r="B1340"/>
      <c r="C1340"/>
    </row>
    <row r="1341" spans="2:3" x14ac:dyDescent="0.2">
      <c r="B1341"/>
      <c r="C1341"/>
    </row>
    <row r="1342" spans="2:3" x14ac:dyDescent="0.2">
      <c r="B1342"/>
      <c r="C1342"/>
    </row>
    <row r="1343" spans="2:3" x14ac:dyDescent="0.2">
      <c r="B1343"/>
      <c r="C1343"/>
    </row>
    <row r="1344" spans="2:3" x14ac:dyDescent="0.2">
      <c r="B1344"/>
      <c r="C1344"/>
    </row>
    <row r="1345" spans="2:3" x14ac:dyDescent="0.2">
      <c r="B1345"/>
      <c r="C1345"/>
    </row>
    <row r="1346" spans="2:3" x14ac:dyDescent="0.2">
      <c r="B1346"/>
      <c r="C1346"/>
    </row>
    <row r="1347" spans="2:3" x14ac:dyDescent="0.2">
      <c r="B1347"/>
      <c r="C1347"/>
    </row>
    <row r="1348" spans="2:3" x14ac:dyDescent="0.2">
      <c r="B1348"/>
      <c r="C1348"/>
    </row>
    <row r="1349" spans="2:3" x14ac:dyDescent="0.2">
      <c r="B1349"/>
      <c r="C1349"/>
    </row>
    <row r="1350" spans="2:3" x14ac:dyDescent="0.2">
      <c r="B1350"/>
      <c r="C1350"/>
    </row>
    <row r="1351" spans="2:3" x14ac:dyDescent="0.2">
      <c r="B1351"/>
      <c r="C1351"/>
    </row>
    <row r="1352" spans="2:3" x14ac:dyDescent="0.2">
      <c r="B1352"/>
      <c r="C1352"/>
    </row>
    <row r="1353" spans="2:3" x14ac:dyDescent="0.2">
      <c r="B1353"/>
      <c r="C1353"/>
    </row>
    <row r="1354" spans="2:3" x14ac:dyDescent="0.2">
      <c r="B1354"/>
      <c r="C1354"/>
    </row>
    <row r="1355" spans="2:3" x14ac:dyDescent="0.2">
      <c r="B1355"/>
      <c r="C1355"/>
    </row>
    <row r="1356" spans="2:3" x14ac:dyDescent="0.2">
      <c r="B1356"/>
      <c r="C1356"/>
    </row>
    <row r="1357" spans="2:3" x14ac:dyDescent="0.2">
      <c r="B1357"/>
      <c r="C1357"/>
    </row>
    <row r="1358" spans="2:3" x14ac:dyDescent="0.2">
      <c r="B1358"/>
      <c r="C1358"/>
    </row>
    <row r="1359" spans="2:3" x14ac:dyDescent="0.2">
      <c r="B1359"/>
      <c r="C1359"/>
    </row>
    <row r="1360" spans="2:3" x14ac:dyDescent="0.2">
      <c r="B1360"/>
      <c r="C1360"/>
    </row>
    <row r="1361" spans="2:3" x14ac:dyDescent="0.2">
      <c r="B1361"/>
      <c r="C1361"/>
    </row>
    <row r="1362" spans="2:3" x14ac:dyDescent="0.2">
      <c r="B1362"/>
      <c r="C1362"/>
    </row>
    <row r="1363" spans="2:3" x14ac:dyDescent="0.2">
      <c r="B1363"/>
      <c r="C1363"/>
    </row>
    <row r="1364" spans="2:3" x14ac:dyDescent="0.2">
      <c r="B1364"/>
      <c r="C1364"/>
    </row>
    <row r="1365" spans="2:3" x14ac:dyDescent="0.2">
      <c r="B1365"/>
      <c r="C1365"/>
    </row>
    <row r="1366" spans="2:3" x14ac:dyDescent="0.2">
      <c r="B1366"/>
      <c r="C1366"/>
    </row>
    <row r="1367" spans="2:3" x14ac:dyDescent="0.2">
      <c r="B1367"/>
      <c r="C1367"/>
    </row>
    <row r="1368" spans="2:3" x14ac:dyDescent="0.2">
      <c r="B1368"/>
      <c r="C1368"/>
    </row>
    <row r="1369" spans="2:3" x14ac:dyDescent="0.2">
      <c r="B1369"/>
      <c r="C1369"/>
    </row>
    <row r="1370" spans="2:3" x14ac:dyDescent="0.2">
      <c r="B1370"/>
      <c r="C1370"/>
    </row>
    <row r="1371" spans="2:3" x14ac:dyDescent="0.2">
      <c r="B1371"/>
      <c r="C1371"/>
    </row>
    <row r="1372" spans="2:3" x14ac:dyDescent="0.2">
      <c r="B1372"/>
      <c r="C1372"/>
    </row>
    <row r="1373" spans="2:3" x14ac:dyDescent="0.2">
      <c r="B1373"/>
      <c r="C1373"/>
    </row>
    <row r="1374" spans="2:3" x14ac:dyDescent="0.2">
      <c r="B1374"/>
      <c r="C1374"/>
    </row>
    <row r="1375" spans="2:3" x14ac:dyDescent="0.2">
      <c r="B1375"/>
      <c r="C1375"/>
    </row>
    <row r="1376" spans="2:3" x14ac:dyDescent="0.2">
      <c r="B1376"/>
      <c r="C1376"/>
    </row>
    <row r="1377" spans="2:3" x14ac:dyDescent="0.2">
      <c r="B1377"/>
      <c r="C1377"/>
    </row>
    <row r="1378" spans="2:3" x14ac:dyDescent="0.2">
      <c r="B1378"/>
      <c r="C1378"/>
    </row>
    <row r="1379" spans="2:3" x14ac:dyDescent="0.2">
      <c r="B1379"/>
      <c r="C1379"/>
    </row>
    <row r="1380" spans="2:3" x14ac:dyDescent="0.2">
      <c r="B1380"/>
      <c r="C1380"/>
    </row>
    <row r="1381" spans="2:3" x14ac:dyDescent="0.2">
      <c r="B1381"/>
      <c r="C1381"/>
    </row>
    <row r="1382" spans="2:3" x14ac:dyDescent="0.2">
      <c r="B1382"/>
      <c r="C1382"/>
    </row>
    <row r="1383" spans="2:3" x14ac:dyDescent="0.2">
      <c r="B1383"/>
      <c r="C1383"/>
    </row>
    <row r="1384" spans="2:3" x14ac:dyDescent="0.2">
      <c r="B1384"/>
      <c r="C1384"/>
    </row>
    <row r="1385" spans="2:3" x14ac:dyDescent="0.2">
      <c r="B1385"/>
      <c r="C1385"/>
    </row>
    <row r="1386" spans="2:3" x14ac:dyDescent="0.2">
      <c r="B1386"/>
      <c r="C1386"/>
    </row>
    <row r="1387" spans="2:3" x14ac:dyDescent="0.2">
      <c r="B1387"/>
      <c r="C1387"/>
    </row>
    <row r="1388" spans="2:3" x14ac:dyDescent="0.2">
      <c r="B1388"/>
      <c r="C1388"/>
    </row>
    <row r="1389" spans="2:3" x14ac:dyDescent="0.2">
      <c r="B1389"/>
      <c r="C1389"/>
    </row>
    <row r="1390" spans="2:3" x14ac:dyDescent="0.2">
      <c r="B1390"/>
      <c r="C1390"/>
    </row>
    <row r="1391" spans="2:3" x14ac:dyDescent="0.2">
      <c r="B1391"/>
      <c r="C1391"/>
    </row>
    <row r="1392" spans="2:3" x14ac:dyDescent="0.2">
      <c r="B1392"/>
      <c r="C1392"/>
    </row>
    <row r="1393" spans="2:3" x14ac:dyDescent="0.2">
      <c r="B1393"/>
      <c r="C1393"/>
    </row>
    <row r="1394" spans="2:3" x14ac:dyDescent="0.2">
      <c r="B1394"/>
      <c r="C1394"/>
    </row>
    <row r="1395" spans="2:3" x14ac:dyDescent="0.2">
      <c r="B1395"/>
      <c r="C1395"/>
    </row>
    <row r="1396" spans="2:3" x14ac:dyDescent="0.2">
      <c r="B1396"/>
      <c r="C1396"/>
    </row>
    <row r="1397" spans="2:3" x14ac:dyDescent="0.2">
      <c r="B1397"/>
      <c r="C1397"/>
    </row>
    <row r="1398" spans="2:3" x14ac:dyDescent="0.2">
      <c r="B1398"/>
      <c r="C1398"/>
    </row>
    <row r="1399" spans="2:3" x14ac:dyDescent="0.2">
      <c r="B1399"/>
      <c r="C1399"/>
    </row>
    <row r="1400" spans="2:3" x14ac:dyDescent="0.2">
      <c r="B1400"/>
      <c r="C1400"/>
    </row>
    <row r="1401" spans="2:3" x14ac:dyDescent="0.2">
      <c r="B1401"/>
      <c r="C1401"/>
    </row>
    <row r="1402" spans="2:3" x14ac:dyDescent="0.2">
      <c r="B1402"/>
      <c r="C1402"/>
    </row>
    <row r="1403" spans="2:3" x14ac:dyDescent="0.2">
      <c r="B1403"/>
      <c r="C1403"/>
    </row>
    <row r="1404" spans="2:3" x14ac:dyDescent="0.2">
      <c r="B1404"/>
      <c r="C1404"/>
    </row>
    <row r="1405" spans="2:3" x14ac:dyDescent="0.2">
      <c r="B1405"/>
      <c r="C1405"/>
    </row>
    <row r="1406" spans="2:3" x14ac:dyDescent="0.2">
      <c r="B1406"/>
      <c r="C1406"/>
    </row>
    <row r="1407" spans="2:3" x14ac:dyDescent="0.2">
      <c r="B1407"/>
      <c r="C1407"/>
    </row>
    <row r="1408" spans="2:3" x14ac:dyDescent="0.2">
      <c r="B1408"/>
      <c r="C1408"/>
    </row>
    <row r="1409" spans="2:3" x14ac:dyDescent="0.2">
      <c r="B1409"/>
      <c r="C1409"/>
    </row>
    <row r="1410" spans="2:3" x14ac:dyDescent="0.2">
      <c r="B1410"/>
      <c r="C1410"/>
    </row>
    <row r="1411" spans="2:3" x14ac:dyDescent="0.2">
      <c r="B1411"/>
      <c r="C1411"/>
    </row>
    <row r="1412" spans="2:3" x14ac:dyDescent="0.2">
      <c r="B1412"/>
      <c r="C1412"/>
    </row>
    <row r="1413" spans="2:3" x14ac:dyDescent="0.2">
      <c r="B1413"/>
      <c r="C1413"/>
    </row>
    <row r="1414" spans="2:3" x14ac:dyDescent="0.2">
      <c r="B1414"/>
      <c r="C1414"/>
    </row>
    <row r="1415" spans="2:3" x14ac:dyDescent="0.2">
      <c r="B1415"/>
      <c r="C1415"/>
    </row>
    <row r="1416" spans="2:3" x14ac:dyDescent="0.2">
      <c r="B1416"/>
      <c r="C1416"/>
    </row>
    <row r="1417" spans="2:3" x14ac:dyDescent="0.2">
      <c r="B1417"/>
      <c r="C1417"/>
    </row>
    <row r="1418" spans="2:3" x14ac:dyDescent="0.2">
      <c r="B1418"/>
      <c r="C1418"/>
    </row>
    <row r="1419" spans="2:3" x14ac:dyDescent="0.2">
      <c r="B1419"/>
      <c r="C1419"/>
    </row>
    <row r="1420" spans="2:3" x14ac:dyDescent="0.2">
      <c r="B1420"/>
      <c r="C1420"/>
    </row>
    <row r="1421" spans="2:3" x14ac:dyDescent="0.2">
      <c r="B1421"/>
      <c r="C1421"/>
    </row>
    <row r="1422" spans="2:3" x14ac:dyDescent="0.2">
      <c r="B1422"/>
      <c r="C1422"/>
    </row>
    <row r="1423" spans="2:3" x14ac:dyDescent="0.2">
      <c r="B1423"/>
      <c r="C1423"/>
    </row>
    <row r="1424" spans="2:3" x14ac:dyDescent="0.2">
      <c r="B1424"/>
      <c r="C1424"/>
    </row>
    <row r="1425" spans="2:3" x14ac:dyDescent="0.2">
      <c r="B1425"/>
      <c r="C1425"/>
    </row>
    <row r="1426" spans="2:3" x14ac:dyDescent="0.2">
      <c r="B1426"/>
      <c r="C1426"/>
    </row>
    <row r="1427" spans="2:3" x14ac:dyDescent="0.2">
      <c r="B1427"/>
      <c r="C1427"/>
    </row>
    <row r="1428" spans="2:3" x14ac:dyDescent="0.2">
      <c r="B1428"/>
      <c r="C1428"/>
    </row>
    <row r="1429" spans="2:3" x14ac:dyDescent="0.2">
      <c r="B1429"/>
      <c r="C1429"/>
    </row>
    <row r="1430" spans="2:3" x14ac:dyDescent="0.2">
      <c r="B1430"/>
      <c r="C1430"/>
    </row>
    <row r="1431" spans="2:3" x14ac:dyDescent="0.2">
      <c r="B1431"/>
      <c r="C1431"/>
    </row>
    <row r="1432" spans="2:3" x14ac:dyDescent="0.2">
      <c r="B1432"/>
      <c r="C1432"/>
    </row>
    <row r="1433" spans="2:3" x14ac:dyDescent="0.2">
      <c r="B1433"/>
      <c r="C1433"/>
    </row>
    <row r="1434" spans="2:3" x14ac:dyDescent="0.2">
      <c r="B1434"/>
      <c r="C1434"/>
    </row>
    <row r="1435" spans="2:3" x14ac:dyDescent="0.2">
      <c r="B1435"/>
      <c r="C1435"/>
    </row>
    <row r="1436" spans="2:3" x14ac:dyDescent="0.2">
      <c r="B1436"/>
      <c r="C1436"/>
    </row>
    <row r="1437" spans="2:3" x14ac:dyDescent="0.2">
      <c r="B1437"/>
      <c r="C1437"/>
    </row>
    <row r="1438" spans="2:3" x14ac:dyDescent="0.2">
      <c r="B1438"/>
      <c r="C1438"/>
    </row>
    <row r="1439" spans="2:3" x14ac:dyDescent="0.2">
      <c r="B1439"/>
      <c r="C1439"/>
    </row>
    <row r="1440" spans="2:3" x14ac:dyDescent="0.2">
      <c r="B1440"/>
      <c r="C1440"/>
    </row>
    <row r="1441" spans="2:3" x14ac:dyDescent="0.2">
      <c r="B1441"/>
      <c r="C1441"/>
    </row>
    <row r="1442" spans="2:3" x14ac:dyDescent="0.2">
      <c r="B1442"/>
      <c r="C1442"/>
    </row>
    <row r="1443" spans="2:3" x14ac:dyDescent="0.2">
      <c r="B1443"/>
      <c r="C1443"/>
    </row>
    <row r="1444" spans="2:3" x14ac:dyDescent="0.2">
      <c r="B1444"/>
      <c r="C1444"/>
    </row>
    <row r="1445" spans="2:3" x14ac:dyDescent="0.2">
      <c r="B1445"/>
      <c r="C1445"/>
    </row>
    <row r="1446" spans="2:3" x14ac:dyDescent="0.2">
      <c r="B1446"/>
      <c r="C1446"/>
    </row>
    <row r="1447" spans="2:3" x14ac:dyDescent="0.2">
      <c r="B1447"/>
      <c r="C1447"/>
    </row>
    <row r="1448" spans="2:3" x14ac:dyDescent="0.2">
      <c r="B1448"/>
      <c r="C1448"/>
    </row>
    <row r="1449" spans="2:3" x14ac:dyDescent="0.2">
      <c r="B1449"/>
      <c r="C1449"/>
    </row>
    <row r="1450" spans="2:3" x14ac:dyDescent="0.2">
      <c r="B1450"/>
      <c r="C1450"/>
    </row>
    <row r="1451" spans="2:3" x14ac:dyDescent="0.2">
      <c r="B1451"/>
      <c r="C1451"/>
    </row>
    <row r="1452" spans="2:3" x14ac:dyDescent="0.2">
      <c r="B1452"/>
      <c r="C1452"/>
    </row>
    <row r="1453" spans="2:3" x14ac:dyDescent="0.2">
      <c r="B1453"/>
      <c r="C1453"/>
    </row>
    <row r="1454" spans="2:3" x14ac:dyDescent="0.2">
      <c r="B1454"/>
      <c r="C1454"/>
    </row>
    <row r="1455" spans="2:3" x14ac:dyDescent="0.2">
      <c r="B1455"/>
      <c r="C1455"/>
    </row>
    <row r="1456" spans="2:3" x14ac:dyDescent="0.2">
      <c r="B1456"/>
      <c r="C1456"/>
    </row>
    <row r="1457" spans="2:3" x14ac:dyDescent="0.2">
      <c r="B1457"/>
      <c r="C1457"/>
    </row>
    <row r="1458" spans="2:3" x14ac:dyDescent="0.2">
      <c r="B1458"/>
      <c r="C1458"/>
    </row>
    <row r="1459" spans="2:3" x14ac:dyDescent="0.2">
      <c r="B1459"/>
      <c r="C1459"/>
    </row>
    <row r="1460" spans="2:3" x14ac:dyDescent="0.2">
      <c r="B1460"/>
      <c r="C1460"/>
    </row>
    <row r="1461" spans="2:3" x14ac:dyDescent="0.2">
      <c r="B1461"/>
      <c r="C1461"/>
    </row>
    <row r="1462" spans="2:3" x14ac:dyDescent="0.2">
      <c r="B1462"/>
      <c r="C1462"/>
    </row>
    <row r="1463" spans="2:3" x14ac:dyDescent="0.2">
      <c r="B1463"/>
      <c r="C1463"/>
    </row>
    <row r="1464" spans="2:3" x14ac:dyDescent="0.2">
      <c r="B1464"/>
      <c r="C1464"/>
    </row>
    <row r="1465" spans="2:3" x14ac:dyDescent="0.2">
      <c r="B1465"/>
      <c r="C1465"/>
    </row>
    <row r="1466" spans="2:3" x14ac:dyDescent="0.2">
      <c r="B1466"/>
      <c r="C1466"/>
    </row>
    <row r="1467" spans="2:3" x14ac:dyDescent="0.2">
      <c r="B1467"/>
      <c r="C1467"/>
    </row>
    <row r="1468" spans="2:3" x14ac:dyDescent="0.2">
      <c r="B1468"/>
      <c r="C1468"/>
    </row>
    <row r="1469" spans="2:3" x14ac:dyDescent="0.2">
      <c r="B1469"/>
      <c r="C1469"/>
    </row>
    <row r="1470" spans="2:3" x14ac:dyDescent="0.2">
      <c r="B1470"/>
      <c r="C1470"/>
    </row>
    <row r="1471" spans="2:3" x14ac:dyDescent="0.2">
      <c r="B1471"/>
      <c r="C1471"/>
    </row>
    <row r="1472" spans="2:3" x14ac:dyDescent="0.2">
      <c r="B1472"/>
      <c r="C1472"/>
    </row>
    <row r="1473" spans="2:3" x14ac:dyDescent="0.2">
      <c r="B1473"/>
      <c r="C1473"/>
    </row>
    <row r="1474" spans="2:3" x14ac:dyDescent="0.2">
      <c r="B1474"/>
      <c r="C1474"/>
    </row>
    <row r="1475" spans="2:3" x14ac:dyDescent="0.2">
      <c r="B1475"/>
      <c r="C1475"/>
    </row>
    <row r="1476" spans="2:3" x14ac:dyDescent="0.2">
      <c r="B1476"/>
      <c r="C1476"/>
    </row>
    <row r="1477" spans="2:3" x14ac:dyDescent="0.2">
      <c r="B1477"/>
      <c r="C1477"/>
    </row>
    <row r="1478" spans="2:3" x14ac:dyDescent="0.2">
      <c r="B1478"/>
      <c r="C1478"/>
    </row>
    <row r="1479" spans="2:3" x14ac:dyDescent="0.2">
      <c r="B1479"/>
      <c r="C1479"/>
    </row>
    <row r="1480" spans="2:3" x14ac:dyDescent="0.2">
      <c r="B1480"/>
      <c r="C1480"/>
    </row>
    <row r="1481" spans="2:3" x14ac:dyDescent="0.2">
      <c r="B1481"/>
      <c r="C1481"/>
    </row>
    <row r="1482" spans="2:3" x14ac:dyDescent="0.2">
      <c r="B1482"/>
      <c r="C1482"/>
    </row>
    <row r="1483" spans="2:3" x14ac:dyDescent="0.2">
      <c r="B1483"/>
      <c r="C1483"/>
    </row>
    <row r="1484" spans="2:3" x14ac:dyDescent="0.2">
      <c r="B1484"/>
      <c r="C1484"/>
    </row>
    <row r="1485" spans="2:3" x14ac:dyDescent="0.2">
      <c r="B1485"/>
      <c r="C1485"/>
    </row>
    <row r="1486" spans="2:3" x14ac:dyDescent="0.2">
      <c r="B1486"/>
      <c r="C1486"/>
    </row>
    <row r="1487" spans="2:3" x14ac:dyDescent="0.2">
      <c r="B1487"/>
      <c r="C1487"/>
    </row>
    <row r="1488" spans="2:3" x14ac:dyDescent="0.2">
      <c r="B1488"/>
      <c r="C1488"/>
    </row>
    <row r="1489" spans="2:3" x14ac:dyDescent="0.2">
      <c r="B1489"/>
      <c r="C1489"/>
    </row>
    <row r="1490" spans="2:3" x14ac:dyDescent="0.2">
      <c r="B1490"/>
      <c r="C1490"/>
    </row>
    <row r="1491" spans="2:3" x14ac:dyDescent="0.2">
      <c r="B1491"/>
      <c r="C1491"/>
    </row>
    <row r="1492" spans="2:3" x14ac:dyDescent="0.2">
      <c r="B1492"/>
      <c r="C1492"/>
    </row>
    <row r="1493" spans="2:3" x14ac:dyDescent="0.2">
      <c r="B1493"/>
      <c r="C1493"/>
    </row>
    <row r="1494" spans="2:3" x14ac:dyDescent="0.2">
      <c r="B1494"/>
      <c r="C1494"/>
    </row>
    <row r="1495" spans="2:3" x14ac:dyDescent="0.2">
      <c r="B1495"/>
      <c r="C1495"/>
    </row>
    <row r="1496" spans="2:3" x14ac:dyDescent="0.2">
      <c r="B1496"/>
      <c r="C1496"/>
    </row>
    <row r="1497" spans="2:3" x14ac:dyDescent="0.2">
      <c r="B1497"/>
      <c r="C1497"/>
    </row>
    <row r="1498" spans="2:3" x14ac:dyDescent="0.2">
      <c r="B1498"/>
      <c r="C1498"/>
    </row>
    <row r="1499" spans="2:3" x14ac:dyDescent="0.2">
      <c r="B1499"/>
      <c r="C1499"/>
    </row>
    <row r="1500" spans="2:3" x14ac:dyDescent="0.2">
      <c r="B1500"/>
      <c r="C1500"/>
    </row>
    <row r="1501" spans="2:3" x14ac:dyDescent="0.2">
      <c r="B1501"/>
      <c r="C1501"/>
    </row>
    <row r="1502" spans="2:3" x14ac:dyDescent="0.2">
      <c r="B1502"/>
      <c r="C1502"/>
    </row>
    <row r="1503" spans="2:3" x14ac:dyDescent="0.2">
      <c r="B1503"/>
      <c r="C1503"/>
    </row>
    <row r="1504" spans="2:3" x14ac:dyDescent="0.2">
      <c r="B1504"/>
      <c r="C1504"/>
    </row>
    <row r="1505" spans="2:3" x14ac:dyDescent="0.2">
      <c r="B1505"/>
      <c r="C1505"/>
    </row>
    <row r="1506" spans="2:3" x14ac:dyDescent="0.2">
      <c r="B1506"/>
      <c r="C1506"/>
    </row>
    <row r="1507" spans="2:3" x14ac:dyDescent="0.2">
      <c r="B1507"/>
      <c r="C1507"/>
    </row>
    <row r="1508" spans="2:3" x14ac:dyDescent="0.2">
      <c r="B1508"/>
      <c r="C1508"/>
    </row>
    <row r="1509" spans="2:3" x14ac:dyDescent="0.2">
      <c r="B1509"/>
      <c r="C1509"/>
    </row>
    <row r="1510" spans="2:3" x14ac:dyDescent="0.2">
      <c r="B1510"/>
      <c r="C1510"/>
    </row>
    <row r="1511" spans="2:3" x14ac:dyDescent="0.2">
      <c r="B1511"/>
      <c r="C1511"/>
    </row>
    <row r="1512" spans="2:3" x14ac:dyDescent="0.2">
      <c r="B1512"/>
      <c r="C1512"/>
    </row>
    <row r="1513" spans="2:3" x14ac:dyDescent="0.2">
      <c r="B1513"/>
      <c r="C1513"/>
    </row>
    <row r="1514" spans="2:3" x14ac:dyDescent="0.2">
      <c r="B1514"/>
      <c r="C1514"/>
    </row>
    <row r="1515" spans="2:3" x14ac:dyDescent="0.2">
      <c r="B1515"/>
      <c r="C1515"/>
    </row>
    <row r="1516" spans="2:3" x14ac:dyDescent="0.2">
      <c r="B1516"/>
      <c r="C1516"/>
    </row>
    <row r="1517" spans="2:3" x14ac:dyDescent="0.2">
      <c r="B1517"/>
      <c r="C1517"/>
    </row>
    <row r="1518" spans="2:3" x14ac:dyDescent="0.2">
      <c r="B1518"/>
      <c r="C1518"/>
    </row>
    <row r="1519" spans="2:3" x14ac:dyDescent="0.2">
      <c r="B1519"/>
      <c r="C1519"/>
    </row>
    <row r="1520" spans="2:3" x14ac:dyDescent="0.2">
      <c r="B1520"/>
      <c r="C1520"/>
    </row>
    <row r="1521" spans="2:3" x14ac:dyDescent="0.2">
      <c r="B1521"/>
      <c r="C1521"/>
    </row>
    <row r="1522" spans="2:3" x14ac:dyDescent="0.2">
      <c r="B1522"/>
      <c r="C1522"/>
    </row>
    <row r="1523" spans="2:3" x14ac:dyDescent="0.2">
      <c r="B1523"/>
      <c r="C1523"/>
    </row>
    <row r="1524" spans="2:3" x14ac:dyDescent="0.2">
      <c r="B1524"/>
      <c r="C1524"/>
    </row>
    <row r="1525" spans="2:3" x14ac:dyDescent="0.2">
      <c r="B1525"/>
      <c r="C1525"/>
    </row>
    <row r="1526" spans="2:3" x14ac:dyDescent="0.2">
      <c r="B1526"/>
      <c r="C1526"/>
    </row>
    <row r="1527" spans="2:3" x14ac:dyDescent="0.2">
      <c r="B1527"/>
      <c r="C1527"/>
    </row>
    <row r="1528" spans="2:3" x14ac:dyDescent="0.2">
      <c r="B1528"/>
      <c r="C1528"/>
    </row>
    <row r="1529" spans="2:3" x14ac:dyDescent="0.2">
      <c r="B1529"/>
      <c r="C1529"/>
    </row>
    <row r="1530" spans="2:3" x14ac:dyDescent="0.2">
      <c r="B1530"/>
      <c r="C1530"/>
    </row>
    <row r="1531" spans="2:3" x14ac:dyDescent="0.2">
      <c r="B1531"/>
      <c r="C1531"/>
    </row>
    <row r="1532" spans="2:3" x14ac:dyDescent="0.2">
      <c r="B1532"/>
      <c r="C1532"/>
    </row>
    <row r="1533" spans="2:3" x14ac:dyDescent="0.2">
      <c r="B1533"/>
      <c r="C1533"/>
    </row>
    <row r="1534" spans="2:3" x14ac:dyDescent="0.2">
      <c r="B1534"/>
      <c r="C1534"/>
    </row>
    <row r="1535" spans="2:3" x14ac:dyDescent="0.2">
      <c r="B1535"/>
      <c r="C1535"/>
    </row>
    <row r="1536" spans="2:3" x14ac:dyDescent="0.2">
      <c r="B1536"/>
      <c r="C1536"/>
    </row>
    <row r="1537" spans="2:3" x14ac:dyDescent="0.2">
      <c r="B1537"/>
      <c r="C1537"/>
    </row>
    <row r="1538" spans="2:3" x14ac:dyDescent="0.2">
      <c r="B1538"/>
      <c r="C1538"/>
    </row>
    <row r="1539" spans="2:3" x14ac:dyDescent="0.2">
      <c r="B1539"/>
      <c r="C1539"/>
    </row>
    <row r="1540" spans="2:3" x14ac:dyDescent="0.2">
      <c r="B1540"/>
      <c r="C1540"/>
    </row>
    <row r="1541" spans="2:3" x14ac:dyDescent="0.2">
      <c r="B1541"/>
      <c r="C1541"/>
    </row>
    <row r="1542" spans="2:3" x14ac:dyDescent="0.2">
      <c r="B1542"/>
      <c r="C1542"/>
    </row>
    <row r="1543" spans="2:3" x14ac:dyDescent="0.2">
      <c r="B1543"/>
      <c r="C1543"/>
    </row>
    <row r="1544" spans="2:3" x14ac:dyDescent="0.2">
      <c r="B1544"/>
      <c r="C1544"/>
    </row>
    <row r="1545" spans="2:3" x14ac:dyDescent="0.2">
      <c r="B1545"/>
      <c r="C1545"/>
    </row>
    <row r="1546" spans="2:3" x14ac:dyDescent="0.2">
      <c r="B1546"/>
      <c r="C1546"/>
    </row>
    <row r="1547" spans="2:3" x14ac:dyDescent="0.2">
      <c r="B1547"/>
      <c r="C1547"/>
    </row>
    <row r="1548" spans="2:3" x14ac:dyDescent="0.2">
      <c r="B1548"/>
      <c r="C1548"/>
    </row>
    <row r="1549" spans="2:3" x14ac:dyDescent="0.2">
      <c r="B1549"/>
      <c r="C1549"/>
    </row>
    <row r="1550" spans="2:3" x14ac:dyDescent="0.2">
      <c r="B1550"/>
      <c r="C1550"/>
    </row>
    <row r="1551" spans="2:3" x14ac:dyDescent="0.2">
      <c r="B1551"/>
      <c r="C1551"/>
    </row>
    <row r="1552" spans="2:3" x14ac:dyDescent="0.2">
      <c r="B1552"/>
      <c r="C1552"/>
    </row>
    <row r="1553" spans="2:3" x14ac:dyDescent="0.2">
      <c r="B1553"/>
      <c r="C1553"/>
    </row>
    <row r="1554" spans="2:3" x14ac:dyDescent="0.2">
      <c r="B1554"/>
      <c r="C1554"/>
    </row>
    <row r="1555" spans="2:3" x14ac:dyDescent="0.2">
      <c r="B1555"/>
      <c r="C1555"/>
    </row>
    <row r="1556" spans="2:3" x14ac:dyDescent="0.2">
      <c r="B1556"/>
      <c r="C1556"/>
    </row>
    <row r="1557" spans="2:3" x14ac:dyDescent="0.2">
      <c r="B1557"/>
      <c r="C1557"/>
    </row>
    <row r="1558" spans="2:3" x14ac:dyDescent="0.2">
      <c r="B1558"/>
      <c r="C1558"/>
    </row>
    <row r="1559" spans="2:3" x14ac:dyDescent="0.2">
      <c r="B1559"/>
      <c r="C1559"/>
    </row>
    <row r="1560" spans="2:3" x14ac:dyDescent="0.2">
      <c r="B1560"/>
      <c r="C1560"/>
    </row>
    <row r="1561" spans="2:3" x14ac:dyDescent="0.2">
      <c r="B1561"/>
      <c r="C1561"/>
    </row>
    <row r="1562" spans="2:3" x14ac:dyDescent="0.2">
      <c r="B1562"/>
      <c r="C1562"/>
    </row>
    <row r="1563" spans="2:3" x14ac:dyDescent="0.2">
      <c r="B1563"/>
      <c r="C1563"/>
    </row>
    <row r="1564" spans="2:3" x14ac:dyDescent="0.2">
      <c r="B1564"/>
      <c r="C1564"/>
    </row>
    <row r="1565" spans="2:3" x14ac:dyDescent="0.2">
      <c r="B1565"/>
      <c r="C1565"/>
    </row>
    <row r="1566" spans="2:3" x14ac:dyDescent="0.2">
      <c r="B1566"/>
      <c r="C1566"/>
    </row>
    <row r="1567" spans="2:3" x14ac:dyDescent="0.2">
      <c r="B1567"/>
      <c r="C1567"/>
    </row>
    <row r="1568" spans="2:3" x14ac:dyDescent="0.2">
      <c r="B1568"/>
      <c r="C1568"/>
    </row>
    <row r="1569" spans="2:3" x14ac:dyDescent="0.2">
      <c r="B1569"/>
      <c r="C1569"/>
    </row>
    <row r="1570" spans="2:3" x14ac:dyDescent="0.2">
      <c r="B1570"/>
      <c r="C1570"/>
    </row>
    <row r="1571" spans="2:3" x14ac:dyDescent="0.2">
      <c r="B1571"/>
      <c r="C1571"/>
    </row>
    <row r="1572" spans="2:3" x14ac:dyDescent="0.2">
      <c r="B1572"/>
      <c r="C1572"/>
    </row>
    <row r="1573" spans="2:3" x14ac:dyDescent="0.2">
      <c r="B1573"/>
      <c r="C1573"/>
    </row>
    <row r="1574" spans="2:3" x14ac:dyDescent="0.2">
      <c r="B1574"/>
      <c r="C1574"/>
    </row>
    <row r="1575" spans="2:3" x14ac:dyDescent="0.2">
      <c r="B1575"/>
      <c r="C1575"/>
    </row>
    <row r="1576" spans="2:3" x14ac:dyDescent="0.2">
      <c r="B1576"/>
      <c r="C1576"/>
    </row>
    <row r="1577" spans="2:3" x14ac:dyDescent="0.2">
      <c r="B1577"/>
      <c r="C1577"/>
    </row>
    <row r="1578" spans="2:3" x14ac:dyDescent="0.2">
      <c r="B1578"/>
      <c r="C1578"/>
    </row>
    <row r="1579" spans="2:3" x14ac:dyDescent="0.2">
      <c r="B1579"/>
      <c r="C1579"/>
    </row>
    <row r="1580" spans="2:3" x14ac:dyDescent="0.2">
      <c r="B1580"/>
      <c r="C1580"/>
    </row>
    <row r="1581" spans="2:3" x14ac:dyDescent="0.2">
      <c r="B1581"/>
      <c r="C1581"/>
    </row>
    <row r="1582" spans="2:3" x14ac:dyDescent="0.2">
      <c r="B1582"/>
      <c r="C1582"/>
    </row>
    <row r="1583" spans="2:3" x14ac:dyDescent="0.2">
      <c r="B1583"/>
      <c r="C1583"/>
    </row>
    <row r="1584" spans="2:3" x14ac:dyDescent="0.2">
      <c r="B1584"/>
      <c r="C1584"/>
    </row>
    <row r="1585" spans="2:3" x14ac:dyDescent="0.2">
      <c r="B1585"/>
      <c r="C1585"/>
    </row>
    <row r="1586" spans="2:3" x14ac:dyDescent="0.2">
      <c r="B1586"/>
      <c r="C1586"/>
    </row>
    <row r="1587" spans="2:3" x14ac:dyDescent="0.2">
      <c r="B1587"/>
      <c r="C1587"/>
    </row>
    <row r="1588" spans="2:3" x14ac:dyDescent="0.2">
      <c r="B1588"/>
      <c r="C1588"/>
    </row>
    <row r="1589" spans="2:3" x14ac:dyDescent="0.2">
      <c r="B1589"/>
      <c r="C1589"/>
    </row>
    <row r="1590" spans="2:3" x14ac:dyDescent="0.2">
      <c r="B1590"/>
      <c r="C1590"/>
    </row>
    <row r="1591" spans="2:3" x14ac:dyDescent="0.2">
      <c r="B1591"/>
      <c r="C1591"/>
    </row>
    <row r="1592" spans="2:3" x14ac:dyDescent="0.2">
      <c r="B1592"/>
      <c r="C1592"/>
    </row>
    <row r="1593" spans="2:3" x14ac:dyDescent="0.2">
      <c r="B1593"/>
      <c r="C1593"/>
    </row>
    <row r="1594" spans="2:3" x14ac:dyDescent="0.2">
      <c r="B1594"/>
      <c r="C1594"/>
    </row>
    <row r="1595" spans="2:3" x14ac:dyDescent="0.2">
      <c r="B1595"/>
      <c r="C1595"/>
    </row>
    <row r="1596" spans="2:3" x14ac:dyDescent="0.2">
      <c r="B1596"/>
      <c r="C1596"/>
    </row>
    <row r="1597" spans="2:3" x14ac:dyDescent="0.2">
      <c r="B1597"/>
      <c r="C1597"/>
    </row>
    <row r="1598" spans="2:3" x14ac:dyDescent="0.2">
      <c r="B1598"/>
      <c r="C1598"/>
    </row>
    <row r="1599" spans="2:3" x14ac:dyDescent="0.2">
      <c r="B1599"/>
      <c r="C1599"/>
    </row>
    <row r="1600" spans="2:3" x14ac:dyDescent="0.2">
      <c r="B1600"/>
      <c r="C1600"/>
    </row>
    <row r="1601" spans="2:3" x14ac:dyDescent="0.2">
      <c r="B1601"/>
      <c r="C1601"/>
    </row>
    <row r="1602" spans="2:3" x14ac:dyDescent="0.2">
      <c r="B1602"/>
      <c r="C1602"/>
    </row>
    <row r="1603" spans="2:3" x14ac:dyDescent="0.2">
      <c r="B1603"/>
      <c r="C1603"/>
    </row>
    <row r="1604" spans="2:3" x14ac:dyDescent="0.2">
      <c r="B1604"/>
      <c r="C1604"/>
    </row>
    <row r="1605" spans="2:3" x14ac:dyDescent="0.2">
      <c r="B1605"/>
      <c r="C1605"/>
    </row>
    <row r="1606" spans="2:3" x14ac:dyDescent="0.2">
      <c r="B1606"/>
      <c r="C1606"/>
    </row>
    <row r="1607" spans="2:3" x14ac:dyDescent="0.2">
      <c r="B1607"/>
      <c r="C1607"/>
    </row>
    <row r="1608" spans="2:3" x14ac:dyDescent="0.2">
      <c r="B1608"/>
      <c r="C1608"/>
    </row>
    <row r="1609" spans="2:3" x14ac:dyDescent="0.2">
      <c r="B1609"/>
      <c r="C1609"/>
    </row>
    <row r="1610" spans="2:3" x14ac:dyDescent="0.2">
      <c r="B1610"/>
      <c r="C1610"/>
    </row>
    <row r="1611" spans="2:3" x14ac:dyDescent="0.2">
      <c r="B1611"/>
      <c r="C1611"/>
    </row>
    <row r="1612" spans="2:3" x14ac:dyDescent="0.2">
      <c r="B1612"/>
      <c r="C1612"/>
    </row>
    <row r="1613" spans="2:3" x14ac:dyDescent="0.2">
      <c r="B1613"/>
      <c r="C1613"/>
    </row>
    <row r="1614" spans="2:3" x14ac:dyDescent="0.2">
      <c r="B1614"/>
      <c r="C1614"/>
    </row>
    <row r="1615" spans="2:3" x14ac:dyDescent="0.2">
      <c r="B1615"/>
      <c r="C1615"/>
    </row>
    <row r="1616" spans="2:3" x14ac:dyDescent="0.2">
      <c r="B1616"/>
      <c r="C1616"/>
    </row>
    <row r="1617" spans="2:3" x14ac:dyDescent="0.2">
      <c r="B1617"/>
      <c r="C1617"/>
    </row>
    <row r="1618" spans="2:3" x14ac:dyDescent="0.2">
      <c r="B1618"/>
      <c r="C1618"/>
    </row>
    <row r="1619" spans="2:3" x14ac:dyDescent="0.2">
      <c r="B1619"/>
      <c r="C1619"/>
    </row>
    <row r="1620" spans="2:3" x14ac:dyDescent="0.2">
      <c r="B1620"/>
      <c r="C1620"/>
    </row>
    <row r="1621" spans="2:3" x14ac:dyDescent="0.2">
      <c r="B1621"/>
      <c r="C1621"/>
    </row>
    <row r="1622" spans="2:3" x14ac:dyDescent="0.2">
      <c r="B1622"/>
      <c r="C1622"/>
    </row>
    <row r="1623" spans="2:3" x14ac:dyDescent="0.2">
      <c r="B1623"/>
      <c r="C1623"/>
    </row>
    <row r="1624" spans="2:3" x14ac:dyDescent="0.2">
      <c r="B1624"/>
      <c r="C1624"/>
    </row>
    <row r="1625" spans="2:3" x14ac:dyDescent="0.2">
      <c r="B1625"/>
      <c r="C1625"/>
    </row>
    <row r="1626" spans="2:3" x14ac:dyDescent="0.2">
      <c r="B1626"/>
      <c r="C1626"/>
    </row>
    <row r="1627" spans="2:3" x14ac:dyDescent="0.2">
      <c r="B1627"/>
      <c r="C1627"/>
    </row>
    <row r="1628" spans="2:3" x14ac:dyDescent="0.2">
      <c r="B1628"/>
      <c r="C1628"/>
    </row>
    <row r="1629" spans="2:3" x14ac:dyDescent="0.2">
      <c r="B1629"/>
      <c r="C1629"/>
    </row>
    <row r="1630" spans="2:3" x14ac:dyDescent="0.2">
      <c r="B1630"/>
      <c r="C1630"/>
    </row>
    <row r="1631" spans="2:3" x14ac:dyDescent="0.2">
      <c r="B1631"/>
      <c r="C1631"/>
    </row>
    <row r="1632" spans="2:3" x14ac:dyDescent="0.2">
      <c r="B1632"/>
      <c r="C1632"/>
    </row>
    <row r="1633" spans="2:3" x14ac:dyDescent="0.2">
      <c r="B1633"/>
      <c r="C1633"/>
    </row>
    <row r="1634" spans="2:3" x14ac:dyDescent="0.2">
      <c r="B1634"/>
      <c r="C1634"/>
    </row>
    <row r="1635" spans="2:3" x14ac:dyDescent="0.2">
      <c r="B1635"/>
      <c r="C1635"/>
    </row>
    <row r="1636" spans="2:3" x14ac:dyDescent="0.2">
      <c r="B1636"/>
      <c r="C1636"/>
    </row>
    <row r="1637" spans="2:3" x14ac:dyDescent="0.2">
      <c r="B1637"/>
      <c r="C1637"/>
    </row>
    <row r="1638" spans="2:3" x14ac:dyDescent="0.2">
      <c r="B1638"/>
      <c r="C1638"/>
    </row>
    <row r="1639" spans="2:3" x14ac:dyDescent="0.2">
      <c r="B1639"/>
      <c r="C1639"/>
    </row>
    <row r="1640" spans="2:3" x14ac:dyDescent="0.2">
      <c r="B1640"/>
      <c r="C1640"/>
    </row>
    <row r="1641" spans="2:3" x14ac:dyDescent="0.2">
      <c r="B1641"/>
      <c r="C1641"/>
    </row>
    <row r="1642" spans="2:3" x14ac:dyDescent="0.2">
      <c r="B1642"/>
      <c r="C1642"/>
    </row>
    <row r="1643" spans="2:3" x14ac:dyDescent="0.2">
      <c r="B1643"/>
      <c r="C1643"/>
    </row>
    <row r="1644" spans="2:3" x14ac:dyDescent="0.2">
      <c r="B1644"/>
      <c r="C1644"/>
    </row>
    <row r="1645" spans="2:3" x14ac:dyDescent="0.2">
      <c r="B1645"/>
      <c r="C1645"/>
    </row>
    <row r="1646" spans="2:3" x14ac:dyDescent="0.2">
      <c r="B1646"/>
      <c r="C1646"/>
    </row>
    <row r="1647" spans="2:3" x14ac:dyDescent="0.2">
      <c r="B1647"/>
      <c r="C1647"/>
    </row>
    <row r="1648" spans="2:3" x14ac:dyDescent="0.2">
      <c r="B1648"/>
      <c r="C1648"/>
    </row>
    <row r="1649" spans="2:3" x14ac:dyDescent="0.2">
      <c r="B1649"/>
      <c r="C1649"/>
    </row>
    <row r="1650" spans="2:3" x14ac:dyDescent="0.2">
      <c r="B1650"/>
      <c r="C1650"/>
    </row>
    <row r="1651" spans="2:3" x14ac:dyDescent="0.2">
      <c r="B1651"/>
      <c r="C1651"/>
    </row>
    <row r="1652" spans="2:3" x14ac:dyDescent="0.2">
      <c r="B1652"/>
      <c r="C1652"/>
    </row>
    <row r="1653" spans="2:3" x14ac:dyDescent="0.2">
      <c r="B1653"/>
      <c r="C1653"/>
    </row>
    <row r="1654" spans="2:3" x14ac:dyDescent="0.2">
      <c r="B1654"/>
      <c r="C1654"/>
    </row>
    <row r="1655" spans="2:3" x14ac:dyDescent="0.2">
      <c r="B1655"/>
      <c r="C1655"/>
    </row>
    <row r="1656" spans="2:3" x14ac:dyDescent="0.2">
      <c r="B1656"/>
      <c r="C1656"/>
    </row>
    <row r="1657" spans="2:3" x14ac:dyDescent="0.2">
      <c r="B1657"/>
      <c r="C1657"/>
    </row>
    <row r="1658" spans="2:3" x14ac:dyDescent="0.2">
      <c r="B1658"/>
      <c r="C1658"/>
    </row>
    <row r="1659" spans="2:3" x14ac:dyDescent="0.2">
      <c r="B1659"/>
      <c r="C1659"/>
    </row>
    <row r="1660" spans="2:3" x14ac:dyDescent="0.2">
      <c r="B1660"/>
      <c r="C1660"/>
    </row>
    <row r="1661" spans="2:3" x14ac:dyDescent="0.2">
      <c r="B1661"/>
      <c r="C1661"/>
    </row>
    <row r="1662" spans="2:3" x14ac:dyDescent="0.2">
      <c r="B1662"/>
      <c r="C1662"/>
    </row>
    <row r="1663" spans="2:3" x14ac:dyDescent="0.2">
      <c r="B1663"/>
      <c r="C1663"/>
    </row>
    <row r="1664" spans="2:3" x14ac:dyDescent="0.2">
      <c r="B1664"/>
      <c r="C1664"/>
    </row>
    <row r="1665" spans="2:3" x14ac:dyDescent="0.2">
      <c r="B1665"/>
      <c r="C1665"/>
    </row>
    <row r="1666" spans="2:3" x14ac:dyDescent="0.2">
      <c r="B1666"/>
      <c r="C1666"/>
    </row>
    <row r="1667" spans="2:3" x14ac:dyDescent="0.2">
      <c r="B1667"/>
      <c r="C1667"/>
    </row>
    <row r="1668" spans="2:3" x14ac:dyDescent="0.2">
      <c r="B1668"/>
      <c r="C1668"/>
    </row>
    <row r="1669" spans="2:3" x14ac:dyDescent="0.2">
      <c r="B1669"/>
      <c r="C1669"/>
    </row>
    <row r="1670" spans="2:3" x14ac:dyDescent="0.2">
      <c r="B1670"/>
      <c r="C1670"/>
    </row>
    <row r="1671" spans="2:3" x14ac:dyDescent="0.2">
      <c r="B1671"/>
      <c r="C1671"/>
    </row>
    <row r="1672" spans="2:3" x14ac:dyDescent="0.2">
      <c r="B1672"/>
      <c r="C1672"/>
    </row>
    <row r="1673" spans="2:3" x14ac:dyDescent="0.2">
      <c r="B1673"/>
      <c r="C1673"/>
    </row>
    <row r="1674" spans="2:3" x14ac:dyDescent="0.2">
      <c r="B1674"/>
      <c r="C1674"/>
    </row>
    <row r="1675" spans="2:3" x14ac:dyDescent="0.2">
      <c r="B1675"/>
      <c r="C1675"/>
    </row>
    <row r="1676" spans="2:3" x14ac:dyDescent="0.2">
      <c r="B1676"/>
      <c r="C1676"/>
    </row>
    <row r="1677" spans="2:3" x14ac:dyDescent="0.2">
      <c r="B1677"/>
      <c r="C1677"/>
    </row>
    <row r="1678" spans="2:3" x14ac:dyDescent="0.2">
      <c r="B1678"/>
      <c r="C1678"/>
    </row>
    <row r="1679" spans="2:3" x14ac:dyDescent="0.2">
      <c r="B1679"/>
      <c r="C1679"/>
    </row>
    <row r="1680" spans="2:3" x14ac:dyDescent="0.2">
      <c r="B1680"/>
      <c r="C1680"/>
    </row>
    <row r="1681" spans="2:3" x14ac:dyDescent="0.2">
      <c r="B1681"/>
      <c r="C1681"/>
    </row>
    <row r="1682" spans="2:3" x14ac:dyDescent="0.2">
      <c r="B1682"/>
      <c r="C1682"/>
    </row>
    <row r="1683" spans="2:3" x14ac:dyDescent="0.2">
      <c r="B1683"/>
      <c r="C1683"/>
    </row>
    <row r="1684" spans="2:3" x14ac:dyDescent="0.2">
      <c r="B1684"/>
      <c r="C1684"/>
    </row>
    <row r="1685" spans="2:3" x14ac:dyDescent="0.2">
      <c r="B1685"/>
      <c r="C1685"/>
    </row>
    <row r="1686" spans="2:3" x14ac:dyDescent="0.2">
      <c r="B1686"/>
      <c r="C1686"/>
    </row>
    <row r="1687" spans="2:3" x14ac:dyDescent="0.2">
      <c r="B1687"/>
      <c r="C1687"/>
    </row>
    <row r="1688" spans="2:3" x14ac:dyDescent="0.2">
      <c r="B1688"/>
      <c r="C1688"/>
    </row>
    <row r="1689" spans="2:3" x14ac:dyDescent="0.2">
      <c r="B1689"/>
      <c r="C1689"/>
    </row>
    <row r="1690" spans="2:3" x14ac:dyDescent="0.2">
      <c r="B1690"/>
      <c r="C1690"/>
    </row>
    <row r="1691" spans="2:3" x14ac:dyDescent="0.2">
      <c r="B1691"/>
      <c r="C1691"/>
    </row>
    <row r="1692" spans="2:3" x14ac:dyDescent="0.2">
      <c r="B1692"/>
      <c r="C1692"/>
    </row>
    <row r="1693" spans="2:3" x14ac:dyDescent="0.2">
      <c r="B1693"/>
      <c r="C1693"/>
    </row>
    <row r="1694" spans="2:3" x14ac:dyDescent="0.2">
      <c r="B1694"/>
      <c r="C1694"/>
    </row>
    <row r="1695" spans="2:3" x14ac:dyDescent="0.2">
      <c r="B1695"/>
      <c r="C1695"/>
    </row>
    <row r="1696" spans="2:3" x14ac:dyDescent="0.2">
      <c r="B1696"/>
      <c r="C1696"/>
    </row>
    <row r="1697" spans="2:3" x14ac:dyDescent="0.2">
      <c r="B1697"/>
      <c r="C1697"/>
    </row>
    <row r="1698" spans="2:3" x14ac:dyDescent="0.2">
      <c r="B1698"/>
      <c r="C1698"/>
    </row>
    <row r="1699" spans="2:3" x14ac:dyDescent="0.2">
      <c r="B1699"/>
      <c r="C1699"/>
    </row>
    <row r="1700" spans="2:3" x14ac:dyDescent="0.2">
      <c r="B1700"/>
      <c r="C1700"/>
    </row>
    <row r="1701" spans="2:3" x14ac:dyDescent="0.2">
      <c r="B1701"/>
      <c r="C1701"/>
    </row>
    <row r="1702" spans="2:3" x14ac:dyDescent="0.2">
      <c r="B1702"/>
      <c r="C1702"/>
    </row>
    <row r="1703" spans="2:3" x14ac:dyDescent="0.2">
      <c r="B1703"/>
      <c r="C1703"/>
    </row>
    <row r="1704" spans="2:3" x14ac:dyDescent="0.2">
      <c r="B1704"/>
      <c r="C1704"/>
    </row>
    <row r="1705" spans="2:3" x14ac:dyDescent="0.2">
      <c r="B1705"/>
      <c r="C1705"/>
    </row>
    <row r="1706" spans="2:3" x14ac:dyDescent="0.2">
      <c r="B1706"/>
      <c r="C1706"/>
    </row>
    <row r="1707" spans="2:3" x14ac:dyDescent="0.2">
      <c r="B1707"/>
      <c r="C1707"/>
    </row>
    <row r="1708" spans="2:3" x14ac:dyDescent="0.2">
      <c r="B1708"/>
      <c r="C1708"/>
    </row>
    <row r="1709" spans="2:3" x14ac:dyDescent="0.2">
      <c r="B1709"/>
      <c r="C1709"/>
    </row>
    <row r="1710" spans="2:3" x14ac:dyDescent="0.2">
      <c r="B1710"/>
      <c r="C1710"/>
    </row>
    <row r="1711" spans="2:3" x14ac:dyDescent="0.2">
      <c r="B1711"/>
      <c r="C1711"/>
    </row>
    <row r="1712" spans="2:3" x14ac:dyDescent="0.2">
      <c r="B1712"/>
      <c r="C1712"/>
    </row>
    <row r="1713" spans="2:3" x14ac:dyDescent="0.2">
      <c r="B1713"/>
      <c r="C1713"/>
    </row>
    <row r="1714" spans="2:3" x14ac:dyDescent="0.2">
      <c r="B1714"/>
      <c r="C1714"/>
    </row>
    <row r="1715" spans="2:3" x14ac:dyDescent="0.2">
      <c r="B1715"/>
      <c r="C1715"/>
    </row>
    <row r="1716" spans="2:3" x14ac:dyDescent="0.2">
      <c r="B1716"/>
      <c r="C1716"/>
    </row>
    <row r="1717" spans="2:3" x14ac:dyDescent="0.2">
      <c r="B1717"/>
      <c r="C1717"/>
    </row>
    <row r="1718" spans="2:3" x14ac:dyDescent="0.2">
      <c r="B1718"/>
      <c r="C1718"/>
    </row>
    <row r="1719" spans="2:3" x14ac:dyDescent="0.2">
      <c r="B1719"/>
      <c r="C1719"/>
    </row>
    <row r="1720" spans="2:3" x14ac:dyDescent="0.2">
      <c r="B1720"/>
      <c r="C1720"/>
    </row>
    <row r="1721" spans="2:3" x14ac:dyDescent="0.2">
      <c r="B1721"/>
      <c r="C1721"/>
    </row>
    <row r="1722" spans="2:3" x14ac:dyDescent="0.2">
      <c r="B1722"/>
      <c r="C1722"/>
    </row>
    <row r="1723" spans="2:3" x14ac:dyDescent="0.2">
      <c r="B1723"/>
      <c r="C1723"/>
    </row>
    <row r="1724" spans="2:3" x14ac:dyDescent="0.2">
      <c r="B1724"/>
      <c r="C1724"/>
    </row>
    <row r="1725" spans="2:3" x14ac:dyDescent="0.2">
      <c r="B1725"/>
      <c r="C1725"/>
    </row>
    <row r="1726" spans="2:3" x14ac:dyDescent="0.2">
      <c r="B1726"/>
      <c r="C1726"/>
    </row>
    <row r="1727" spans="2:3" x14ac:dyDescent="0.2">
      <c r="B1727"/>
      <c r="C1727"/>
    </row>
    <row r="1728" spans="2:3" x14ac:dyDescent="0.2">
      <c r="B1728"/>
      <c r="C1728"/>
    </row>
    <row r="1729" spans="2:3" x14ac:dyDescent="0.2">
      <c r="B1729"/>
      <c r="C1729"/>
    </row>
    <row r="1730" spans="2:3" x14ac:dyDescent="0.2">
      <c r="B1730"/>
      <c r="C1730"/>
    </row>
    <row r="1731" spans="2:3" x14ac:dyDescent="0.2">
      <c r="B1731"/>
      <c r="C1731"/>
    </row>
    <row r="1732" spans="2:3" x14ac:dyDescent="0.2">
      <c r="B1732"/>
      <c r="C1732"/>
    </row>
    <row r="1733" spans="2:3" x14ac:dyDescent="0.2">
      <c r="B1733"/>
      <c r="C1733"/>
    </row>
    <row r="1734" spans="2:3" x14ac:dyDescent="0.2">
      <c r="B1734"/>
      <c r="C1734"/>
    </row>
    <row r="1735" spans="2:3" x14ac:dyDescent="0.2">
      <c r="B1735"/>
      <c r="C1735"/>
    </row>
    <row r="1736" spans="2:3" x14ac:dyDescent="0.2">
      <c r="B1736"/>
      <c r="C1736"/>
    </row>
    <row r="1737" spans="2:3" x14ac:dyDescent="0.2">
      <c r="B1737"/>
      <c r="C1737"/>
    </row>
    <row r="1738" spans="2:3" x14ac:dyDescent="0.2">
      <c r="B1738"/>
      <c r="C1738"/>
    </row>
    <row r="1739" spans="2:3" x14ac:dyDescent="0.2">
      <c r="B1739"/>
      <c r="C1739"/>
    </row>
    <row r="1740" spans="2:3" x14ac:dyDescent="0.2">
      <c r="B1740"/>
      <c r="C1740"/>
    </row>
    <row r="1741" spans="2:3" x14ac:dyDescent="0.2">
      <c r="B1741"/>
      <c r="C1741"/>
    </row>
    <row r="1742" spans="2:3" x14ac:dyDescent="0.2">
      <c r="B1742"/>
      <c r="C1742"/>
    </row>
    <row r="1743" spans="2:3" x14ac:dyDescent="0.2">
      <c r="B1743"/>
      <c r="C1743"/>
    </row>
    <row r="1744" spans="2:3" x14ac:dyDescent="0.2">
      <c r="B1744"/>
      <c r="C1744"/>
    </row>
    <row r="1745" spans="2:3" x14ac:dyDescent="0.2">
      <c r="B1745"/>
      <c r="C1745"/>
    </row>
    <row r="1746" spans="2:3" x14ac:dyDescent="0.2">
      <c r="B1746"/>
      <c r="C1746"/>
    </row>
    <row r="1747" spans="2:3" x14ac:dyDescent="0.2">
      <c r="B1747"/>
      <c r="C1747"/>
    </row>
    <row r="1748" spans="2:3" x14ac:dyDescent="0.2">
      <c r="B1748"/>
      <c r="C1748"/>
    </row>
    <row r="1749" spans="2:3" x14ac:dyDescent="0.2">
      <c r="B1749"/>
      <c r="C1749"/>
    </row>
    <row r="1750" spans="2:3" x14ac:dyDescent="0.2">
      <c r="B1750"/>
      <c r="C1750"/>
    </row>
    <row r="1751" spans="2:3" x14ac:dyDescent="0.2">
      <c r="B1751"/>
      <c r="C1751"/>
    </row>
    <row r="1752" spans="2:3" x14ac:dyDescent="0.2">
      <c r="B1752"/>
      <c r="C1752"/>
    </row>
    <row r="1753" spans="2:3" x14ac:dyDescent="0.2">
      <c r="B1753"/>
      <c r="C1753"/>
    </row>
    <row r="1754" spans="2:3" x14ac:dyDescent="0.2">
      <c r="B1754"/>
      <c r="C1754"/>
    </row>
    <row r="1755" spans="2:3" x14ac:dyDescent="0.2">
      <c r="B1755"/>
      <c r="C1755"/>
    </row>
    <row r="1756" spans="2:3" x14ac:dyDescent="0.2">
      <c r="B1756"/>
      <c r="C1756"/>
    </row>
    <row r="1757" spans="2:3" x14ac:dyDescent="0.2">
      <c r="B1757"/>
      <c r="C1757"/>
    </row>
    <row r="1758" spans="2:3" x14ac:dyDescent="0.2">
      <c r="B1758"/>
      <c r="C1758"/>
    </row>
    <row r="1759" spans="2:3" x14ac:dyDescent="0.2">
      <c r="B1759"/>
      <c r="C1759"/>
    </row>
    <row r="1760" spans="2:3" x14ac:dyDescent="0.2">
      <c r="B1760"/>
      <c r="C1760"/>
    </row>
    <row r="1761" spans="2:3" x14ac:dyDescent="0.2">
      <c r="B1761"/>
      <c r="C1761"/>
    </row>
    <row r="1762" spans="2:3" x14ac:dyDescent="0.2">
      <c r="B1762"/>
      <c r="C1762"/>
    </row>
    <row r="1763" spans="2:3" x14ac:dyDescent="0.2">
      <c r="B1763"/>
      <c r="C1763"/>
    </row>
    <row r="1764" spans="2:3" x14ac:dyDescent="0.2">
      <c r="B1764"/>
      <c r="C1764"/>
    </row>
    <row r="1765" spans="2:3" x14ac:dyDescent="0.2">
      <c r="B1765"/>
      <c r="C1765"/>
    </row>
    <row r="1766" spans="2:3" x14ac:dyDescent="0.2">
      <c r="B1766"/>
      <c r="C1766"/>
    </row>
    <row r="1767" spans="2:3" x14ac:dyDescent="0.2">
      <c r="B1767"/>
      <c r="C1767"/>
    </row>
    <row r="1768" spans="2:3" x14ac:dyDescent="0.2">
      <c r="B1768"/>
      <c r="C1768"/>
    </row>
    <row r="1769" spans="2:3" x14ac:dyDescent="0.2">
      <c r="B1769"/>
      <c r="C1769"/>
    </row>
    <row r="1770" spans="2:3" x14ac:dyDescent="0.2">
      <c r="B1770"/>
      <c r="C1770"/>
    </row>
    <row r="1771" spans="2:3" x14ac:dyDescent="0.2">
      <c r="B1771"/>
      <c r="C1771"/>
    </row>
    <row r="1772" spans="2:3" x14ac:dyDescent="0.2">
      <c r="B1772"/>
      <c r="C1772"/>
    </row>
    <row r="1773" spans="2:3" x14ac:dyDescent="0.2">
      <c r="B1773"/>
      <c r="C1773"/>
    </row>
    <row r="1774" spans="2:3" x14ac:dyDescent="0.2">
      <c r="B1774"/>
      <c r="C1774"/>
    </row>
    <row r="1775" spans="2:3" x14ac:dyDescent="0.2">
      <c r="B1775"/>
      <c r="C1775"/>
    </row>
    <row r="1776" spans="2:3" x14ac:dyDescent="0.2">
      <c r="B1776"/>
      <c r="C1776"/>
    </row>
    <row r="1777" spans="2:3" x14ac:dyDescent="0.2">
      <c r="B1777"/>
      <c r="C1777"/>
    </row>
    <row r="1778" spans="2:3" x14ac:dyDescent="0.2">
      <c r="B1778"/>
      <c r="C1778"/>
    </row>
    <row r="1779" spans="2:3" x14ac:dyDescent="0.2">
      <c r="B1779"/>
      <c r="C1779"/>
    </row>
    <row r="1780" spans="2:3" x14ac:dyDescent="0.2">
      <c r="B1780"/>
      <c r="C1780"/>
    </row>
    <row r="1781" spans="2:3" x14ac:dyDescent="0.2">
      <c r="B1781"/>
      <c r="C1781"/>
    </row>
    <row r="1782" spans="2:3" x14ac:dyDescent="0.2">
      <c r="B1782"/>
      <c r="C1782"/>
    </row>
    <row r="1783" spans="2:3" x14ac:dyDescent="0.2">
      <c r="B1783"/>
      <c r="C1783"/>
    </row>
    <row r="1784" spans="2:3" x14ac:dyDescent="0.2">
      <c r="B1784"/>
      <c r="C1784"/>
    </row>
    <row r="1785" spans="2:3" x14ac:dyDescent="0.2">
      <c r="B1785"/>
      <c r="C1785"/>
    </row>
    <row r="1786" spans="2:3" x14ac:dyDescent="0.2">
      <c r="B1786"/>
      <c r="C1786"/>
    </row>
    <row r="1787" spans="2:3" x14ac:dyDescent="0.2">
      <c r="B1787"/>
      <c r="C1787"/>
    </row>
    <row r="1788" spans="2:3" x14ac:dyDescent="0.2">
      <c r="B1788"/>
      <c r="C1788"/>
    </row>
    <row r="1789" spans="2:3" x14ac:dyDescent="0.2">
      <c r="B1789"/>
      <c r="C1789"/>
    </row>
    <row r="1790" spans="2:3" x14ac:dyDescent="0.2">
      <c r="B1790"/>
      <c r="C1790"/>
    </row>
    <row r="1791" spans="2:3" x14ac:dyDescent="0.2">
      <c r="B1791"/>
      <c r="C1791"/>
    </row>
    <row r="1792" spans="2:3" x14ac:dyDescent="0.2">
      <c r="B1792"/>
      <c r="C1792"/>
    </row>
    <row r="1793" spans="2:3" x14ac:dyDescent="0.2">
      <c r="B1793"/>
      <c r="C1793"/>
    </row>
    <row r="1794" spans="2:3" x14ac:dyDescent="0.2">
      <c r="B1794"/>
      <c r="C1794"/>
    </row>
    <row r="1795" spans="2:3" x14ac:dyDescent="0.2">
      <c r="B1795"/>
      <c r="C1795"/>
    </row>
    <row r="1796" spans="2:3" x14ac:dyDescent="0.2">
      <c r="B1796"/>
      <c r="C1796"/>
    </row>
    <row r="1797" spans="2:3" x14ac:dyDescent="0.2">
      <c r="B1797"/>
      <c r="C1797"/>
    </row>
    <row r="1798" spans="2:3" x14ac:dyDescent="0.2">
      <c r="B1798"/>
      <c r="C1798"/>
    </row>
    <row r="1799" spans="2:3" x14ac:dyDescent="0.2">
      <c r="B1799"/>
      <c r="C1799"/>
    </row>
    <row r="1800" spans="2:3" x14ac:dyDescent="0.2">
      <c r="B1800"/>
      <c r="C1800"/>
    </row>
    <row r="1801" spans="2:3" x14ac:dyDescent="0.2">
      <c r="B1801"/>
      <c r="C1801"/>
    </row>
    <row r="1802" spans="2:3" x14ac:dyDescent="0.2">
      <c r="B1802"/>
      <c r="C1802"/>
    </row>
    <row r="1803" spans="2:3" x14ac:dyDescent="0.2">
      <c r="B1803"/>
      <c r="C1803"/>
    </row>
    <row r="1804" spans="2:3" x14ac:dyDescent="0.2">
      <c r="B1804"/>
      <c r="C1804"/>
    </row>
    <row r="1805" spans="2:3" x14ac:dyDescent="0.2">
      <c r="B1805"/>
      <c r="C1805"/>
    </row>
    <row r="1806" spans="2:3" x14ac:dyDescent="0.2">
      <c r="B1806"/>
      <c r="C1806"/>
    </row>
    <row r="1807" spans="2:3" x14ac:dyDescent="0.2">
      <c r="B1807"/>
      <c r="C1807"/>
    </row>
    <row r="1808" spans="2:3" x14ac:dyDescent="0.2">
      <c r="B1808"/>
      <c r="C1808"/>
    </row>
    <row r="1809" spans="2:3" x14ac:dyDescent="0.2">
      <c r="B1809"/>
      <c r="C1809"/>
    </row>
    <row r="1810" spans="2:3" x14ac:dyDescent="0.2">
      <c r="B1810"/>
      <c r="C1810"/>
    </row>
    <row r="1811" spans="2:3" x14ac:dyDescent="0.2">
      <c r="B1811"/>
      <c r="C1811"/>
    </row>
    <row r="1812" spans="2:3" x14ac:dyDescent="0.2">
      <c r="B1812"/>
      <c r="C1812"/>
    </row>
    <row r="1813" spans="2:3" x14ac:dyDescent="0.2">
      <c r="B1813"/>
      <c r="C1813"/>
    </row>
    <row r="1814" spans="2:3" x14ac:dyDescent="0.2">
      <c r="B1814"/>
      <c r="C1814"/>
    </row>
    <row r="1815" spans="2:3" x14ac:dyDescent="0.2">
      <c r="B1815"/>
      <c r="C1815"/>
    </row>
    <row r="1816" spans="2:3" x14ac:dyDescent="0.2">
      <c r="B1816"/>
      <c r="C1816"/>
    </row>
    <row r="1817" spans="2:3" x14ac:dyDescent="0.2">
      <c r="B1817"/>
      <c r="C1817"/>
    </row>
    <row r="1818" spans="2:3" x14ac:dyDescent="0.2">
      <c r="B1818"/>
      <c r="C1818"/>
    </row>
    <row r="1819" spans="2:3" x14ac:dyDescent="0.2">
      <c r="B1819"/>
      <c r="C1819"/>
    </row>
    <row r="1820" spans="2:3" x14ac:dyDescent="0.2">
      <c r="B1820"/>
      <c r="C1820"/>
    </row>
    <row r="1821" spans="2:3" x14ac:dyDescent="0.2">
      <c r="B1821"/>
      <c r="C1821"/>
    </row>
    <row r="1822" spans="2:3" x14ac:dyDescent="0.2">
      <c r="B1822"/>
      <c r="C1822"/>
    </row>
    <row r="1823" spans="2:3" x14ac:dyDescent="0.2">
      <c r="B1823"/>
      <c r="C1823"/>
    </row>
    <row r="1824" spans="2:3" x14ac:dyDescent="0.2">
      <c r="B1824"/>
      <c r="C1824"/>
    </row>
    <row r="1825" spans="2:3" x14ac:dyDescent="0.2">
      <c r="B1825"/>
      <c r="C1825"/>
    </row>
    <row r="1826" spans="2:3" x14ac:dyDescent="0.2">
      <c r="B1826"/>
      <c r="C1826"/>
    </row>
    <row r="1827" spans="2:3" x14ac:dyDescent="0.2">
      <c r="B1827"/>
      <c r="C1827"/>
    </row>
    <row r="1828" spans="2:3" x14ac:dyDescent="0.2">
      <c r="B1828"/>
      <c r="C1828"/>
    </row>
    <row r="1829" spans="2:3" x14ac:dyDescent="0.2">
      <c r="B1829"/>
      <c r="C1829"/>
    </row>
    <row r="1830" spans="2:3" x14ac:dyDescent="0.2">
      <c r="B1830"/>
      <c r="C1830"/>
    </row>
    <row r="1831" spans="2:3" x14ac:dyDescent="0.2">
      <c r="B1831"/>
      <c r="C1831"/>
    </row>
    <row r="1832" spans="2:3" x14ac:dyDescent="0.2">
      <c r="B1832"/>
      <c r="C1832"/>
    </row>
    <row r="1833" spans="2:3" x14ac:dyDescent="0.2">
      <c r="B1833"/>
      <c r="C1833"/>
    </row>
    <row r="1834" spans="2:3" x14ac:dyDescent="0.2">
      <c r="B1834"/>
      <c r="C1834"/>
    </row>
    <row r="1835" spans="2:3" x14ac:dyDescent="0.2">
      <c r="B1835"/>
      <c r="C1835"/>
    </row>
    <row r="1836" spans="2:3" x14ac:dyDescent="0.2">
      <c r="B1836"/>
      <c r="C1836"/>
    </row>
    <row r="1837" spans="2:3" x14ac:dyDescent="0.2">
      <c r="B1837"/>
      <c r="C1837"/>
    </row>
    <row r="1838" spans="2:3" x14ac:dyDescent="0.2">
      <c r="B1838"/>
      <c r="C1838"/>
    </row>
    <row r="1839" spans="2:3" x14ac:dyDescent="0.2">
      <c r="B1839"/>
      <c r="C1839"/>
    </row>
    <row r="1840" spans="2:3" x14ac:dyDescent="0.2">
      <c r="B1840"/>
      <c r="C1840"/>
    </row>
    <row r="1841" spans="2:3" x14ac:dyDescent="0.2">
      <c r="B1841"/>
      <c r="C1841"/>
    </row>
    <row r="1842" spans="2:3" x14ac:dyDescent="0.2">
      <c r="B1842"/>
      <c r="C1842"/>
    </row>
    <row r="1843" spans="2:3" x14ac:dyDescent="0.2">
      <c r="B1843"/>
      <c r="C1843"/>
    </row>
    <row r="1844" spans="2:3" x14ac:dyDescent="0.2">
      <c r="B1844"/>
      <c r="C1844"/>
    </row>
    <row r="1845" spans="2:3" x14ac:dyDescent="0.2">
      <c r="B1845"/>
      <c r="C1845"/>
    </row>
    <row r="1846" spans="2:3" x14ac:dyDescent="0.2">
      <c r="B1846"/>
      <c r="C1846"/>
    </row>
    <row r="1847" spans="2:3" x14ac:dyDescent="0.2">
      <c r="B1847"/>
      <c r="C1847"/>
    </row>
    <row r="1848" spans="2:3" x14ac:dyDescent="0.2">
      <c r="B1848"/>
      <c r="C1848"/>
    </row>
    <row r="1849" spans="2:3" x14ac:dyDescent="0.2">
      <c r="B1849"/>
      <c r="C1849"/>
    </row>
    <row r="1850" spans="2:3" x14ac:dyDescent="0.2">
      <c r="B1850"/>
      <c r="C1850"/>
    </row>
    <row r="1851" spans="2:3" x14ac:dyDescent="0.2">
      <c r="B1851"/>
      <c r="C1851"/>
    </row>
    <row r="1852" spans="2:3" x14ac:dyDescent="0.2">
      <c r="B1852"/>
      <c r="C1852"/>
    </row>
    <row r="1853" spans="2:3" x14ac:dyDescent="0.2">
      <c r="B1853"/>
      <c r="C1853"/>
    </row>
    <row r="1854" spans="2:3" x14ac:dyDescent="0.2">
      <c r="B1854"/>
      <c r="C1854"/>
    </row>
    <row r="1855" spans="2:3" x14ac:dyDescent="0.2">
      <c r="B1855"/>
      <c r="C1855"/>
    </row>
    <row r="1856" spans="2:3" x14ac:dyDescent="0.2">
      <c r="B1856"/>
      <c r="C1856"/>
    </row>
    <row r="1857" spans="2:3" x14ac:dyDescent="0.2">
      <c r="B1857"/>
      <c r="C1857"/>
    </row>
    <row r="1858" spans="2:3" x14ac:dyDescent="0.2">
      <c r="B1858"/>
      <c r="C1858"/>
    </row>
    <row r="1859" spans="2:3" x14ac:dyDescent="0.2">
      <c r="B1859"/>
      <c r="C1859"/>
    </row>
    <row r="1860" spans="2:3" x14ac:dyDescent="0.2">
      <c r="B1860"/>
      <c r="C1860"/>
    </row>
    <row r="1861" spans="2:3" x14ac:dyDescent="0.2">
      <c r="B1861"/>
      <c r="C1861"/>
    </row>
    <row r="1862" spans="2:3" x14ac:dyDescent="0.2">
      <c r="B1862"/>
      <c r="C1862"/>
    </row>
    <row r="1863" spans="2:3" x14ac:dyDescent="0.2">
      <c r="B1863"/>
      <c r="C1863"/>
    </row>
    <row r="1864" spans="2:3" x14ac:dyDescent="0.2">
      <c r="B1864"/>
      <c r="C1864"/>
    </row>
    <row r="1865" spans="2:3" x14ac:dyDescent="0.2">
      <c r="B1865"/>
      <c r="C1865"/>
    </row>
    <row r="1866" spans="2:3" x14ac:dyDescent="0.2">
      <c r="B1866"/>
      <c r="C1866"/>
    </row>
    <row r="1867" spans="2:3" x14ac:dyDescent="0.2">
      <c r="B1867"/>
      <c r="C1867"/>
    </row>
    <row r="1868" spans="2:3" x14ac:dyDescent="0.2">
      <c r="B1868"/>
      <c r="C1868"/>
    </row>
    <row r="1869" spans="2:3" x14ac:dyDescent="0.2">
      <c r="B1869"/>
      <c r="C1869"/>
    </row>
    <row r="1870" spans="2:3" x14ac:dyDescent="0.2">
      <c r="B1870"/>
      <c r="C1870"/>
    </row>
    <row r="1871" spans="2:3" x14ac:dyDescent="0.2">
      <c r="B1871"/>
      <c r="C1871"/>
    </row>
    <row r="1872" spans="2:3" x14ac:dyDescent="0.2">
      <c r="B1872"/>
      <c r="C1872"/>
    </row>
    <row r="1873" spans="2:3" x14ac:dyDescent="0.2">
      <c r="B1873"/>
      <c r="C1873"/>
    </row>
    <row r="1874" spans="2:3" x14ac:dyDescent="0.2">
      <c r="B1874"/>
      <c r="C1874"/>
    </row>
    <row r="1875" spans="2:3" x14ac:dyDescent="0.2">
      <c r="B1875"/>
      <c r="C1875"/>
    </row>
    <row r="1876" spans="2:3" x14ac:dyDescent="0.2">
      <c r="B1876"/>
      <c r="C1876"/>
    </row>
    <row r="1877" spans="2:3" x14ac:dyDescent="0.2">
      <c r="B1877"/>
      <c r="C1877"/>
    </row>
    <row r="1878" spans="2:3" x14ac:dyDescent="0.2">
      <c r="B1878"/>
      <c r="C1878"/>
    </row>
    <row r="1879" spans="2:3" x14ac:dyDescent="0.2">
      <c r="B1879"/>
      <c r="C1879"/>
    </row>
    <row r="1880" spans="2:3" x14ac:dyDescent="0.2">
      <c r="B1880"/>
      <c r="C1880"/>
    </row>
    <row r="1881" spans="2:3" x14ac:dyDescent="0.2">
      <c r="B1881"/>
      <c r="C1881"/>
    </row>
    <row r="1882" spans="2:3" x14ac:dyDescent="0.2">
      <c r="B1882"/>
      <c r="C1882"/>
    </row>
    <row r="1883" spans="2:3" x14ac:dyDescent="0.2">
      <c r="B1883"/>
      <c r="C1883"/>
    </row>
    <row r="1884" spans="2:3" x14ac:dyDescent="0.2">
      <c r="B1884"/>
      <c r="C1884"/>
    </row>
    <row r="1885" spans="2:3" x14ac:dyDescent="0.2">
      <c r="B1885"/>
      <c r="C1885"/>
    </row>
    <row r="1886" spans="2:3" x14ac:dyDescent="0.2">
      <c r="B1886"/>
      <c r="C1886"/>
    </row>
    <row r="1887" spans="2:3" x14ac:dyDescent="0.2">
      <c r="B1887"/>
      <c r="C1887"/>
    </row>
    <row r="1888" spans="2:3" x14ac:dyDescent="0.2">
      <c r="B1888"/>
      <c r="C1888"/>
    </row>
    <row r="1889" spans="2:3" x14ac:dyDescent="0.2">
      <c r="B1889"/>
      <c r="C1889"/>
    </row>
    <row r="1890" spans="2:3" x14ac:dyDescent="0.2">
      <c r="B1890"/>
      <c r="C1890"/>
    </row>
    <row r="1891" spans="2:3" x14ac:dyDescent="0.2">
      <c r="B1891"/>
      <c r="C1891"/>
    </row>
    <row r="1892" spans="2:3" x14ac:dyDescent="0.2">
      <c r="B1892"/>
      <c r="C1892"/>
    </row>
    <row r="1893" spans="2:3" x14ac:dyDescent="0.2">
      <c r="B1893"/>
      <c r="C1893"/>
    </row>
    <row r="1894" spans="2:3" x14ac:dyDescent="0.2">
      <c r="B1894"/>
      <c r="C1894"/>
    </row>
    <row r="1895" spans="2:3" x14ac:dyDescent="0.2">
      <c r="B1895"/>
      <c r="C1895"/>
    </row>
    <row r="1896" spans="2:3" x14ac:dyDescent="0.2">
      <c r="B1896"/>
      <c r="C1896"/>
    </row>
    <row r="1897" spans="2:3" x14ac:dyDescent="0.2">
      <c r="B1897"/>
      <c r="C1897"/>
    </row>
    <row r="1898" spans="2:3" x14ac:dyDescent="0.2">
      <c r="B1898"/>
      <c r="C1898"/>
    </row>
    <row r="1899" spans="2:3" x14ac:dyDescent="0.2">
      <c r="B1899"/>
      <c r="C1899"/>
    </row>
    <row r="1900" spans="2:3" x14ac:dyDescent="0.2">
      <c r="B1900"/>
      <c r="C1900"/>
    </row>
    <row r="1901" spans="2:3" x14ac:dyDescent="0.2">
      <c r="B1901"/>
      <c r="C1901"/>
    </row>
    <row r="1902" spans="2:3" x14ac:dyDescent="0.2">
      <c r="B1902"/>
      <c r="C1902"/>
    </row>
    <row r="1903" spans="2:3" x14ac:dyDescent="0.2">
      <c r="B1903"/>
      <c r="C1903"/>
    </row>
    <row r="1904" spans="2:3" x14ac:dyDescent="0.2">
      <c r="B1904"/>
      <c r="C1904"/>
    </row>
    <row r="1905" spans="2:3" x14ac:dyDescent="0.2">
      <c r="B1905"/>
      <c r="C1905"/>
    </row>
    <row r="1906" spans="2:3" x14ac:dyDescent="0.2">
      <c r="B1906"/>
      <c r="C1906"/>
    </row>
    <row r="1907" spans="2:3" x14ac:dyDescent="0.2">
      <c r="B1907"/>
      <c r="C1907"/>
    </row>
    <row r="1908" spans="2:3" x14ac:dyDescent="0.2">
      <c r="B1908"/>
      <c r="C1908"/>
    </row>
    <row r="1909" spans="2:3" x14ac:dyDescent="0.2">
      <c r="B1909"/>
      <c r="C1909"/>
    </row>
    <row r="1910" spans="2:3" x14ac:dyDescent="0.2">
      <c r="B1910"/>
      <c r="C1910"/>
    </row>
    <row r="1911" spans="2:3" x14ac:dyDescent="0.2">
      <c r="B1911"/>
      <c r="C1911"/>
    </row>
    <row r="1912" spans="2:3" x14ac:dyDescent="0.2">
      <c r="B1912"/>
      <c r="C1912"/>
    </row>
    <row r="1913" spans="2:3" x14ac:dyDescent="0.2">
      <c r="B1913"/>
      <c r="C1913"/>
    </row>
    <row r="1914" spans="2:3" x14ac:dyDescent="0.2">
      <c r="B1914"/>
      <c r="C1914"/>
    </row>
    <row r="1915" spans="2:3" x14ac:dyDescent="0.2">
      <c r="B1915"/>
      <c r="C1915"/>
    </row>
    <row r="1916" spans="2:3" x14ac:dyDescent="0.2">
      <c r="B1916"/>
      <c r="C1916"/>
    </row>
    <row r="1917" spans="2:3" x14ac:dyDescent="0.2">
      <c r="B1917"/>
      <c r="C1917"/>
    </row>
    <row r="1918" spans="2:3" x14ac:dyDescent="0.2">
      <c r="B1918"/>
      <c r="C1918"/>
    </row>
    <row r="1919" spans="2:3" x14ac:dyDescent="0.2">
      <c r="B1919"/>
      <c r="C1919"/>
    </row>
    <row r="1920" spans="2:3" x14ac:dyDescent="0.2">
      <c r="B1920"/>
      <c r="C1920"/>
    </row>
    <row r="1921" spans="2:3" x14ac:dyDescent="0.2">
      <c r="B1921"/>
      <c r="C1921"/>
    </row>
    <row r="1922" spans="2:3" x14ac:dyDescent="0.2">
      <c r="B1922"/>
      <c r="C1922"/>
    </row>
    <row r="1923" spans="2:3" x14ac:dyDescent="0.2">
      <c r="B1923"/>
      <c r="C1923"/>
    </row>
    <row r="1924" spans="2:3" x14ac:dyDescent="0.2">
      <c r="B1924"/>
      <c r="C1924"/>
    </row>
    <row r="1925" spans="2:3" x14ac:dyDescent="0.2">
      <c r="B1925"/>
      <c r="C1925"/>
    </row>
    <row r="1926" spans="2:3" x14ac:dyDescent="0.2">
      <c r="B1926"/>
      <c r="C1926"/>
    </row>
    <row r="1927" spans="2:3" x14ac:dyDescent="0.2">
      <c r="B1927"/>
      <c r="C1927"/>
    </row>
    <row r="1928" spans="2:3" x14ac:dyDescent="0.2">
      <c r="B1928"/>
      <c r="C1928"/>
    </row>
    <row r="1929" spans="2:3" x14ac:dyDescent="0.2">
      <c r="B1929"/>
      <c r="C1929"/>
    </row>
    <row r="1930" spans="2:3" x14ac:dyDescent="0.2">
      <c r="B1930"/>
      <c r="C1930"/>
    </row>
    <row r="1931" spans="2:3" x14ac:dyDescent="0.2">
      <c r="B1931"/>
      <c r="C1931"/>
    </row>
    <row r="1932" spans="2:3" x14ac:dyDescent="0.2">
      <c r="B1932"/>
      <c r="C1932"/>
    </row>
    <row r="1933" spans="2:3" x14ac:dyDescent="0.2">
      <c r="B1933"/>
      <c r="C1933"/>
    </row>
    <row r="1934" spans="2:3" x14ac:dyDescent="0.2">
      <c r="B1934"/>
      <c r="C1934"/>
    </row>
    <row r="1935" spans="2:3" x14ac:dyDescent="0.2">
      <c r="B1935"/>
      <c r="C1935"/>
    </row>
    <row r="1936" spans="2:3" x14ac:dyDescent="0.2">
      <c r="B1936"/>
      <c r="C1936"/>
    </row>
    <row r="1937" spans="2:3" x14ac:dyDescent="0.2">
      <c r="B1937"/>
      <c r="C1937"/>
    </row>
    <row r="1938" spans="2:3" x14ac:dyDescent="0.2">
      <c r="B1938"/>
      <c r="C1938"/>
    </row>
    <row r="1939" spans="2:3" x14ac:dyDescent="0.2">
      <c r="B1939"/>
      <c r="C1939"/>
    </row>
    <row r="1940" spans="2:3" x14ac:dyDescent="0.2">
      <c r="B1940"/>
      <c r="C1940"/>
    </row>
    <row r="1941" spans="2:3" x14ac:dyDescent="0.2">
      <c r="B1941"/>
      <c r="C1941"/>
    </row>
    <row r="1942" spans="2:3" x14ac:dyDescent="0.2">
      <c r="B1942"/>
      <c r="C1942"/>
    </row>
    <row r="1943" spans="2:3" x14ac:dyDescent="0.2">
      <c r="B1943"/>
      <c r="C1943"/>
    </row>
    <row r="1944" spans="2:3" x14ac:dyDescent="0.2">
      <c r="B1944"/>
      <c r="C1944"/>
    </row>
    <row r="1945" spans="2:3" x14ac:dyDescent="0.2">
      <c r="B1945"/>
      <c r="C1945"/>
    </row>
    <row r="1946" spans="2:3" x14ac:dyDescent="0.2">
      <c r="B1946"/>
      <c r="C1946"/>
    </row>
    <row r="1947" spans="2:3" x14ac:dyDescent="0.2">
      <c r="B1947"/>
      <c r="C1947"/>
    </row>
    <row r="1948" spans="2:3" x14ac:dyDescent="0.2">
      <c r="B1948"/>
      <c r="C1948"/>
    </row>
    <row r="1949" spans="2:3" x14ac:dyDescent="0.2">
      <c r="B1949"/>
      <c r="C1949"/>
    </row>
    <row r="1950" spans="2:3" x14ac:dyDescent="0.2">
      <c r="B1950"/>
      <c r="C1950"/>
    </row>
    <row r="1951" spans="2:3" x14ac:dyDescent="0.2">
      <c r="B1951"/>
      <c r="C1951"/>
    </row>
    <row r="1952" spans="2:3" x14ac:dyDescent="0.2">
      <c r="B1952"/>
      <c r="C1952"/>
    </row>
    <row r="1953" spans="2:3" x14ac:dyDescent="0.2">
      <c r="B1953"/>
      <c r="C1953"/>
    </row>
    <row r="1954" spans="2:3" x14ac:dyDescent="0.2">
      <c r="B1954"/>
      <c r="C1954"/>
    </row>
    <row r="1955" spans="2:3" x14ac:dyDescent="0.2">
      <c r="B1955"/>
      <c r="C1955"/>
    </row>
    <row r="1956" spans="2:3" x14ac:dyDescent="0.2">
      <c r="B1956"/>
      <c r="C1956"/>
    </row>
    <row r="1957" spans="2:3" x14ac:dyDescent="0.2">
      <c r="B1957"/>
      <c r="C1957"/>
    </row>
    <row r="1958" spans="2:3" x14ac:dyDescent="0.2">
      <c r="B1958"/>
      <c r="C1958"/>
    </row>
    <row r="1959" spans="2:3" x14ac:dyDescent="0.2">
      <c r="B1959"/>
      <c r="C1959"/>
    </row>
    <row r="1960" spans="2:3" x14ac:dyDescent="0.2">
      <c r="B1960"/>
      <c r="C1960"/>
    </row>
    <row r="1961" spans="2:3" x14ac:dyDescent="0.2">
      <c r="B1961"/>
      <c r="C1961"/>
    </row>
    <row r="1962" spans="2:3" x14ac:dyDescent="0.2">
      <c r="B1962"/>
      <c r="C1962"/>
    </row>
    <row r="1963" spans="2:3" x14ac:dyDescent="0.2">
      <c r="B1963"/>
      <c r="C1963"/>
    </row>
    <row r="1964" spans="2:3" x14ac:dyDescent="0.2">
      <c r="B1964"/>
      <c r="C1964"/>
    </row>
    <row r="1965" spans="2:3" x14ac:dyDescent="0.2">
      <c r="B1965"/>
      <c r="C1965"/>
    </row>
    <row r="1966" spans="2:3" x14ac:dyDescent="0.2">
      <c r="B1966"/>
      <c r="C1966"/>
    </row>
    <row r="1967" spans="2:3" x14ac:dyDescent="0.2">
      <c r="B1967"/>
      <c r="C1967"/>
    </row>
    <row r="1968" spans="2:3" x14ac:dyDescent="0.2">
      <c r="B1968"/>
      <c r="C1968"/>
    </row>
    <row r="1969" spans="2:3" x14ac:dyDescent="0.2">
      <c r="B1969"/>
      <c r="C1969"/>
    </row>
    <row r="1970" spans="2:3" x14ac:dyDescent="0.2">
      <c r="B1970"/>
      <c r="C1970"/>
    </row>
    <row r="1971" spans="2:3" x14ac:dyDescent="0.2">
      <c r="B1971"/>
      <c r="C1971"/>
    </row>
    <row r="1972" spans="2:3" x14ac:dyDescent="0.2">
      <c r="B1972"/>
      <c r="C1972"/>
    </row>
    <row r="1973" spans="2:3" x14ac:dyDescent="0.2">
      <c r="B1973"/>
      <c r="C1973"/>
    </row>
    <row r="1974" spans="2:3" x14ac:dyDescent="0.2">
      <c r="B1974"/>
      <c r="C1974"/>
    </row>
    <row r="1975" spans="2:3" x14ac:dyDescent="0.2">
      <c r="B1975"/>
      <c r="C1975"/>
    </row>
    <row r="1976" spans="2:3" x14ac:dyDescent="0.2">
      <c r="B1976"/>
      <c r="C1976"/>
    </row>
    <row r="1977" spans="2:3" x14ac:dyDescent="0.2">
      <c r="B1977"/>
      <c r="C1977"/>
    </row>
    <row r="1978" spans="2:3" x14ac:dyDescent="0.2">
      <c r="B1978"/>
      <c r="C1978"/>
    </row>
    <row r="1979" spans="2:3" x14ac:dyDescent="0.2">
      <c r="B1979"/>
      <c r="C1979"/>
    </row>
    <row r="1980" spans="2:3" x14ac:dyDescent="0.2">
      <c r="B1980"/>
      <c r="C1980"/>
    </row>
    <row r="1981" spans="2:3" x14ac:dyDescent="0.2">
      <c r="B1981"/>
      <c r="C1981"/>
    </row>
    <row r="1982" spans="2:3" x14ac:dyDescent="0.2">
      <c r="B1982"/>
      <c r="C1982"/>
    </row>
    <row r="1983" spans="2:3" x14ac:dyDescent="0.2">
      <c r="B1983"/>
      <c r="C1983"/>
    </row>
    <row r="1984" spans="2:3" x14ac:dyDescent="0.2">
      <c r="B1984"/>
      <c r="C1984"/>
    </row>
    <row r="1985" spans="2:3" x14ac:dyDescent="0.2">
      <c r="B1985"/>
      <c r="C1985"/>
    </row>
    <row r="1986" spans="2:3" x14ac:dyDescent="0.2">
      <c r="B1986"/>
      <c r="C1986"/>
    </row>
    <row r="1987" spans="2:3" x14ac:dyDescent="0.2">
      <c r="B1987"/>
      <c r="C1987"/>
    </row>
    <row r="1988" spans="2:3" x14ac:dyDescent="0.2">
      <c r="B1988"/>
      <c r="C1988"/>
    </row>
    <row r="1989" spans="2:3" x14ac:dyDescent="0.2">
      <c r="B1989"/>
      <c r="C1989"/>
    </row>
    <row r="1990" spans="2:3" x14ac:dyDescent="0.2">
      <c r="B1990"/>
      <c r="C1990"/>
    </row>
    <row r="1991" spans="2:3" x14ac:dyDescent="0.2">
      <c r="B1991"/>
      <c r="C1991"/>
    </row>
    <row r="1992" spans="2:3" x14ac:dyDescent="0.2">
      <c r="B1992"/>
      <c r="C1992"/>
    </row>
    <row r="1993" spans="2:3" x14ac:dyDescent="0.2">
      <c r="B1993"/>
      <c r="C1993"/>
    </row>
    <row r="1994" spans="2:3" x14ac:dyDescent="0.2">
      <c r="B1994"/>
      <c r="C1994"/>
    </row>
    <row r="1995" spans="2:3" x14ac:dyDescent="0.2">
      <c r="B1995"/>
      <c r="C1995"/>
    </row>
    <row r="1996" spans="2:3" x14ac:dyDescent="0.2">
      <c r="B1996"/>
      <c r="C1996"/>
    </row>
    <row r="1997" spans="2:3" x14ac:dyDescent="0.2">
      <c r="B1997"/>
      <c r="C1997"/>
    </row>
    <row r="1998" spans="2:3" x14ac:dyDescent="0.2">
      <c r="B1998"/>
      <c r="C1998"/>
    </row>
    <row r="1999" spans="2:3" x14ac:dyDescent="0.2">
      <c r="B1999"/>
      <c r="C1999"/>
    </row>
    <row r="2000" spans="2:3" x14ac:dyDescent="0.2">
      <c r="B2000"/>
      <c r="C2000"/>
    </row>
    <row r="2001" spans="2:3" x14ac:dyDescent="0.2">
      <c r="B2001"/>
      <c r="C2001"/>
    </row>
    <row r="2002" spans="2:3" x14ac:dyDescent="0.2">
      <c r="B2002"/>
      <c r="C2002"/>
    </row>
    <row r="2003" spans="2:3" x14ac:dyDescent="0.2">
      <c r="B2003"/>
      <c r="C2003"/>
    </row>
    <row r="2004" spans="2:3" x14ac:dyDescent="0.2">
      <c r="B2004"/>
      <c r="C2004"/>
    </row>
    <row r="2005" spans="2:3" x14ac:dyDescent="0.2">
      <c r="B2005"/>
      <c r="C2005"/>
    </row>
    <row r="2006" spans="2:3" x14ac:dyDescent="0.2">
      <c r="B2006"/>
      <c r="C2006"/>
    </row>
    <row r="2007" spans="2:3" x14ac:dyDescent="0.2">
      <c r="B2007"/>
      <c r="C2007"/>
    </row>
    <row r="2008" spans="2:3" x14ac:dyDescent="0.2">
      <c r="B2008"/>
      <c r="C2008"/>
    </row>
    <row r="2009" spans="2:3" x14ac:dyDescent="0.2">
      <c r="B2009"/>
      <c r="C2009"/>
    </row>
    <row r="2010" spans="2:3" x14ac:dyDescent="0.2">
      <c r="B2010"/>
      <c r="C2010"/>
    </row>
    <row r="2011" spans="2:3" x14ac:dyDescent="0.2">
      <c r="B2011"/>
      <c r="C2011"/>
    </row>
    <row r="2012" spans="2:3" x14ac:dyDescent="0.2">
      <c r="B2012"/>
      <c r="C2012"/>
    </row>
    <row r="2013" spans="2:3" x14ac:dyDescent="0.2">
      <c r="B2013"/>
      <c r="C2013"/>
    </row>
    <row r="2014" spans="2:3" x14ac:dyDescent="0.2">
      <c r="B2014"/>
      <c r="C2014"/>
    </row>
    <row r="2015" spans="2:3" x14ac:dyDescent="0.2">
      <c r="B2015"/>
      <c r="C2015"/>
    </row>
    <row r="2016" spans="2:3" x14ac:dyDescent="0.2">
      <c r="B2016"/>
      <c r="C2016"/>
    </row>
    <row r="2017" spans="2:3" x14ac:dyDescent="0.2">
      <c r="B2017"/>
      <c r="C2017"/>
    </row>
    <row r="2018" spans="2:3" x14ac:dyDescent="0.2">
      <c r="B2018"/>
      <c r="C2018"/>
    </row>
    <row r="2019" spans="2:3" x14ac:dyDescent="0.2">
      <c r="B2019"/>
      <c r="C2019"/>
    </row>
    <row r="2020" spans="2:3" x14ac:dyDescent="0.2">
      <c r="B2020"/>
      <c r="C2020"/>
    </row>
    <row r="2021" spans="2:3" x14ac:dyDescent="0.2">
      <c r="B2021"/>
      <c r="C2021"/>
    </row>
    <row r="2022" spans="2:3" x14ac:dyDescent="0.2">
      <c r="B2022"/>
      <c r="C2022"/>
    </row>
    <row r="2023" spans="2:3" x14ac:dyDescent="0.2">
      <c r="B2023"/>
      <c r="C2023"/>
    </row>
    <row r="2024" spans="2:3" x14ac:dyDescent="0.2">
      <c r="B2024"/>
      <c r="C2024"/>
    </row>
    <row r="2025" spans="2:3" x14ac:dyDescent="0.2">
      <c r="B2025"/>
      <c r="C2025"/>
    </row>
    <row r="2026" spans="2:3" x14ac:dyDescent="0.2">
      <c r="B2026"/>
      <c r="C2026"/>
    </row>
    <row r="2027" spans="2:3" x14ac:dyDescent="0.2">
      <c r="B2027"/>
      <c r="C2027"/>
    </row>
    <row r="2028" spans="2:3" x14ac:dyDescent="0.2">
      <c r="B2028"/>
      <c r="C2028"/>
    </row>
    <row r="2029" spans="2:3" x14ac:dyDescent="0.2">
      <c r="B2029"/>
      <c r="C2029"/>
    </row>
    <row r="2030" spans="2:3" x14ac:dyDescent="0.2">
      <c r="B2030"/>
      <c r="C2030"/>
    </row>
    <row r="2031" spans="2:3" x14ac:dyDescent="0.2">
      <c r="B2031"/>
      <c r="C2031"/>
    </row>
    <row r="2032" spans="2:3" x14ac:dyDescent="0.2">
      <c r="B2032"/>
      <c r="C2032"/>
    </row>
    <row r="2033" spans="2:3" x14ac:dyDescent="0.2">
      <c r="B2033"/>
      <c r="C2033"/>
    </row>
    <row r="2034" spans="2:3" x14ac:dyDescent="0.2">
      <c r="B2034"/>
      <c r="C2034"/>
    </row>
    <row r="2035" spans="2:3" x14ac:dyDescent="0.2">
      <c r="B2035"/>
      <c r="C2035"/>
    </row>
    <row r="2036" spans="2:3" x14ac:dyDescent="0.2">
      <c r="B2036"/>
      <c r="C2036"/>
    </row>
    <row r="2037" spans="2:3" x14ac:dyDescent="0.2">
      <c r="B2037"/>
      <c r="C2037"/>
    </row>
    <row r="2038" spans="2:3" x14ac:dyDescent="0.2">
      <c r="B2038"/>
      <c r="C2038"/>
    </row>
    <row r="2039" spans="2:3" x14ac:dyDescent="0.2">
      <c r="B2039"/>
      <c r="C2039"/>
    </row>
    <row r="2040" spans="2:3" x14ac:dyDescent="0.2">
      <c r="B2040"/>
      <c r="C2040"/>
    </row>
    <row r="2041" spans="2:3" x14ac:dyDescent="0.2">
      <c r="B2041"/>
      <c r="C2041"/>
    </row>
    <row r="2042" spans="2:3" x14ac:dyDescent="0.2">
      <c r="B2042"/>
      <c r="C2042"/>
    </row>
    <row r="2043" spans="2:3" x14ac:dyDescent="0.2">
      <c r="B2043"/>
      <c r="C2043"/>
    </row>
    <row r="2044" spans="2:3" x14ac:dyDescent="0.2">
      <c r="B2044"/>
      <c r="C2044"/>
    </row>
    <row r="2045" spans="2:3" x14ac:dyDescent="0.2">
      <c r="B2045"/>
      <c r="C2045"/>
    </row>
    <row r="2046" spans="2:3" x14ac:dyDescent="0.2">
      <c r="B2046"/>
      <c r="C2046"/>
    </row>
    <row r="2047" spans="2:3" x14ac:dyDescent="0.2">
      <c r="B2047"/>
      <c r="C2047"/>
    </row>
    <row r="2048" spans="2:3" x14ac:dyDescent="0.2">
      <c r="B2048"/>
      <c r="C2048"/>
    </row>
    <row r="2049" spans="2:3" x14ac:dyDescent="0.2">
      <c r="B2049"/>
      <c r="C2049"/>
    </row>
    <row r="2050" spans="2:3" x14ac:dyDescent="0.2">
      <c r="B2050"/>
      <c r="C2050"/>
    </row>
    <row r="2051" spans="2:3" x14ac:dyDescent="0.2">
      <c r="B2051"/>
      <c r="C2051"/>
    </row>
    <row r="2052" spans="2:3" x14ac:dyDescent="0.2">
      <c r="B2052"/>
      <c r="C2052"/>
    </row>
    <row r="2053" spans="2:3" x14ac:dyDescent="0.2">
      <c r="B2053"/>
      <c r="C2053"/>
    </row>
    <row r="2054" spans="2:3" x14ac:dyDescent="0.2">
      <c r="B2054"/>
      <c r="C2054"/>
    </row>
    <row r="2055" spans="2:3" x14ac:dyDescent="0.2">
      <c r="B2055"/>
      <c r="C2055"/>
    </row>
    <row r="2056" spans="2:3" x14ac:dyDescent="0.2">
      <c r="B2056"/>
      <c r="C2056"/>
    </row>
    <row r="2057" spans="2:3" x14ac:dyDescent="0.2">
      <c r="B2057"/>
      <c r="C2057"/>
    </row>
    <row r="2058" spans="2:3" x14ac:dyDescent="0.2">
      <c r="B2058"/>
      <c r="C2058"/>
    </row>
    <row r="2059" spans="2:3" x14ac:dyDescent="0.2">
      <c r="B2059"/>
      <c r="C2059"/>
    </row>
    <row r="2060" spans="2:3" x14ac:dyDescent="0.2">
      <c r="B2060"/>
      <c r="C2060"/>
    </row>
    <row r="2061" spans="2:3" x14ac:dyDescent="0.2">
      <c r="B2061"/>
      <c r="C2061"/>
    </row>
    <row r="2062" spans="2:3" x14ac:dyDescent="0.2">
      <c r="B2062"/>
      <c r="C2062"/>
    </row>
    <row r="2063" spans="2:3" x14ac:dyDescent="0.2">
      <c r="B2063"/>
      <c r="C2063"/>
    </row>
    <row r="2064" spans="2:3" x14ac:dyDescent="0.2">
      <c r="B2064"/>
      <c r="C2064"/>
    </row>
    <row r="2065" spans="2:3" x14ac:dyDescent="0.2">
      <c r="B2065"/>
      <c r="C2065"/>
    </row>
    <row r="2066" spans="2:3" x14ac:dyDescent="0.2">
      <c r="B2066"/>
      <c r="C2066"/>
    </row>
    <row r="2067" spans="2:3" x14ac:dyDescent="0.2">
      <c r="B2067"/>
      <c r="C2067"/>
    </row>
    <row r="2068" spans="2:3" x14ac:dyDescent="0.2">
      <c r="B2068"/>
      <c r="C2068"/>
    </row>
    <row r="2069" spans="2:3" x14ac:dyDescent="0.2">
      <c r="B2069"/>
      <c r="C2069"/>
    </row>
    <row r="2070" spans="2:3" x14ac:dyDescent="0.2">
      <c r="B2070"/>
      <c r="C2070"/>
    </row>
    <row r="2071" spans="2:3" x14ac:dyDescent="0.2">
      <c r="B2071"/>
      <c r="C2071"/>
    </row>
    <row r="2072" spans="2:3" x14ac:dyDescent="0.2">
      <c r="B2072"/>
      <c r="C2072"/>
    </row>
    <row r="2073" spans="2:3" x14ac:dyDescent="0.2">
      <c r="B2073"/>
      <c r="C2073"/>
    </row>
    <row r="2074" spans="2:3" x14ac:dyDescent="0.2">
      <c r="B2074"/>
      <c r="C2074"/>
    </row>
    <row r="2075" spans="2:3" x14ac:dyDescent="0.2">
      <c r="B2075"/>
      <c r="C2075"/>
    </row>
    <row r="2076" spans="2:3" x14ac:dyDescent="0.2">
      <c r="B2076"/>
      <c r="C2076"/>
    </row>
    <row r="2077" spans="2:3" x14ac:dyDescent="0.2">
      <c r="B2077"/>
      <c r="C2077"/>
    </row>
    <row r="2078" spans="2:3" x14ac:dyDescent="0.2">
      <c r="B2078"/>
      <c r="C2078"/>
    </row>
    <row r="2079" spans="2:3" x14ac:dyDescent="0.2">
      <c r="B2079"/>
      <c r="C2079"/>
    </row>
    <row r="2080" spans="2:3" x14ac:dyDescent="0.2">
      <c r="B2080"/>
      <c r="C2080"/>
    </row>
    <row r="2081" spans="2:3" x14ac:dyDescent="0.2">
      <c r="B2081"/>
      <c r="C2081"/>
    </row>
    <row r="2082" spans="2:3" x14ac:dyDescent="0.2">
      <c r="B2082"/>
      <c r="C2082"/>
    </row>
    <row r="2083" spans="2:3" x14ac:dyDescent="0.2">
      <c r="B2083"/>
      <c r="C2083"/>
    </row>
    <row r="2084" spans="2:3" x14ac:dyDescent="0.2">
      <c r="B2084"/>
      <c r="C2084"/>
    </row>
    <row r="2085" spans="2:3" x14ac:dyDescent="0.2">
      <c r="B2085"/>
      <c r="C2085"/>
    </row>
    <row r="2086" spans="2:3" x14ac:dyDescent="0.2">
      <c r="B2086"/>
      <c r="C2086"/>
    </row>
    <row r="2087" spans="2:3" x14ac:dyDescent="0.2">
      <c r="B2087"/>
      <c r="C2087"/>
    </row>
    <row r="2088" spans="2:3" x14ac:dyDescent="0.2">
      <c r="B2088"/>
      <c r="C2088"/>
    </row>
    <row r="2089" spans="2:3" x14ac:dyDescent="0.2">
      <c r="B2089"/>
      <c r="C2089"/>
    </row>
    <row r="2090" spans="2:3" x14ac:dyDescent="0.2">
      <c r="B2090"/>
      <c r="C2090"/>
    </row>
    <row r="2091" spans="2:3" x14ac:dyDescent="0.2">
      <c r="B2091"/>
      <c r="C2091"/>
    </row>
    <row r="2092" spans="2:3" x14ac:dyDescent="0.2">
      <c r="B2092"/>
      <c r="C2092"/>
    </row>
    <row r="2093" spans="2:3" x14ac:dyDescent="0.2">
      <c r="B2093"/>
      <c r="C2093"/>
    </row>
    <row r="2094" spans="2:3" x14ac:dyDescent="0.2">
      <c r="B2094"/>
      <c r="C2094"/>
    </row>
    <row r="2095" spans="2:3" x14ac:dyDescent="0.2">
      <c r="B2095"/>
      <c r="C2095"/>
    </row>
    <row r="2096" spans="2:3" x14ac:dyDescent="0.2">
      <c r="B2096"/>
      <c r="C2096"/>
    </row>
    <row r="2097" spans="2:3" x14ac:dyDescent="0.2">
      <c r="B2097"/>
      <c r="C2097"/>
    </row>
    <row r="2098" spans="2:3" x14ac:dyDescent="0.2">
      <c r="B2098"/>
      <c r="C2098"/>
    </row>
    <row r="2099" spans="2:3" x14ac:dyDescent="0.2">
      <c r="B2099"/>
      <c r="C2099"/>
    </row>
    <row r="2100" spans="2:3" x14ac:dyDescent="0.2">
      <c r="B2100"/>
      <c r="C2100"/>
    </row>
    <row r="2101" spans="2:3" x14ac:dyDescent="0.2">
      <c r="B2101"/>
      <c r="C2101"/>
    </row>
    <row r="2102" spans="2:3" x14ac:dyDescent="0.2">
      <c r="B2102"/>
      <c r="C2102"/>
    </row>
    <row r="2103" spans="2:3" x14ac:dyDescent="0.2">
      <c r="B2103"/>
      <c r="C2103"/>
    </row>
    <row r="2104" spans="2:3" x14ac:dyDescent="0.2">
      <c r="B2104"/>
      <c r="C2104"/>
    </row>
    <row r="2105" spans="2:3" x14ac:dyDescent="0.2">
      <c r="B2105"/>
      <c r="C2105"/>
    </row>
    <row r="2106" spans="2:3" x14ac:dyDescent="0.2">
      <c r="B2106"/>
      <c r="C2106"/>
    </row>
    <row r="2107" spans="2:3" x14ac:dyDescent="0.2">
      <c r="B2107"/>
      <c r="C2107"/>
    </row>
    <row r="2108" spans="2:3" x14ac:dyDescent="0.2">
      <c r="B2108"/>
      <c r="C2108"/>
    </row>
    <row r="2109" spans="2:3" x14ac:dyDescent="0.2">
      <c r="B2109"/>
      <c r="C2109"/>
    </row>
    <row r="2110" spans="2:3" x14ac:dyDescent="0.2">
      <c r="B2110"/>
      <c r="C2110"/>
    </row>
    <row r="2111" spans="2:3" x14ac:dyDescent="0.2">
      <c r="B2111"/>
      <c r="C2111"/>
    </row>
    <row r="2112" spans="2:3" x14ac:dyDescent="0.2">
      <c r="B2112"/>
      <c r="C2112"/>
    </row>
    <row r="2113" spans="2:3" x14ac:dyDescent="0.2">
      <c r="B2113"/>
      <c r="C2113"/>
    </row>
    <row r="2114" spans="2:3" x14ac:dyDescent="0.2">
      <c r="B2114"/>
      <c r="C2114"/>
    </row>
    <row r="2115" spans="2:3" x14ac:dyDescent="0.2">
      <c r="B2115"/>
      <c r="C2115"/>
    </row>
    <row r="2116" spans="2:3" x14ac:dyDescent="0.2">
      <c r="B2116"/>
      <c r="C2116"/>
    </row>
    <row r="2117" spans="2:3" x14ac:dyDescent="0.2">
      <c r="B2117"/>
      <c r="C2117"/>
    </row>
    <row r="2118" spans="2:3" x14ac:dyDescent="0.2">
      <c r="B2118"/>
      <c r="C2118"/>
    </row>
    <row r="2119" spans="2:3" x14ac:dyDescent="0.2">
      <c r="B2119"/>
      <c r="C2119"/>
    </row>
    <row r="2120" spans="2:3" x14ac:dyDescent="0.2">
      <c r="B2120"/>
      <c r="C2120"/>
    </row>
    <row r="2121" spans="2:3" x14ac:dyDescent="0.2">
      <c r="B2121"/>
      <c r="C2121"/>
    </row>
    <row r="2122" spans="2:3" x14ac:dyDescent="0.2">
      <c r="B2122"/>
      <c r="C2122"/>
    </row>
    <row r="2123" spans="2:3" x14ac:dyDescent="0.2">
      <c r="B2123"/>
      <c r="C2123"/>
    </row>
    <row r="2124" spans="2:3" x14ac:dyDescent="0.2">
      <c r="B2124"/>
      <c r="C2124"/>
    </row>
    <row r="2125" spans="2:3" x14ac:dyDescent="0.2">
      <c r="B2125"/>
      <c r="C2125"/>
    </row>
    <row r="2126" spans="2:3" x14ac:dyDescent="0.2">
      <c r="B2126"/>
      <c r="C2126"/>
    </row>
    <row r="2127" spans="2:3" x14ac:dyDescent="0.2">
      <c r="B2127"/>
      <c r="C2127"/>
    </row>
    <row r="2128" spans="2:3" x14ac:dyDescent="0.2">
      <c r="B2128"/>
      <c r="C2128"/>
    </row>
    <row r="2129" spans="2:3" x14ac:dyDescent="0.2">
      <c r="B2129"/>
      <c r="C2129"/>
    </row>
    <row r="2130" spans="2:3" x14ac:dyDescent="0.2">
      <c r="B2130"/>
      <c r="C2130"/>
    </row>
    <row r="2131" spans="2:3" x14ac:dyDescent="0.2">
      <c r="B2131"/>
      <c r="C2131"/>
    </row>
    <row r="2132" spans="2:3" x14ac:dyDescent="0.2">
      <c r="B2132"/>
      <c r="C2132"/>
    </row>
    <row r="2133" spans="2:3" x14ac:dyDescent="0.2">
      <c r="B2133"/>
      <c r="C2133"/>
    </row>
    <row r="2134" spans="2:3" x14ac:dyDescent="0.2">
      <c r="B2134"/>
      <c r="C2134"/>
    </row>
    <row r="2135" spans="2:3" x14ac:dyDescent="0.2">
      <c r="B2135"/>
      <c r="C2135"/>
    </row>
    <row r="2136" spans="2:3" x14ac:dyDescent="0.2">
      <c r="B2136"/>
      <c r="C2136"/>
    </row>
    <row r="2137" spans="2:3" x14ac:dyDescent="0.2">
      <c r="B2137"/>
      <c r="C2137"/>
    </row>
    <row r="2138" spans="2:3" x14ac:dyDescent="0.2">
      <c r="B2138"/>
      <c r="C2138"/>
    </row>
    <row r="2139" spans="2:3" x14ac:dyDescent="0.2">
      <c r="B2139"/>
      <c r="C2139"/>
    </row>
    <row r="2140" spans="2:3" x14ac:dyDescent="0.2">
      <c r="B2140"/>
      <c r="C2140"/>
    </row>
    <row r="2141" spans="2:3" x14ac:dyDescent="0.2">
      <c r="B2141"/>
      <c r="C2141"/>
    </row>
    <row r="2142" spans="2:3" x14ac:dyDescent="0.2">
      <c r="B2142"/>
      <c r="C2142"/>
    </row>
    <row r="2143" spans="2:3" x14ac:dyDescent="0.2">
      <c r="B2143"/>
      <c r="C2143"/>
    </row>
    <row r="2144" spans="2:3" x14ac:dyDescent="0.2">
      <c r="B2144"/>
      <c r="C2144"/>
    </row>
    <row r="2145" spans="2:3" x14ac:dyDescent="0.2">
      <c r="B2145"/>
      <c r="C2145"/>
    </row>
    <row r="2146" spans="2:3" x14ac:dyDescent="0.2">
      <c r="B2146"/>
      <c r="C2146"/>
    </row>
    <row r="2147" spans="2:3" x14ac:dyDescent="0.2">
      <c r="B2147"/>
      <c r="C2147"/>
    </row>
    <row r="2148" spans="2:3" x14ac:dyDescent="0.2">
      <c r="B2148"/>
      <c r="C2148"/>
    </row>
    <row r="2149" spans="2:3" x14ac:dyDescent="0.2">
      <c r="B2149"/>
      <c r="C2149"/>
    </row>
    <row r="2150" spans="2:3" x14ac:dyDescent="0.2">
      <c r="B2150"/>
      <c r="C2150"/>
    </row>
    <row r="2151" spans="2:3" x14ac:dyDescent="0.2">
      <c r="B2151"/>
      <c r="C2151"/>
    </row>
    <row r="2152" spans="2:3" x14ac:dyDescent="0.2">
      <c r="B2152"/>
      <c r="C2152"/>
    </row>
    <row r="2153" spans="2:3" x14ac:dyDescent="0.2">
      <c r="B2153"/>
      <c r="C2153"/>
    </row>
    <row r="2154" spans="2:3" x14ac:dyDescent="0.2">
      <c r="B2154"/>
      <c r="C2154"/>
    </row>
    <row r="2155" spans="2:3" x14ac:dyDescent="0.2">
      <c r="B2155"/>
      <c r="C2155"/>
    </row>
    <row r="2156" spans="2:3" x14ac:dyDescent="0.2">
      <c r="B2156"/>
      <c r="C2156"/>
    </row>
    <row r="2157" spans="2:3" x14ac:dyDescent="0.2">
      <c r="B2157"/>
      <c r="C2157"/>
    </row>
    <row r="2158" spans="2:3" x14ac:dyDescent="0.2">
      <c r="B2158"/>
      <c r="C2158"/>
    </row>
    <row r="2159" spans="2:3" x14ac:dyDescent="0.2">
      <c r="B2159"/>
      <c r="C2159"/>
    </row>
    <row r="2160" spans="2:3" x14ac:dyDescent="0.2">
      <c r="B2160"/>
      <c r="C2160"/>
    </row>
    <row r="2161" spans="2:3" x14ac:dyDescent="0.2">
      <c r="B2161"/>
      <c r="C2161"/>
    </row>
    <row r="2162" spans="2:3" x14ac:dyDescent="0.2">
      <c r="B2162"/>
      <c r="C2162"/>
    </row>
    <row r="2163" spans="2:3" x14ac:dyDescent="0.2">
      <c r="B2163"/>
      <c r="C2163"/>
    </row>
    <row r="2164" spans="2:3" x14ac:dyDescent="0.2">
      <c r="B2164"/>
      <c r="C2164"/>
    </row>
    <row r="2165" spans="2:3" x14ac:dyDescent="0.2">
      <c r="B2165"/>
      <c r="C2165"/>
    </row>
    <row r="2166" spans="2:3" x14ac:dyDescent="0.2">
      <c r="B2166"/>
      <c r="C2166"/>
    </row>
    <row r="2167" spans="2:3" x14ac:dyDescent="0.2">
      <c r="B2167"/>
      <c r="C2167"/>
    </row>
    <row r="2168" spans="2:3" x14ac:dyDescent="0.2">
      <c r="B2168"/>
      <c r="C2168"/>
    </row>
    <row r="2169" spans="2:3" x14ac:dyDescent="0.2">
      <c r="B2169"/>
      <c r="C2169"/>
    </row>
    <row r="2170" spans="2:3" x14ac:dyDescent="0.2">
      <c r="B2170"/>
      <c r="C2170"/>
    </row>
    <row r="2171" spans="2:3" x14ac:dyDescent="0.2">
      <c r="B2171"/>
      <c r="C2171"/>
    </row>
    <row r="2172" spans="2:3" x14ac:dyDescent="0.2">
      <c r="B2172"/>
      <c r="C2172"/>
    </row>
    <row r="2173" spans="2:3" x14ac:dyDescent="0.2">
      <c r="B2173"/>
      <c r="C2173"/>
    </row>
    <row r="2174" spans="2:3" x14ac:dyDescent="0.2">
      <c r="B2174"/>
      <c r="C2174"/>
    </row>
    <row r="2175" spans="2:3" x14ac:dyDescent="0.2">
      <c r="B2175"/>
      <c r="C2175"/>
    </row>
    <row r="2176" spans="2:3" x14ac:dyDescent="0.2">
      <c r="B2176"/>
      <c r="C2176"/>
    </row>
    <row r="2177" spans="2:3" x14ac:dyDescent="0.2">
      <c r="B2177"/>
      <c r="C2177"/>
    </row>
    <row r="2178" spans="2:3" x14ac:dyDescent="0.2">
      <c r="B2178"/>
      <c r="C2178"/>
    </row>
    <row r="2179" spans="2:3" x14ac:dyDescent="0.2">
      <c r="B2179"/>
      <c r="C2179"/>
    </row>
    <row r="2180" spans="2:3" x14ac:dyDescent="0.2">
      <c r="B2180"/>
      <c r="C2180"/>
    </row>
    <row r="2181" spans="2:3" x14ac:dyDescent="0.2">
      <c r="B2181"/>
      <c r="C2181"/>
    </row>
    <row r="2182" spans="2:3" x14ac:dyDescent="0.2">
      <c r="B2182"/>
      <c r="C2182"/>
    </row>
    <row r="2183" spans="2:3" x14ac:dyDescent="0.2">
      <c r="B2183"/>
      <c r="C2183"/>
    </row>
    <row r="2184" spans="2:3" x14ac:dyDescent="0.2">
      <c r="B2184"/>
      <c r="C2184"/>
    </row>
    <row r="2185" spans="2:3" x14ac:dyDescent="0.2">
      <c r="B2185"/>
      <c r="C2185"/>
    </row>
    <row r="2186" spans="2:3" x14ac:dyDescent="0.2">
      <c r="B2186"/>
      <c r="C2186"/>
    </row>
    <row r="2187" spans="2:3" x14ac:dyDescent="0.2">
      <c r="B2187"/>
      <c r="C2187"/>
    </row>
    <row r="2188" spans="2:3" x14ac:dyDescent="0.2">
      <c r="B2188"/>
      <c r="C2188"/>
    </row>
    <row r="2189" spans="2:3" x14ac:dyDescent="0.2">
      <c r="B2189"/>
      <c r="C2189"/>
    </row>
    <row r="2190" spans="2:3" x14ac:dyDescent="0.2">
      <c r="B2190"/>
      <c r="C2190"/>
    </row>
    <row r="2191" spans="2:3" x14ac:dyDescent="0.2">
      <c r="B2191"/>
      <c r="C2191"/>
    </row>
    <row r="2192" spans="2:3" x14ac:dyDescent="0.2">
      <c r="B2192"/>
      <c r="C2192"/>
    </row>
    <row r="2193" spans="2:3" x14ac:dyDescent="0.2">
      <c r="B2193"/>
      <c r="C2193"/>
    </row>
    <row r="2194" spans="2:3" x14ac:dyDescent="0.2">
      <c r="B2194"/>
      <c r="C2194"/>
    </row>
    <row r="2195" spans="2:3" x14ac:dyDescent="0.2">
      <c r="B2195"/>
      <c r="C2195"/>
    </row>
    <row r="2196" spans="2:3" x14ac:dyDescent="0.2">
      <c r="B2196"/>
      <c r="C2196"/>
    </row>
    <row r="2197" spans="2:3" x14ac:dyDescent="0.2">
      <c r="B2197"/>
      <c r="C2197"/>
    </row>
    <row r="2198" spans="2:3" x14ac:dyDescent="0.2">
      <c r="B2198"/>
      <c r="C2198"/>
    </row>
    <row r="2199" spans="2:3" x14ac:dyDescent="0.2">
      <c r="B2199"/>
      <c r="C2199"/>
    </row>
    <row r="2200" spans="2:3" x14ac:dyDescent="0.2">
      <c r="B2200"/>
      <c r="C2200"/>
    </row>
    <row r="2201" spans="2:3" x14ac:dyDescent="0.2">
      <c r="B2201"/>
      <c r="C2201"/>
    </row>
    <row r="2202" spans="2:3" x14ac:dyDescent="0.2">
      <c r="B2202"/>
      <c r="C2202"/>
    </row>
    <row r="2203" spans="2:3" x14ac:dyDescent="0.2">
      <c r="B2203"/>
      <c r="C2203"/>
    </row>
    <row r="2204" spans="2:3" x14ac:dyDescent="0.2">
      <c r="B2204"/>
      <c r="C2204"/>
    </row>
    <row r="2205" spans="2:3" x14ac:dyDescent="0.2">
      <c r="B2205"/>
      <c r="C2205"/>
    </row>
    <row r="2206" spans="2:3" x14ac:dyDescent="0.2">
      <c r="B2206"/>
      <c r="C2206"/>
    </row>
    <row r="2207" spans="2:3" x14ac:dyDescent="0.2">
      <c r="B2207"/>
      <c r="C2207"/>
    </row>
    <row r="2208" spans="2:3" x14ac:dyDescent="0.2">
      <c r="B2208"/>
      <c r="C2208"/>
    </row>
    <row r="2209" spans="2:3" x14ac:dyDescent="0.2">
      <c r="B2209"/>
      <c r="C2209"/>
    </row>
    <row r="2210" spans="2:3" x14ac:dyDescent="0.2">
      <c r="B2210"/>
      <c r="C2210"/>
    </row>
    <row r="2211" spans="2:3" x14ac:dyDescent="0.2">
      <c r="B2211"/>
      <c r="C2211"/>
    </row>
    <row r="2212" spans="2:3" x14ac:dyDescent="0.2">
      <c r="B2212"/>
      <c r="C2212"/>
    </row>
    <row r="2213" spans="2:3" x14ac:dyDescent="0.2">
      <c r="B2213"/>
      <c r="C2213"/>
    </row>
    <row r="2214" spans="2:3" x14ac:dyDescent="0.2">
      <c r="B2214"/>
      <c r="C2214"/>
    </row>
    <row r="2215" spans="2:3" x14ac:dyDescent="0.2">
      <c r="B2215"/>
      <c r="C2215"/>
    </row>
    <row r="2216" spans="2:3" x14ac:dyDescent="0.2">
      <c r="B2216"/>
      <c r="C2216"/>
    </row>
    <row r="2217" spans="2:3" x14ac:dyDescent="0.2">
      <c r="B2217"/>
      <c r="C2217"/>
    </row>
    <row r="2218" spans="2:3" x14ac:dyDescent="0.2">
      <c r="B2218"/>
      <c r="C2218"/>
    </row>
    <row r="2219" spans="2:3" x14ac:dyDescent="0.2">
      <c r="B2219"/>
      <c r="C2219"/>
    </row>
    <row r="2220" spans="2:3" x14ac:dyDescent="0.2">
      <c r="B2220"/>
      <c r="C2220"/>
    </row>
    <row r="2221" spans="2:3" x14ac:dyDescent="0.2">
      <c r="B2221"/>
      <c r="C2221"/>
    </row>
    <row r="2222" spans="2:3" x14ac:dyDescent="0.2">
      <c r="B2222"/>
      <c r="C2222"/>
    </row>
    <row r="2223" spans="2:3" x14ac:dyDescent="0.2">
      <c r="B2223"/>
      <c r="C2223"/>
    </row>
    <row r="2224" spans="2:3" x14ac:dyDescent="0.2">
      <c r="B2224"/>
      <c r="C2224"/>
    </row>
    <row r="2225" spans="2:3" x14ac:dyDescent="0.2">
      <c r="B2225"/>
      <c r="C2225"/>
    </row>
    <row r="2226" spans="2:3" x14ac:dyDescent="0.2">
      <c r="B2226"/>
      <c r="C2226"/>
    </row>
    <row r="2227" spans="2:3" x14ac:dyDescent="0.2">
      <c r="B2227"/>
      <c r="C2227"/>
    </row>
    <row r="2228" spans="2:3" x14ac:dyDescent="0.2">
      <c r="B2228"/>
      <c r="C2228"/>
    </row>
    <row r="2229" spans="2:3" x14ac:dyDescent="0.2">
      <c r="B2229"/>
      <c r="C2229"/>
    </row>
    <row r="2230" spans="2:3" x14ac:dyDescent="0.2">
      <c r="B2230"/>
      <c r="C2230"/>
    </row>
    <row r="2231" spans="2:3" x14ac:dyDescent="0.2">
      <c r="B2231"/>
      <c r="C2231"/>
    </row>
    <row r="2232" spans="2:3" x14ac:dyDescent="0.2">
      <c r="B2232"/>
      <c r="C2232"/>
    </row>
    <row r="2233" spans="2:3" x14ac:dyDescent="0.2">
      <c r="B2233"/>
      <c r="C2233"/>
    </row>
    <row r="2234" spans="2:3" x14ac:dyDescent="0.2">
      <c r="B2234"/>
      <c r="C2234"/>
    </row>
    <row r="2235" spans="2:3" x14ac:dyDescent="0.2">
      <c r="B2235"/>
      <c r="C2235"/>
    </row>
    <row r="2236" spans="2:3" x14ac:dyDescent="0.2">
      <c r="B2236"/>
      <c r="C2236"/>
    </row>
    <row r="2237" spans="2:3" x14ac:dyDescent="0.2">
      <c r="B2237"/>
      <c r="C2237"/>
    </row>
    <row r="2238" spans="2:3" x14ac:dyDescent="0.2">
      <c r="B2238"/>
      <c r="C2238"/>
    </row>
    <row r="2239" spans="2:3" x14ac:dyDescent="0.2">
      <c r="B2239"/>
      <c r="C2239"/>
    </row>
    <row r="2240" spans="2:3" x14ac:dyDescent="0.2">
      <c r="B2240"/>
      <c r="C2240"/>
    </row>
    <row r="2241" spans="2:3" x14ac:dyDescent="0.2">
      <c r="B2241"/>
      <c r="C2241"/>
    </row>
    <row r="2242" spans="2:3" x14ac:dyDescent="0.2">
      <c r="B2242"/>
      <c r="C2242"/>
    </row>
    <row r="2243" spans="2:3" x14ac:dyDescent="0.2">
      <c r="B2243"/>
      <c r="C2243"/>
    </row>
    <row r="2244" spans="2:3" x14ac:dyDescent="0.2">
      <c r="B2244"/>
      <c r="C2244"/>
    </row>
    <row r="2245" spans="2:3" x14ac:dyDescent="0.2">
      <c r="B2245"/>
      <c r="C2245"/>
    </row>
    <row r="2246" spans="2:3" x14ac:dyDescent="0.2">
      <c r="B2246"/>
      <c r="C2246"/>
    </row>
    <row r="2247" spans="2:3" x14ac:dyDescent="0.2">
      <c r="B2247"/>
      <c r="C2247"/>
    </row>
    <row r="2248" spans="2:3" x14ac:dyDescent="0.2">
      <c r="B2248"/>
      <c r="C2248"/>
    </row>
    <row r="2249" spans="2:3" x14ac:dyDescent="0.2">
      <c r="B2249"/>
      <c r="C2249"/>
    </row>
    <row r="2250" spans="2:3" x14ac:dyDescent="0.2">
      <c r="B2250"/>
      <c r="C2250"/>
    </row>
    <row r="2251" spans="2:3" x14ac:dyDescent="0.2">
      <c r="B2251"/>
      <c r="C2251"/>
    </row>
    <row r="2252" spans="2:3" x14ac:dyDescent="0.2">
      <c r="B2252"/>
      <c r="C2252"/>
    </row>
    <row r="2253" spans="2:3" x14ac:dyDescent="0.2">
      <c r="B2253"/>
      <c r="C2253"/>
    </row>
    <row r="2254" spans="2:3" x14ac:dyDescent="0.2">
      <c r="B2254"/>
      <c r="C2254"/>
    </row>
    <row r="2255" spans="2:3" x14ac:dyDescent="0.2">
      <c r="B2255"/>
      <c r="C2255"/>
    </row>
    <row r="2256" spans="2:3" x14ac:dyDescent="0.2">
      <c r="B2256"/>
      <c r="C2256"/>
    </row>
    <row r="2257" spans="2:3" x14ac:dyDescent="0.2">
      <c r="B2257"/>
      <c r="C2257"/>
    </row>
    <row r="2258" spans="2:3" x14ac:dyDescent="0.2">
      <c r="B2258"/>
      <c r="C2258"/>
    </row>
    <row r="2259" spans="2:3" x14ac:dyDescent="0.2">
      <c r="B2259"/>
      <c r="C2259"/>
    </row>
    <row r="2260" spans="2:3" x14ac:dyDescent="0.2">
      <c r="B2260"/>
      <c r="C2260"/>
    </row>
    <row r="2261" spans="2:3" x14ac:dyDescent="0.2">
      <c r="B2261"/>
      <c r="C2261"/>
    </row>
    <row r="2262" spans="2:3" x14ac:dyDescent="0.2">
      <c r="B2262"/>
      <c r="C2262"/>
    </row>
    <row r="2263" spans="2:3" x14ac:dyDescent="0.2">
      <c r="B2263"/>
      <c r="C2263"/>
    </row>
    <row r="2264" spans="2:3" x14ac:dyDescent="0.2">
      <c r="B2264"/>
      <c r="C2264"/>
    </row>
    <row r="2265" spans="2:3" x14ac:dyDescent="0.2">
      <c r="B2265"/>
      <c r="C2265"/>
    </row>
    <row r="2266" spans="2:3" x14ac:dyDescent="0.2">
      <c r="B2266"/>
      <c r="C2266"/>
    </row>
    <row r="2267" spans="2:3" x14ac:dyDescent="0.2">
      <c r="B2267"/>
      <c r="C2267"/>
    </row>
    <row r="2268" spans="2:3" x14ac:dyDescent="0.2">
      <c r="B2268"/>
      <c r="C2268"/>
    </row>
    <row r="2269" spans="2:3" x14ac:dyDescent="0.2">
      <c r="B2269"/>
      <c r="C2269"/>
    </row>
    <row r="2270" spans="2:3" x14ac:dyDescent="0.2">
      <c r="B2270"/>
      <c r="C2270"/>
    </row>
    <row r="2271" spans="2:3" x14ac:dyDescent="0.2">
      <c r="B2271"/>
      <c r="C2271"/>
    </row>
    <row r="2272" spans="2:3" x14ac:dyDescent="0.2">
      <c r="B2272"/>
      <c r="C2272"/>
    </row>
    <row r="2273" spans="2:3" x14ac:dyDescent="0.2">
      <c r="B2273"/>
      <c r="C2273"/>
    </row>
    <row r="2274" spans="2:3" x14ac:dyDescent="0.2">
      <c r="B2274"/>
      <c r="C2274"/>
    </row>
    <row r="2275" spans="2:3" x14ac:dyDescent="0.2">
      <c r="B2275"/>
      <c r="C2275"/>
    </row>
    <row r="2276" spans="2:3" x14ac:dyDescent="0.2">
      <c r="B2276"/>
      <c r="C2276"/>
    </row>
    <row r="2277" spans="2:3" x14ac:dyDescent="0.2">
      <c r="B2277"/>
      <c r="C2277"/>
    </row>
    <row r="2278" spans="2:3" x14ac:dyDescent="0.2">
      <c r="B2278"/>
      <c r="C2278"/>
    </row>
    <row r="2279" spans="2:3" x14ac:dyDescent="0.2">
      <c r="B2279"/>
      <c r="C2279"/>
    </row>
    <row r="2280" spans="2:3" x14ac:dyDescent="0.2">
      <c r="B2280"/>
      <c r="C2280"/>
    </row>
    <row r="2281" spans="2:3" x14ac:dyDescent="0.2">
      <c r="B2281"/>
      <c r="C2281"/>
    </row>
    <row r="2282" spans="2:3" x14ac:dyDescent="0.2">
      <c r="B2282"/>
      <c r="C2282"/>
    </row>
    <row r="2283" spans="2:3" x14ac:dyDescent="0.2">
      <c r="B2283"/>
      <c r="C2283"/>
    </row>
    <row r="2284" spans="2:3" x14ac:dyDescent="0.2">
      <c r="B2284"/>
      <c r="C2284"/>
    </row>
    <row r="2285" spans="2:3" x14ac:dyDescent="0.2">
      <c r="B2285"/>
      <c r="C2285"/>
    </row>
    <row r="2286" spans="2:3" x14ac:dyDescent="0.2">
      <c r="B2286"/>
      <c r="C2286"/>
    </row>
    <row r="2287" spans="2:3" x14ac:dyDescent="0.2">
      <c r="B2287"/>
      <c r="C2287"/>
    </row>
    <row r="2288" spans="2:3" x14ac:dyDescent="0.2">
      <c r="B2288"/>
      <c r="C2288"/>
    </row>
    <row r="2289" spans="2:3" x14ac:dyDescent="0.2">
      <c r="B2289"/>
      <c r="C2289"/>
    </row>
    <row r="2290" spans="2:3" x14ac:dyDescent="0.2">
      <c r="B2290"/>
      <c r="C2290"/>
    </row>
    <row r="2291" spans="2:3" x14ac:dyDescent="0.2">
      <c r="B2291"/>
      <c r="C2291"/>
    </row>
    <row r="2292" spans="2:3" x14ac:dyDescent="0.2">
      <c r="B2292"/>
      <c r="C2292"/>
    </row>
    <row r="2293" spans="2:3" x14ac:dyDescent="0.2">
      <c r="B2293"/>
      <c r="C2293"/>
    </row>
    <row r="2294" spans="2:3" x14ac:dyDescent="0.2">
      <c r="B2294"/>
      <c r="C2294"/>
    </row>
    <row r="2295" spans="2:3" x14ac:dyDescent="0.2">
      <c r="B2295"/>
      <c r="C2295"/>
    </row>
    <row r="2296" spans="2:3" x14ac:dyDescent="0.2">
      <c r="B2296"/>
      <c r="C2296"/>
    </row>
    <row r="2297" spans="2:3" x14ac:dyDescent="0.2">
      <c r="B2297"/>
      <c r="C2297"/>
    </row>
    <row r="2298" spans="2:3" x14ac:dyDescent="0.2">
      <c r="B2298"/>
      <c r="C2298"/>
    </row>
    <row r="2299" spans="2:3" x14ac:dyDescent="0.2">
      <c r="B2299"/>
      <c r="C2299"/>
    </row>
    <row r="2300" spans="2:3" x14ac:dyDescent="0.2">
      <c r="B2300"/>
      <c r="C2300"/>
    </row>
    <row r="2301" spans="2:3" x14ac:dyDescent="0.2">
      <c r="B2301"/>
      <c r="C2301"/>
    </row>
    <row r="2302" spans="2:3" x14ac:dyDescent="0.2">
      <c r="B2302"/>
      <c r="C2302"/>
    </row>
    <row r="2303" spans="2:3" x14ac:dyDescent="0.2">
      <c r="B2303"/>
      <c r="C2303"/>
    </row>
    <row r="2304" spans="2:3" x14ac:dyDescent="0.2">
      <c r="B2304"/>
      <c r="C2304"/>
    </row>
    <row r="2305" spans="2:3" x14ac:dyDescent="0.2">
      <c r="B2305"/>
      <c r="C2305"/>
    </row>
    <row r="2306" spans="2:3" x14ac:dyDescent="0.2">
      <c r="B2306"/>
      <c r="C2306"/>
    </row>
    <row r="2307" spans="2:3" x14ac:dyDescent="0.2">
      <c r="B2307"/>
      <c r="C2307"/>
    </row>
    <row r="2308" spans="2:3" x14ac:dyDescent="0.2">
      <c r="B2308"/>
      <c r="C2308"/>
    </row>
    <row r="2309" spans="2:3" x14ac:dyDescent="0.2">
      <c r="B2309"/>
      <c r="C2309"/>
    </row>
    <row r="2310" spans="2:3" x14ac:dyDescent="0.2">
      <c r="B2310"/>
      <c r="C2310"/>
    </row>
    <row r="2311" spans="2:3" x14ac:dyDescent="0.2">
      <c r="B2311"/>
      <c r="C2311"/>
    </row>
    <row r="2312" spans="2:3" x14ac:dyDescent="0.2">
      <c r="B2312"/>
      <c r="C2312"/>
    </row>
    <row r="2313" spans="2:3" x14ac:dyDescent="0.2">
      <c r="B2313"/>
      <c r="C2313"/>
    </row>
    <row r="2314" spans="2:3" x14ac:dyDescent="0.2">
      <c r="B2314"/>
      <c r="C2314"/>
    </row>
    <row r="2315" spans="2:3" x14ac:dyDescent="0.2">
      <c r="B2315"/>
      <c r="C2315"/>
    </row>
    <row r="2316" spans="2:3" x14ac:dyDescent="0.2">
      <c r="B2316"/>
      <c r="C2316"/>
    </row>
    <row r="2317" spans="2:3" x14ac:dyDescent="0.2">
      <c r="B2317"/>
      <c r="C2317"/>
    </row>
    <row r="2318" spans="2:3" x14ac:dyDescent="0.2">
      <c r="B2318"/>
      <c r="C2318"/>
    </row>
    <row r="2319" spans="2:3" x14ac:dyDescent="0.2">
      <c r="B2319"/>
      <c r="C2319"/>
    </row>
    <row r="2320" spans="2:3" x14ac:dyDescent="0.2">
      <c r="B2320"/>
      <c r="C2320"/>
    </row>
    <row r="2321" spans="2:3" x14ac:dyDescent="0.2">
      <c r="B2321"/>
      <c r="C2321"/>
    </row>
    <row r="2322" spans="2:3" x14ac:dyDescent="0.2">
      <c r="B2322"/>
      <c r="C2322"/>
    </row>
    <row r="2323" spans="2:3" x14ac:dyDescent="0.2">
      <c r="B2323"/>
      <c r="C2323"/>
    </row>
    <row r="2324" spans="2:3" x14ac:dyDescent="0.2">
      <c r="B2324"/>
      <c r="C2324"/>
    </row>
    <row r="2325" spans="2:3" x14ac:dyDescent="0.2">
      <c r="B2325"/>
      <c r="C2325"/>
    </row>
    <row r="2326" spans="2:3" x14ac:dyDescent="0.2">
      <c r="B2326"/>
      <c r="C2326"/>
    </row>
    <row r="2327" spans="2:3" x14ac:dyDescent="0.2">
      <c r="B2327"/>
      <c r="C2327"/>
    </row>
    <row r="2328" spans="2:3" x14ac:dyDescent="0.2">
      <c r="B2328"/>
      <c r="C2328"/>
    </row>
    <row r="2329" spans="2:3" x14ac:dyDescent="0.2">
      <c r="B2329"/>
      <c r="C2329"/>
    </row>
    <row r="2330" spans="2:3" x14ac:dyDescent="0.2">
      <c r="B2330"/>
      <c r="C2330"/>
    </row>
    <row r="2331" spans="2:3" x14ac:dyDescent="0.2">
      <c r="B2331"/>
      <c r="C2331"/>
    </row>
    <row r="2332" spans="2:3" x14ac:dyDescent="0.2">
      <c r="B2332"/>
      <c r="C2332"/>
    </row>
    <row r="2333" spans="2:3" x14ac:dyDescent="0.2">
      <c r="B2333"/>
      <c r="C2333"/>
    </row>
    <row r="2334" spans="2:3" x14ac:dyDescent="0.2">
      <c r="B2334"/>
      <c r="C2334"/>
    </row>
    <row r="2335" spans="2:3" x14ac:dyDescent="0.2">
      <c r="B2335"/>
      <c r="C2335"/>
    </row>
    <row r="2336" spans="2:3" x14ac:dyDescent="0.2">
      <c r="B2336"/>
      <c r="C2336"/>
    </row>
    <row r="2337" spans="2:3" x14ac:dyDescent="0.2">
      <c r="B2337"/>
      <c r="C2337"/>
    </row>
    <row r="2338" spans="2:3" x14ac:dyDescent="0.2">
      <c r="B2338"/>
      <c r="C2338"/>
    </row>
    <row r="2339" spans="2:3" x14ac:dyDescent="0.2">
      <c r="B2339"/>
      <c r="C2339"/>
    </row>
    <row r="2340" spans="2:3" x14ac:dyDescent="0.2">
      <c r="B2340"/>
      <c r="C2340"/>
    </row>
    <row r="2341" spans="2:3" x14ac:dyDescent="0.2">
      <c r="B2341"/>
      <c r="C2341"/>
    </row>
    <row r="2342" spans="2:3" x14ac:dyDescent="0.2">
      <c r="B2342"/>
      <c r="C2342"/>
    </row>
    <row r="2343" spans="2:3" x14ac:dyDescent="0.2">
      <c r="B2343"/>
      <c r="C2343"/>
    </row>
    <row r="2344" spans="2:3" x14ac:dyDescent="0.2">
      <c r="B2344"/>
      <c r="C2344"/>
    </row>
    <row r="2345" spans="2:3" x14ac:dyDescent="0.2">
      <c r="B2345"/>
      <c r="C2345"/>
    </row>
    <row r="2346" spans="2:3" x14ac:dyDescent="0.2">
      <c r="B2346"/>
      <c r="C2346"/>
    </row>
    <row r="2347" spans="2:3" x14ac:dyDescent="0.2">
      <c r="B2347"/>
      <c r="C2347"/>
    </row>
    <row r="2348" spans="2:3" x14ac:dyDescent="0.2">
      <c r="B2348"/>
      <c r="C2348"/>
    </row>
    <row r="2349" spans="2:3" x14ac:dyDescent="0.2">
      <c r="B2349"/>
      <c r="C2349"/>
    </row>
    <row r="2350" spans="2:3" x14ac:dyDescent="0.2">
      <c r="B2350"/>
      <c r="C2350"/>
    </row>
    <row r="2351" spans="2:3" x14ac:dyDescent="0.2">
      <c r="B2351"/>
      <c r="C2351"/>
    </row>
    <row r="2352" spans="2:3" x14ac:dyDescent="0.2">
      <c r="B2352"/>
      <c r="C2352"/>
    </row>
    <row r="2353" spans="2:3" x14ac:dyDescent="0.2">
      <c r="B2353"/>
      <c r="C2353"/>
    </row>
    <row r="2354" spans="2:3" x14ac:dyDescent="0.2">
      <c r="B2354"/>
      <c r="C2354"/>
    </row>
    <row r="2355" spans="2:3" x14ac:dyDescent="0.2">
      <c r="B2355"/>
      <c r="C2355"/>
    </row>
    <row r="2356" spans="2:3" x14ac:dyDescent="0.2">
      <c r="B2356"/>
      <c r="C2356"/>
    </row>
    <row r="2357" spans="2:3" x14ac:dyDescent="0.2">
      <c r="B2357"/>
      <c r="C2357"/>
    </row>
    <row r="2358" spans="2:3" x14ac:dyDescent="0.2">
      <c r="B2358"/>
      <c r="C2358"/>
    </row>
    <row r="2359" spans="2:3" x14ac:dyDescent="0.2">
      <c r="B2359"/>
      <c r="C2359"/>
    </row>
    <row r="2360" spans="2:3" x14ac:dyDescent="0.2">
      <c r="B2360"/>
      <c r="C2360"/>
    </row>
    <row r="2361" spans="2:3" x14ac:dyDescent="0.2">
      <c r="B2361"/>
      <c r="C2361"/>
    </row>
    <row r="2362" spans="2:3" x14ac:dyDescent="0.2">
      <c r="B2362"/>
      <c r="C2362"/>
    </row>
    <row r="2363" spans="2:3" x14ac:dyDescent="0.2">
      <c r="B2363"/>
      <c r="C2363"/>
    </row>
    <row r="2364" spans="2:3" x14ac:dyDescent="0.2">
      <c r="B2364"/>
      <c r="C2364"/>
    </row>
    <row r="2365" spans="2:3" x14ac:dyDescent="0.2">
      <c r="B2365"/>
      <c r="C2365"/>
    </row>
    <row r="2366" spans="2:3" x14ac:dyDescent="0.2">
      <c r="B2366"/>
      <c r="C2366"/>
    </row>
    <row r="2367" spans="2:3" x14ac:dyDescent="0.2">
      <c r="B2367"/>
      <c r="C2367"/>
    </row>
    <row r="2368" spans="2:3" x14ac:dyDescent="0.2">
      <c r="B2368"/>
      <c r="C2368"/>
    </row>
    <row r="2369" spans="2:3" x14ac:dyDescent="0.2">
      <c r="B2369"/>
      <c r="C2369"/>
    </row>
    <row r="2370" spans="2:3" x14ac:dyDescent="0.2">
      <c r="B2370"/>
      <c r="C2370"/>
    </row>
    <row r="2371" spans="2:3" x14ac:dyDescent="0.2">
      <c r="B2371"/>
      <c r="C2371"/>
    </row>
    <row r="2372" spans="2:3" x14ac:dyDescent="0.2">
      <c r="B2372"/>
      <c r="C2372"/>
    </row>
    <row r="2373" spans="2:3" x14ac:dyDescent="0.2">
      <c r="B2373"/>
      <c r="C2373"/>
    </row>
    <row r="2374" spans="2:3" x14ac:dyDescent="0.2">
      <c r="B2374"/>
      <c r="C2374"/>
    </row>
    <row r="2375" spans="2:3" x14ac:dyDescent="0.2">
      <c r="B2375"/>
      <c r="C2375"/>
    </row>
    <row r="2376" spans="2:3" x14ac:dyDescent="0.2">
      <c r="B2376"/>
      <c r="C2376"/>
    </row>
    <row r="2377" spans="2:3" x14ac:dyDescent="0.2">
      <c r="B2377"/>
      <c r="C2377"/>
    </row>
    <row r="2378" spans="2:3" x14ac:dyDescent="0.2">
      <c r="B2378"/>
      <c r="C2378"/>
    </row>
    <row r="2379" spans="2:3" x14ac:dyDescent="0.2">
      <c r="B2379"/>
      <c r="C2379"/>
    </row>
    <row r="2380" spans="2:3" x14ac:dyDescent="0.2">
      <c r="B2380"/>
      <c r="C2380"/>
    </row>
    <row r="2381" spans="2:3" x14ac:dyDescent="0.2">
      <c r="B2381"/>
      <c r="C2381"/>
    </row>
    <row r="2382" spans="2:3" x14ac:dyDescent="0.2">
      <c r="B2382"/>
      <c r="C2382"/>
    </row>
    <row r="2383" spans="2:3" x14ac:dyDescent="0.2">
      <c r="B2383"/>
      <c r="C2383"/>
    </row>
    <row r="2384" spans="2:3" x14ac:dyDescent="0.2">
      <c r="B2384"/>
      <c r="C2384"/>
    </row>
    <row r="2385" spans="2:3" x14ac:dyDescent="0.2">
      <c r="B2385"/>
      <c r="C2385"/>
    </row>
    <row r="2386" spans="2:3" x14ac:dyDescent="0.2">
      <c r="B2386"/>
      <c r="C2386"/>
    </row>
    <row r="2387" spans="2:3" x14ac:dyDescent="0.2">
      <c r="B2387"/>
      <c r="C2387"/>
    </row>
    <row r="2388" spans="2:3" x14ac:dyDescent="0.2">
      <c r="B2388"/>
      <c r="C2388"/>
    </row>
    <row r="2389" spans="2:3" x14ac:dyDescent="0.2">
      <c r="B2389"/>
      <c r="C2389"/>
    </row>
    <row r="2390" spans="2:3" x14ac:dyDescent="0.2">
      <c r="B2390"/>
      <c r="C2390"/>
    </row>
    <row r="2391" spans="2:3" x14ac:dyDescent="0.2">
      <c r="B2391"/>
      <c r="C2391"/>
    </row>
    <row r="2392" spans="2:3" x14ac:dyDescent="0.2">
      <c r="B2392"/>
      <c r="C2392"/>
    </row>
    <row r="2393" spans="2:3" x14ac:dyDescent="0.2">
      <c r="B2393"/>
      <c r="C2393"/>
    </row>
    <row r="2394" spans="2:3" x14ac:dyDescent="0.2">
      <c r="B2394"/>
      <c r="C2394"/>
    </row>
    <row r="2395" spans="2:3" x14ac:dyDescent="0.2">
      <c r="B2395"/>
      <c r="C2395"/>
    </row>
    <row r="2396" spans="2:3" x14ac:dyDescent="0.2">
      <c r="B2396"/>
      <c r="C2396"/>
    </row>
    <row r="2397" spans="2:3" x14ac:dyDescent="0.2">
      <c r="B2397"/>
      <c r="C2397"/>
    </row>
    <row r="2398" spans="2:3" x14ac:dyDescent="0.2">
      <c r="B2398"/>
      <c r="C2398"/>
    </row>
    <row r="2399" spans="2:3" x14ac:dyDescent="0.2">
      <c r="B2399"/>
      <c r="C2399"/>
    </row>
    <row r="2400" spans="2:3" x14ac:dyDescent="0.2">
      <c r="B2400"/>
      <c r="C2400"/>
    </row>
    <row r="2401" spans="2:3" x14ac:dyDescent="0.2">
      <c r="B2401"/>
      <c r="C2401"/>
    </row>
    <row r="2402" spans="2:3" x14ac:dyDescent="0.2">
      <c r="B2402"/>
      <c r="C2402"/>
    </row>
    <row r="2403" spans="2:3" x14ac:dyDescent="0.2">
      <c r="B2403"/>
      <c r="C2403"/>
    </row>
    <row r="2404" spans="2:3" x14ac:dyDescent="0.2">
      <c r="B2404"/>
      <c r="C2404"/>
    </row>
    <row r="2405" spans="2:3" x14ac:dyDescent="0.2">
      <c r="B2405"/>
      <c r="C2405"/>
    </row>
    <row r="2406" spans="2:3" x14ac:dyDescent="0.2">
      <c r="B2406"/>
      <c r="C2406"/>
    </row>
    <row r="2407" spans="2:3" x14ac:dyDescent="0.2">
      <c r="B2407"/>
      <c r="C2407"/>
    </row>
    <row r="2408" spans="2:3" x14ac:dyDescent="0.2">
      <c r="B2408"/>
      <c r="C2408"/>
    </row>
    <row r="2409" spans="2:3" x14ac:dyDescent="0.2">
      <c r="B2409"/>
      <c r="C2409"/>
    </row>
    <row r="2410" spans="2:3" x14ac:dyDescent="0.2">
      <c r="B2410"/>
      <c r="C2410"/>
    </row>
    <row r="2411" spans="2:3" x14ac:dyDescent="0.2">
      <c r="B2411"/>
      <c r="C2411"/>
    </row>
    <row r="2412" spans="2:3" x14ac:dyDescent="0.2">
      <c r="B2412"/>
      <c r="C2412"/>
    </row>
    <row r="2413" spans="2:3" x14ac:dyDescent="0.2">
      <c r="B2413"/>
      <c r="C2413"/>
    </row>
    <row r="2414" spans="2:3" x14ac:dyDescent="0.2">
      <c r="B2414"/>
      <c r="C2414"/>
    </row>
    <row r="2415" spans="2:3" x14ac:dyDescent="0.2">
      <c r="B2415"/>
      <c r="C2415"/>
    </row>
    <row r="2416" spans="2:3" x14ac:dyDescent="0.2">
      <c r="B2416"/>
      <c r="C2416"/>
    </row>
    <row r="2417" spans="2:3" x14ac:dyDescent="0.2">
      <c r="B2417"/>
      <c r="C2417"/>
    </row>
    <row r="2418" spans="2:3" x14ac:dyDescent="0.2">
      <c r="B2418"/>
      <c r="C2418"/>
    </row>
    <row r="2419" spans="2:3" x14ac:dyDescent="0.2">
      <c r="B2419"/>
      <c r="C2419"/>
    </row>
    <row r="2420" spans="2:3" x14ac:dyDescent="0.2">
      <c r="B2420"/>
      <c r="C2420"/>
    </row>
    <row r="2421" spans="2:3" x14ac:dyDescent="0.2">
      <c r="B2421"/>
      <c r="C2421"/>
    </row>
    <row r="2422" spans="2:3" x14ac:dyDescent="0.2">
      <c r="B2422"/>
      <c r="C2422"/>
    </row>
    <row r="2423" spans="2:3" x14ac:dyDescent="0.2">
      <c r="B2423"/>
      <c r="C2423"/>
    </row>
    <row r="2424" spans="2:3" x14ac:dyDescent="0.2">
      <c r="B2424"/>
      <c r="C2424"/>
    </row>
    <row r="2425" spans="2:3" x14ac:dyDescent="0.2">
      <c r="B2425"/>
      <c r="C2425"/>
    </row>
    <row r="2426" spans="2:3" x14ac:dyDescent="0.2">
      <c r="B2426"/>
      <c r="C2426"/>
    </row>
    <row r="2427" spans="2:3" x14ac:dyDescent="0.2">
      <c r="B2427"/>
      <c r="C2427"/>
    </row>
    <row r="2428" spans="2:3" x14ac:dyDescent="0.2">
      <c r="B2428"/>
      <c r="C2428"/>
    </row>
    <row r="2429" spans="2:3" x14ac:dyDescent="0.2">
      <c r="B2429"/>
      <c r="C2429"/>
    </row>
    <row r="2430" spans="2:3" x14ac:dyDescent="0.2">
      <c r="B2430"/>
      <c r="C2430"/>
    </row>
    <row r="2431" spans="2:3" x14ac:dyDescent="0.2">
      <c r="B2431"/>
      <c r="C2431"/>
    </row>
    <row r="2432" spans="2:3" x14ac:dyDescent="0.2">
      <c r="B2432"/>
      <c r="C2432"/>
    </row>
    <row r="2433" spans="2:3" x14ac:dyDescent="0.2">
      <c r="B2433"/>
      <c r="C2433"/>
    </row>
    <row r="2434" spans="2:3" x14ac:dyDescent="0.2">
      <c r="B2434"/>
      <c r="C2434"/>
    </row>
    <row r="2435" spans="2:3" x14ac:dyDescent="0.2">
      <c r="B2435"/>
      <c r="C2435"/>
    </row>
    <row r="2436" spans="2:3" x14ac:dyDescent="0.2">
      <c r="B2436"/>
      <c r="C2436"/>
    </row>
    <row r="2437" spans="2:3" x14ac:dyDescent="0.2">
      <c r="B2437"/>
      <c r="C2437"/>
    </row>
    <row r="2438" spans="2:3" x14ac:dyDescent="0.2">
      <c r="B2438"/>
      <c r="C2438"/>
    </row>
    <row r="2439" spans="2:3" x14ac:dyDescent="0.2">
      <c r="B2439"/>
      <c r="C2439"/>
    </row>
    <row r="2440" spans="2:3" x14ac:dyDescent="0.2">
      <c r="B2440"/>
      <c r="C2440"/>
    </row>
    <row r="2441" spans="2:3" x14ac:dyDescent="0.2">
      <c r="B2441"/>
      <c r="C2441"/>
    </row>
    <row r="2442" spans="2:3" x14ac:dyDescent="0.2">
      <c r="B2442"/>
      <c r="C2442"/>
    </row>
    <row r="2443" spans="2:3" x14ac:dyDescent="0.2">
      <c r="B2443"/>
      <c r="C2443"/>
    </row>
    <row r="2444" spans="2:3" x14ac:dyDescent="0.2">
      <c r="B2444"/>
      <c r="C2444"/>
    </row>
    <row r="2445" spans="2:3" x14ac:dyDescent="0.2">
      <c r="B2445"/>
      <c r="C2445"/>
    </row>
    <row r="2446" spans="2:3" x14ac:dyDescent="0.2">
      <c r="B2446"/>
      <c r="C2446"/>
    </row>
    <row r="2447" spans="2:3" x14ac:dyDescent="0.2">
      <c r="B2447"/>
      <c r="C2447"/>
    </row>
    <row r="2448" spans="2:3" x14ac:dyDescent="0.2">
      <c r="B2448"/>
      <c r="C2448"/>
    </row>
    <row r="2449" spans="2:3" x14ac:dyDescent="0.2">
      <c r="B2449"/>
      <c r="C2449"/>
    </row>
    <row r="2450" spans="2:3" x14ac:dyDescent="0.2">
      <c r="B2450"/>
      <c r="C2450"/>
    </row>
    <row r="2451" spans="2:3" x14ac:dyDescent="0.2">
      <c r="B2451"/>
      <c r="C2451"/>
    </row>
    <row r="2452" spans="2:3" x14ac:dyDescent="0.2">
      <c r="B2452"/>
      <c r="C2452"/>
    </row>
    <row r="2453" spans="2:3" x14ac:dyDescent="0.2">
      <c r="B2453"/>
      <c r="C2453"/>
    </row>
    <row r="2454" spans="2:3" x14ac:dyDescent="0.2">
      <c r="B2454"/>
      <c r="C2454"/>
    </row>
    <row r="2455" spans="2:3" x14ac:dyDescent="0.2">
      <c r="B2455"/>
      <c r="C2455"/>
    </row>
    <row r="2456" spans="2:3" x14ac:dyDescent="0.2">
      <c r="B2456"/>
      <c r="C2456"/>
    </row>
    <row r="2457" spans="2:3" x14ac:dyDescent="0.2">
      <c r="B2457"/>
      <c r="C2457"/>
    </row>
    <row r="2458" spans="2:3" x14ac:dyDescent="0.2">
      <c r="B2458"/>
      <c r="C2458"/>
    </row>
    <row r="2459" spans="2:3" x14ac:dyDescent="0.2">
      <c r="B2459"/>
      <c r="C2459"/>
    </row>
    <row r="2460" spans="2:3" x14ac:dyDescent="0.2">
      <c r="B2460"/>
      <c r="C2460"/>
    </row>
    <row r="2461" spans="2:3" x14ac:dyDescent="0.2">
      <c r="B2461"/>
      <c r="C2461"/>
    </row>
    <row r="2462" spans="2:3" x14ac:dyDescent="0.2">
      <c r="B2462"/>
      <c r="C2462"/>
    </row>
    <row r="2463" spans="2:3" x14ac:dyDescent="0.2">
      <c r="B2463"/>
      <c r="C2463"/>
    </row>
    <row r="2464" spans="2:3" x14ac:dyDescent="0.2">
      <c r="B2464"/>
      <c r="C2464"/>
    </row>
    <row r="2465" spans="2:3" x14ac:dyDescent="0.2">
      <c r="B2465"/>
      <c r="C2465"/>
    </row>
    <row r="2466" spans="2:3" x14ac:dyDescent="0.2">
      <c r="B2466"/>
      <c r="C2466"/>
    </row>
    <row r="2467" spans="2:3" x14ac:dyDescent="0.2">
      <c r="B2467"/>
      <c r="C2467"/>
    </row>
    <row r="2468" spans="2:3" x14ac:dyDescent="0.2">
      <c r="B2468"/>
      <c r="C2468"/>
    </row>
    <row r="2469" spans="2:3" x14ac:dyDescent="0.2">
      <c r="B2469"/>
      <c r="C2469"/>
    </row>
    <row r="2470" spans="2:3" x14ac:dyDescent="0.2">
      <c r="B2470"/>
      <c r="C2470"/>
    </row>
    <row r="2471" spans="2:3" x14ac:dyDescent="0.2">
      <c r="B2471"/>
      <c r="C2471"/>
    </row>
    <row r="2472" spans="2:3" x14ac:dyDescent="0.2">
      <c r="B2472"/>
      <c r="C2472"/>
    </row>
    <row r="2473" spans="2:3" x14ac:dyDescent="0.2">
      <c r="B2473"/>
      <c r="C2473"/>
    </row>
    <row r="2474" spans="2:3" x14ac:dyDescent="0.2">
      <c r="B2474"/>
      <c r="C2474"/>
    </row>
    <row r="2475" spans="2:3" x14ac:dyDescent="0.2">
      <c r="B2475"/>
      <c r="C2475"/>
    </row>
    <row r="2476" spans="2:3" x14ac:dyDescent="0.2">
      <c r="B2476"/>
      <c r="C2476"/>
    </row>
    <row r="2477" spans="2:3" x14ac:dyDescent="0.2">
      <c r="B2477"/>
      <c r="C2477"/>
    </row>
    <row r="2478" spans="2:3" x14ac:dyDescent="0.2">
      <c r="B2478"/>
      <c r="C2478"/>
    </row>
    <row r="2479" spans="2:3" x14ac:dyDescent="0.2">
      <c r="B2479"/>
      <c r="C2479"/>
    </row>
    <row r="2480" spans="2:3" x14ac:dyDescent="0.2">
      <c r="B2480"/>
      <c r="C2480"/>
    </row>
    <row r="2481" spans="2:3" x14ac:dyDescent="0.2">
      <c r="B2481"/>
      <c r="C2481"/>
    </row>
    <row r="2482" spans="2:3" x14ac:dyDescent="0.2">
      <c r="B2482"/>
      <c r="C2482"/>
    </row>
    <row r="2483" spans="2:3" x14ac:dyDescent="0.2">
      <c r="B2483"/>
      <c r="C2483"/>
    </row>
    <row r="2484" spans="2:3" x14ac:dyDescent="0.2">
      <c r="B2484"/>
      <c r="C2484"/>
    </row>
    <row r="2485" spans="2:3" x14ac:dyDescent="0.2">
      <c r="B2485"/>
      <c r="C2485"/>
    </row>
    <row r="2486" spans="2:3" x14ac:dyDescent="0.2">
      <c r="B2486"/>
      <c r="C2486"/>
    </row>
    <row r="2487" spans="2:3" x14ac:dyDescent="0.2">
      <c r="B2487"/>
      <c r="C2487"/>
    </row>
    <row r="2488" spans="2:3" x14ac:dyDescent="0.2">
      <c r="B2488"/>
      <c r="C2488"/>
    </row>
    <row r="2489" spans="2:3" x14ac:dyDescent="0.2">
      <c r="B2489"/>
      <c r="C2489"/>
    </row>
    <row r="2490" spans="2:3" x14ac:dyDescent="0.2">
      <c r="B2490"/>
      <c r="C2490"/>
    </row>
    <row r="2491" spans="2:3" x14ac:dyDescent="0.2">
      <c r="B2491"/>
      <c r="C2491"/>
    </row>
    <row r="2492" spans="2:3" x14ac:dyDescent="0.2">
      <c r="B2492"/>
      <c r="C2492"/>
    </row>
    <row r="2493" spans="2:3" x14ac:dyDescent="0.2">
      <c r="B2493"/>
      <c r="C2493"/>
    </row>
    <row r="2494" spans="2:3" x14ac:dyDescent="0.2">
      <c r="B2494"/>
      <c r="C2494"/>
    </row>
    <row r="2495" spans="2:3" x14ac:dyDescent="0.2">
      <c r="B2495"/>
      <c r="C2495"/>
    </row>
    <row r="2496" spans="2:3" x14ac:dyDescent="0.2">
      <c r="B2496"/>
      <c r="C2496"/>
    </row>
    <row r="2497" spans="2:3" x14ac:dyDescent="0.2">
      <c r="B2497"/>
      <c r="C2497"/>
    </row>
    <row r="2498" spans="2:3" x14ac:dyDescent="0.2">
      <c r="B2498"/>
      <c r="C2498"/>
    </row>
    <row r="2499" spans="2:3" x14ac:dyDescent="0.2">
      <c r="B2499"/>
      <c r="C2499"/>
    </row>
    <row r="2500" spans="2:3" x14ac:dyDescent="0.2">
      <c r="B2500"/>
      <c r="C2500"/>
    </row>
    <row r="2501" spans="2:3" x14ac:dyDescent="0.2">
      <c r="B2501"/>
      <c r="C2501"/>
    </row>
    <row r="2502" spans="2:3" x14ac:dyDescent="0.2">
      <c r="B2502"/>
      <c r="C2502"/>
    </row>
    <row r="2503" spans="2:3" x14ac:dyDescent="0.2">
      <c r="B2503"/>
      <c r="C2503"/>
    </row>
    <row r="2504" spans="2:3" x14ac:dyDescent="0.2">
      <c r="B2504"/>
      <c r="C2504"/>
    </row>
    <row r="2505" spans="2:3" x14ac:dyDescent="0.2">
      <c r="B2505"/>
      <c r="C2505"/>
    </row>
    <row r="2506" spans="2:3" x14ac:dyDescent="0.2">
      <c r="B2506"/>
      <c r="C2506"/>
    </row>
    <row r="2507" spans="2:3" x14ac:dyDescent="0.2">
      <c r="B2507"/>
      <c r="C2507"/>
    </row>
    <row r="2508" spans="2:3" x14ac:dyDescent="0.2">
      <c r="B2508"/>
      <c r="C2508"/>
    </row>
    <row r="2509" spans="2:3" x14ac:dyDescent="0.2">
      <c r="B2509"/>
      <c r="C2509"/>
    </row>
    <row r="2510" spans="2:3" x14ac:dyDescent="0.2">
      <c r="B2510"/>
      <c r="C2510"/>
    </row>
    <row r="2511" spans="2:3" x14ac:dyDescent="0.2">
      <c r="B2511"/>
      <c r="C2511"/>
    </row>
    <row r="2512" spans="2:3" x14ac:dyDescent="0.2">
      <c r="B2512"/>
      <c r="C2512"/>
    </row>
    <row r="2513" spans="2:3" x14ac:dyDescent="0.2">
      <c r="B2513"/>
      <c r="C2513"/>
    </row>
    <row r="2514" spans="2:3" x14ac:dyDescent="0.2">
      <c r="B2514"/>
      <c r="C2514"/>
    </row>
    <row r="2515" spans="2:3" x14ac:dyDescent="0.2">
      <c r="B2515"/>
      <c r="C2515"/>
    </row>
    <row r="2516" spans="2:3" x14ac:dyDescent="0.2">
      <c r="B2516"/>
      <c r="C2516"/>
    </row>
    <row r="2517" spans="2:3" x14ac:dyDescent="0.2">
      <c r="B2517"/>
      <c r="C2517"/>
    </row>
    <row r="2518" spans="2:3" x14ac:dyDescent="0.2">
      <c r="B2518"/>
      <c r="C2518"/>
    </row>
    <row r="2519" spans="2:3" x14ac:dyDescent="0.2">
      <c r="B2519"/>
      <c r="C2519"/>
    </row>
    <row r="2520" spans="2:3" x14ac:dyDescent="0.2">
      <c r="B2520"/>
      <c r="C2520"/>
    </row>
    <row r="2521" spans="2:3" x14ac:dyDescent="0.2">
      <c r="B2521"/>
      <c r="C2521"/>
    </row>
    <row r="2522" spans="2:3" x14ac:dyDescent="0.2">
      <c r="B2522"/>
      <c r="C2522"/>
    </row>
    <row r="2523" spans="2:3" x14ac:dyDescent="0.2">
      <c r="B2523"/>
      <c r="C2523"/>
    </row>
    <row r="2524" spans="2:3" x14ac:dyDescent="0.2">
      <c r="B2524"/>
      <c r="C2524"/>
    </row>
    <row r="2525" spans="2:3" x14ac:dyDescent="0.2">
      <c r="B2525"/>
      <c r="C2525"/>
    </row>
    <row r="2526" spans="2:3" x14ac:dyDescent="0.2">
      <c r="B2526"/>
      <c r="C2526"/>
    </row>
    <row r="2527" spans="2:3" x14ac:dyDescent="0.2">
      <c r="B2527"/>
      <c r="C2527"/>
    </row>
    <row r="2528" spans="2:3" x14ac:dyDescent="0.2">
      <c r="B2528"/>
      <c r="C2528"/>
    </row>
    <row r="2529" spans="2:3" x14ac:dyDescent="0.2">
      <c r="B2529"/>
      <c r="C2529"/>
    </row>
    <row r="2530" spans="2:3" x14ac:dyDescent="0.2">
      <c r="B2530"/>
      <c r="C2530"/>
    </row>
    <row r="2531" spans="2:3" x14ac:dyDescent="0.2">
      <c r="B2531"/>
      <c r="C2531"/>
    </row>
    <row r="2532" spans="2:3" x14ac:dyDescent="0.2">
      <c r="B2532"/>
      <c r="C2532"/>
    </row>
    <row r="2533" spans="2:3" x14ac:dyDescent="0.2">
      <c r="B2533"/>
      <c r="C2533"/>
    </row>
    <row r="2534" spans="2:3" x14ac:dyDescent="0.2">
      <c r="B2534"/>
      <c r="C2534"/>
    </row>
    <row r="2535" spans="2:3" x14ac:dyDescent="0.2">
      <c r="B2535"/>
      <c r="C2535"/>
    </row>
    <row r="2536" spans="2:3" x14ac:dyDescent="0.2">
      <c r="B2536"/>
      <c r="C2536"/>
    </row>
    <row r="2537" spans="2:3" x14ac:dyDescent="0.2">
      <c r="B2537"/>
      <c r="C2537"/>
    </row>
    <row r="2538" spans="2:3" x14ac:dyDescent="0.2">
      <c r="B2538"/>
      <c r="C2538"/>
    </row>
    <row r="2539" spans="2:3" x14ac:dyDescent="0.2">
      <c r="B2539"/>
      <c r="C2539"/>
    </row>
    <row r="2540" spans="2:3" x14ac:dyDescent="0.2">
      <c r="B2540"/>
      <c r="C2540"/>
    </row>
    <row r="2541" spans="2:3" x14ac:dyDescent="0.2">
      <c r="B2541"/>
      <c r="C2541"/>
    </row>
    <row r="2542" spans="2:3" x14ac:dyDescent="0.2">
      <c r="B2542"/>
      <c r="C2542"/>
    </row>
    <row r="2543" spans="2:3" x14ac:dyDescent="0.2">
      <c r="B2543"/>
      <c r="C2543"/>
    </row>
    <row r="2544" spans="2:3" x14ac:dyDescent="0.2">
      <c r="B2544"/>
      <c r="C2544"/>
    </row>
    <row r="2545" spans="2:3" x14ac:dyDescent="0.2">
      <c r="B2545"/>
      <c r="C2545"/>
    </row>
    <row r="2546" spans="2:3" x14ac:dyDescent="0.2">
      <c r="B2546"/>
      <c r="C2546"/>
    </row>
    <row r="2547" spans="2:3" x14ac:dyDescent="0.2">
      <c r="B2547"/>
      <c r="C2547"/>
    </row>
    <row r="2548" spans="2:3" x14ac:dyDescent="0.2">
      <c r="B2548"/>
      <c r="C2548"/>
    </row>
    <row r="2549" spans="2:3" x14ac:dyDescent="0.2">
      <c r="B2549"/>
      <c r="C2549"/>
    </row>
    <row r="2550" spans="2:3" x14ac:dyDescent="0.2">
      <c r="B2550"/>
      <c r="C2550"/>
    </row>
    <row r="2551" spans="2:3" x14ac:dyDescent="0.2">
      <c r="B2551"/>
      <c r="C2551"/>
    </row>
    <row r="2552" spans="2:3" x14ac:dyDescent="0.2">
      <c r="B2552"/>
      <c r="C2552"/>
    </row>
    <row r="2553" spans="2:3" x14ac:dyDescent="0.2">
      <c r="B2553"/>
      <c r="C2553"/>
    </row>
    <row r="2554" spans="2:3" x14ac:dyDescent="0.2">
      <c r="B2554"/>
      <c r="C2554"/>
    </row>
    <row r="2555" spans="2:3" x14ac:dyDescent="0.2">
      <c r="B2555"/>
      <c r="C2555"/>
    </row>
    <row r="2556" spans="2:3" x14ac:dyDescent="0.2">
      <c r="B2556"/>
      <c r="C2556"/>
    </row>
    <row r="2557" spans="2:3" x14ac:dyDescent="0.2">
      <c r="B2557"/>
      <c r="C2557"/>
    </row>
    <row r="2558" spans="2:3" x14ac:dyDescent="0.2">
      <c r="B2558"/>
      <c r="C2558"/>
    </row>
    <row r="2559" spans="2:3" x14ac:dyDescent="0.2">
      <c r="B2559"/>
      <c r="C2559"/>
    </row>
    <row r="2560" spans="2:3" x14ac:dyDescent="0.2">
      <c r="B2560"/>
      <c r="C2560"/>
    </row>
    <row r="2561" spans="2:3" x14ac:dyDescent="0.2">
      <c r="B2561"/>
      <c r="C2561"/>
    </row>
    <row r="2562" spans="2:3" x14ac:dyDescent="0.2">
      <c r="B2562"/>
      <c r="C2562"/>
    </row>
    <row r="2563" spans="2:3" x14ac:dyDescent="0.2">
      <c r="B2563"/>
      <c r="C2563"/>
    </row>
    <row r="2564" spans="2:3" x14ac:dyDescent="0.2">
      <c r="B2564"/>
      <c r="C2564"/>
    </row>
    <row r="2565" spans="2:3" x14ac:dyDescent="0.2">
      <c r="B2565"/>
      <c r="C2565"/>
    </row>
    <row r="2566" spans="2:3" x14ac:dyDescent="0.2">
      <c r="B2566"/>
      <c r="C2566"/>
    </row>
    <row r="2567" spans="2:3" x14ac:dyDescent="0.2">
      <c r="B2567"/>
      <c r="C2567"/>
    </row>
    <row r="2568" spans="2:3" x14ac:dyDescent="0.2">
      <c r="B2568"/>
      <c r="C2568"/>
    </row>
    <row r="2569" spans="2:3" x14ac:dyDescent="0.2">
      <c r="B2569"/>
      <c r="C2569"/>
    </row>
    <row r="2570" spans="2:3" x14ac:dyDescent="0.2">
      <c r="B2570"/>
      <c r="C2570"/>
    </row>
    <row r="2571" spans="2:3" x14ac:dyDescent="0.2">
      <c r="B2571"/>
      <c r="C2571"/>
    </row>
    <row r="2572" spans="2:3" x14ac:dyDescent="0.2">
      <c r="B2572"/>
      <c r="C2572"/>
    </row>
    <row r="2573" spans="2:3" x14ac:dyDescent="0.2">
      <c r="B2573"/>
      <c r="C2573"/>
    </row>
    <row r="2574" spans="2:3" x14ac:dyDescent="0.2">
      <c r="B2574"/>
      <c r="C2574"/>
    </row>
    <row r="2575" spans="2:3" x14ac:dyDescent="0.2">
      <c r="B2575"/>
      <c r="C2575"/>
    </row>
    <row r="2576" spans="2:3" x14ac:dyDescent="0.2">
      <c r="B2576"/>
      <c r="C2576"/>
    </row>
    <row r="2577" spans="2:3" x14ac:dyDescent="0.2">
      <c r="B2577"/>
      <c r="C2577"/>
    </row>
    <row r="2578" spans="2:3" x14ac:dyDescent="0.2">
      <c r="B2578"/>
      <c r="C2578"/>
    </row>
    <row r="2579" spans="2:3" x14ac:dyDescent="0.2">
      <c r="B2579"/>
      <c r="C2579"/>
    </row>
    <row r="2580" spans="2:3" x14ac:dyDescent="0.2">
      <c r="B2580"/>
      <c r="C2580"/>
    </row>
    <row r="2581" spans="2:3" x14ac:dyDescent="0.2">
      <c r="B2581"/>
      <c r="C2581"/>
    </row>
    <row r="2582" spans="2:3" x14ac:dyDescent="0.2">
      <c r="B2582"/>
      <c r="C2582"/>
    </row>
    <row r="2583" spans="2:3" x14ac:dyDescent="0.2">
      <c r="B2583"/>
      <c r="C2583"/>
    </row>
    <row r="2584" spans="2:3" x14ac:dyDescent="0.2">
      <c r="B2584"/>
      <c r="C2584"/>
    </row>
    <row r="2585" spans="2:3" x14ac:dyDescent="0.2">
      <c r="B2585"/>
      <c r="C2585"/>
    </row>
    <row r="2586" spans="2:3" x14ac:dyDescent="0.2">
      <c r="B2586"/>
      <c r="C2586"/>
    </row>
    <row r="2587" spans="2:3" x14ac:dyDescent="0.2">
      <c r="B2587"/>
      <c r="C2587"/>
    </row>
    <row r="2588" spans="2:3" x14ac:dyDescent="0.2">
      <c r="B2588"/>
      <c r="C2588"/>
    </row>
    <row r="2589" spans="2:3" x14ac:dyDescent="0.2">
      <c r="B2589"/>
      <c r="C2589"/>
    </row>
    <row r="2590" spans="2:3" x14ac:dyDescent="0.2">
      <c r="B2590"/>
      <c r="C2590"/>
    </row>
    <row r="2591" spans="2:3" x14ac:dyDescent="0.2">
      <c r="B2591"/>
      <c r="C2591"/>
    </row>
    <row r="2592" spans="2:3" x14ac:dyDescent="0.2">
      <c r="B2592"/>
      <c r="C2592"/>
    </row>
    <row r="2593" spans="2:3" x14ac:dyDescent="0.2">
      <c r="B2593"/>
      <c r="C2593"/>
    </row>
    <row r="2594" spans="2:3" x14ac:dyDescent="0.2">
      <c r="B2594"/>
      <c r="C2594"/>
    </row>
    <row r="2595" spans="2:3" x14ac:dyDescent="0.2">
      <c r="B2595"/>
      <c r="C2595"/>
    </row>
    <row r="2596" spans="2:3" x14ac:dyDescent="0.2">
      <c r="B2596"/>
      <c r="C2596"/>
    </row>
    <row r="2597" spans="2:3" x14ac:dyDescent="0.2">
      <c r="B2597"/>
      <c r="C2597"/>
    </row>
    <row r="2598" spans="2:3" x14ac:dyDescent="0.2">
      <c r="B2598"/>
      <c r="C2598"/>
    </row>
    <row r="2599" spans="2:3" x14ac:dyDescent="0.2">
      <c r="B2599"/>
      <c r="C2599"/>
    </row>
    <row r="2600" spans="2:3" x14ac:dyDescent="0.2">
      <c r="B2600"/>
      <c r="C2600"/>
    </row>
    <row r="2601" spans="2:3" x14ac:dyDescent="0.2">
      <c r="B2601"/>
      <c r="C2601"/>
    </row>
    <row r="2602" spans="2:3" x14ac:dyDescent="0.2">
      <c r="B2602"/>
      <c r="C2602"/>
    </row>
    <row r="2603" spans="2:3" x14ac:dyDescent="0.2">
      <c r="B2603"/>
      <c r="C2603"/>
    </row>
    <row r="2604" spans="2:3" x14ac:dyDescent="0.2">
      <c r="B2604"/>
      <c r="C2604"/>
    </row>
    <row r="2605" spans="2:3" x14ac:dyDescent="0.2">
      <c r="B2605"/>
      <c r="C2605"/>
    </row>
    <row r="2606" spans="2:3" x14ac:dyDescent="0.2">
      <c r="B2606"/>
      <c r="C2606"/>
    </row>
    <row r="2607" spans="2:3" x14ac:dyDescent="0.2">
      <c r="B2607"/>
      <c r="C2607"/>
    </row>
    <row r="2608" spans="2:3" x14ac:dyDescent="0.2">
      <c r="B2608"/>
      <c r="C2608"/>
    </row>
    <row r="2609" spans="2:3" x14ac:dyDescent="0.2">
      <c r="B2609"/>
      <c r="C2609"/>
    </row>
    <row r="2610" spans="2:3" x14ac:dyDescent="0.2">
      <c r="B2610"/>
      <c r="C2610"/>
    </row>
    <row r="2611" spans="2:3" x14ac:dyDescent="0.2">
      <c r="B2611"/>
      <c r="C2611"/>
    </row>
    <row r="2612" spans="2:3" x14ac:dyDescent="0.2">
      <c r="B2612"/>
      <c r="C2612"/>
    </row>
    <row r="2613" spans="2:3" x14ac:dyDescent="0.2">
      <c r="B2613"/>
      <c r="C2613"/>
    </row>
    <row r="2614" spans="2:3" x14ac:dyDescent="0.2">
      <c r="B2614"/>
      <c r="C2614"/>
    </row>
    <row r="2615" spans="2:3" x14ac:dyDescent="0.2">
      <c r="B2615"/>
      <c r="C2615"/>
    </row>
    <row r="2616" spans="2:3" x14ac:dyDescent="0.2">
      <c r="B2616"/>
      <c r="C2616"/>
    </row>
    <row r="2617" spans="2:3" x14ac:dyDescent="0.2">
      <c r="B2617"/>
      <c r="C2617"/>
    </row>
    <row r="2618" spans="2:3" x14ac:dyDescent="0.2">
      <c r="B2618"/>
      <c r="C2618"/>
    </row>
    <row r="2619" spans="2:3" x14ac:dyDescent="0.2">
      <c r="B2619"/>
      <c r="C2619"/>
    </row>
    <row r="2620" spans="2:3" x14ac:dyDescent="0.2">
      <c r="B2620"/>
      <c r="C2620"/>
    </row>
    <row r="2621" spans="2:3" x14ac:dyDescent="0.2">
      <c r="B2621"/>
      <c r="C2621"/>
    </row>
    <row r="2622" spans="2:3" x14ac:dyDescent="0.2">
      <c r="B2622"/>
      <c r="C2622"/>
    </row>
    <row r="2623" spans="2:3" x14ac:dyDescent="0.2">
      <c r="B2623"/>
      <c r="C2623"/>
    </row>
    <row r="2624" spans="2:3" x14ac:dyDescent="0.2">
      <c r="B2624"/>
      <c r="C2624"/>
    </row>
    <row r="2625" spans="2:3" x14ac:dyDescent="0.2">
      <c r="B2625"/>
      <c r="C2625"/>
    </row>
    <row r="2626" spans="2:3" x14ac:dyDescent="0.2">
      <c r="B2626"/>
      <c r="C2626"/>
    </row>
    <row r="2627" spans="2:3" x14ac:dyDescent="0.2">
      <c r="B2627"/>
      <c r="C2627"/>
    </row>
    <row r="2628" spans="2:3" x14ac:dyDescent="0.2">
      <c r="B2628"/>
      <c r="C2628"/>
    </row>
    <row r="2629" spans="2:3" x14ac:dyDescent="0.2">
      <c r="B2629"/>
      <c r="C2629"/>
    </row>
    <row r="2630" spans="2:3" x14ac:dyDescent="0.2">
      <c r="B2630"/>
      <c r="C2630"/>
    </row>
    <row r="2631" spans="2:3" x14ac:dyDescent="0.2">
      <c r="B2631"/>
      <c r="C2631"/>
    </row>
    <row r="2632" spans="2:3" x14ac:dyDescent="0.2">
      <c r="B2632"/>
      <c r="C2632"/>
    </row>
    <row r="2633" spans="2:3" x14ac:dyDescent="0.2">
      <c r="B2633"/>
      <c r="C2633"/>
    </row>
    <row r="2634" spans="2:3" x14ac:dyDescent="0.2">
      <c r="B2634"/>
      <c r="C2634"/>
    </row>
    <row r="2635" spans="2:3" x14ac:dyDescent="0.2">
      <c r="B2635"/>
      <c r="C2635"/>
    </row>
    <row r="2636" spans="2:3" x14ac:dyDescent="0.2">
      <c r="B2636"/>
      <c r="C2636"/>
    </row>
    <row r="2637" spans="2:3" x14ac:dyDescent="0.2">
      <c r="B2637"/>
      <c r="C2637"/>
    </row>
    <row r="2638" spans="2:3" x14ac:dyDescent="0.2">
      <c r="B2638"/>
      <c r="C2638"/>
    </row>
    <row r="2639" spans="2:3" x14ac:dyDescent="0.2">
      <c r="B2639"/>
      <c r="C2639"/>
    </row>
    <row r="2640" spans="2:3" x14ac:dyDescent="0.2">
      <c r="B2640"/>
      <c r="C2640"/>
    </row>
    <row r="2641" spans="2:3" x14ac:dyDescent="0.2">
      <c r="B2641"/>
      <c r="C2641"/>
    </row>
    <row r="2642" spans="2:3" x14ac:dyDescent="0.2">
      <c r="B2642"/>
      <c r="C2642"/>
    </row>
    <row r="2643" spans="2:3" x14ac:dyDescent="0.2">
      <c r="B2643"/>
      <c r="C2643"/>
    </row>
    <row r="2644" spans="2:3" x14ac:dyDescent="0.2">
      <c r="B2644"/>
      <c r="C2644"/>
    </row>
    <row r="2645" spans="2:3" x14ac:dyDescent="0.2">
      <c r="B2645"/>
      <c r="C2645"/>
    </row>
    <row r="2646" spans="2:3" x14ac:dyDescent="0.2">
      <c r="B2646"/>
      <c r="C2646"/>
    </row>
    <row r="2647" spans="2:3" x14ac:dyDescent="0.2">
      <c r="B2647"/>
      <c r="C2647"/>
    </row>
    <row r="2648" spans="2:3" x14ac:dyDescent="0.2">
      <c r="B2648"/>
      <c r="C2648"/>
    </row>
    <row r="2649" spans="2:3" x14ac:dyDescent="0.2">
      <c r="B2649"/>
      <c r="C2649"/>
    </row>
    <row r="2650" spans="2:3" x14ac:dyDescent="0.2">
      <c r="B2650"/>
      <c r="C2650"/>
    </row>
    <row r="2651" spans="2:3" x14ac:dyDescent="0.2">
      <c r="B2651"/>
      <c r="C2651"/>
    </row>
    <row r="2652" spans="2:3" x14ac:dyDescent="0.2">
      <c r="B2652"/>
      <c r="C2652"/>
    </row>
    <row r="2653" spans="2:3" x14ac:dyDescent="0.2">
      <c r="B2653"/>
      <c r="C2653"/>
    </row>
    <row r="2654" spans="2:3" x14ac:dyDescent="0.2">
      <c r="B2654"/>
      <c r="C2654"/>
    </row>
    <row r="2655" spans="2:3" x14ac:dyDescent="0.2">
      <c r="B2655"/>
      <c r="C2655"/>
    </row>
    <row r="2656" spans="2:3" x14ac:dyDescent="0.2">
      <c r="B2656"/>
      <c r="C2656"/>
    </row>
    <row r="2657" spans="2:3" x14ac:dyDescent="0.2">
      <c r="B2657"/>
      <c r="C2657"/>
    </row>
    <row r="2658" spans="2:3" x14ac:dyDescent="0.2">
      <c r="B2658"/>
      <c r="C2658"/>
    </row>
    <row r="2659" spans="2:3" x14ac:dyDescent="0.2">
      <c r="B2659"/>
      <c r="C2659"/>
    </row>
    <row r="2660" spans="2:3" x14ac:dyDescent="0.2">
      <c r="B2660"/>
      <c r="C2660"/>
    </row>
    <row r="2661" spans="2:3" x14ac:dyDescent="0.2">
      <c r="B2661"/>
      <c r="C2661"/>
    </row>
    <row r="2662" spans="2:3" x14ac:dyDescent="0.2">
      <c r="B2662"/>
      <c r="C2662"/>
    </row>
    <row r="2663" spans="2:3" x14ac:dyDescent="0.2">
      <c r="B2663"/>
      <c r="C2663"/>
    </row>
    <row r="2664" spans="2:3" x14ac:dyDescent="0.2">
      <c r="B2664"/>
      <c r="C2664"/>
    </row>
    <row r="2665" spans="2:3" x14ac:dyDescent="0.2">
      <c r="B2665"/>
      <c r="C2665"/>
    </row>
    <row r="2666" spans="2:3" x14ac:dyDescent="0.2">
      <c r="B2666"/>
      <c r="C2666"/>
    </row>
    <row r="2667" spans="2:3" x14ac:dyDescent="0.2">
      <c r="B2667"/>
      <c r="C2667"/>
    </row>
    <row r="2668" spans="2:3" x14ac:dyDescent="0.2">
      <c r="B2668"/>
      <c r="C2668"/>
    </row>
    <row r="2669" spans="2:3" x14ac:dyDescent="0.2">
      <c r="B2669"/>
      <c r="C2669"/>
    </row>
    <row r="2670" spans="2:3" x14ac:dyDescent="0.2">
      <c r="B2670"/>
      <c r="C2670"/>
    </row>
    <row r="2671" spans="2:3" x14ac:dyDescent="0.2">
      <c r="B2671"/>
      <c r="C2671"/>
    </row>
    <row r="2672" spans="2:3" x14ac:dyDescent="0.2">
      <c r="B2672"/>
      <c r="C2672"/>
    </row>
    <row r="2673" spans="2:3" x14ac:dyDescent="0.2">
      <c r="B2673"/>
      <c r="C2673"/>
    </row>
    <row r="2674" spans="2:3" x14ac:dyDescent="0.2">
      <c r="B2674"/>
      <c r="C2674"/>
    </row>
    <row r="2675" spans="2:3" x14ac:dyDescent="0.2">
      <c r="B2675"/>
      <c r="C2675"/>
    </row>
    <row r="2676" spans="2:3" x14ac:dyDescent="0.2">
      <c r="B2676"/>
      <c r="C2676"/>
    </row>
    <row r="2677" spans="2:3" x14ac:dyDescent="0.2">
      <c r="B2677"/>
      <c r="C2677"/>
    </row>
    <row r="2678" spans="2:3" x14ac:dyDescent="0.2">
      <c r="B2678"/>
      <c r="C2678"/>
    </row>
    <row r="2679" spans="2:3" x14ac:dyDescent="0.2">
      <c r="B2679"/>
      <c r="C2679"/>
    </row>
    <row r="2680" spans="2:3" x14ac:dyDescent="0.2">
      <c r="B2680"/>
      <c r="C2680"/>
    </row>
    <row r="2681" spans="2:3" x14ac:dyDescent="0.2">
      <c r="B2681"/>
      <c r="C2681"/>
    </row>
    <row r="2682" spans="2:3" x14ac:dyDescent="0.2">
      <c r="B2682"/>
      <c r="C2682"/>
    </row>
    <row r="2683" spans="2:3" x14ac:dyDescent="0.2">
      <c r="B2683"/>
      <c r="C2683"/>
    </row>
    <row r="2684" spans="2:3" x14ac:dyDescent="0.2">
      <c r="B2684"/>
      <c r="C2684"/>
    </row>
    <row r="2685" spans="2:3" x14ac:dyDescent="0.2">
      <c r="B2685"/>
      <c r="C2685"/>
    </row>
    <row r="2686" spans="2:3" x14ac:dyDescent="0.2">
      <c r="B2686"/>
      <c r="C2686"/>
    </row>
    <row r="2687" spans="2:3" x14ac:dyDescent="0.2">
      <c r="B2687"/>
      <c r="C2687"/>
    </row>
    <row r="2688" spans="2:3" x14ac:dyDescent="0.2">
      <c r="B2688"/>
      <c r="C2688"/>
    </row>
    <row r="2689" spans="2:3" x14ac:dyDescent="0.2">
      <c r="B2689"/>
      <c r="C2689"/>
    </row>
    <row r="2690" spans="2:3" x14ac:dyDescent="0.2">
      <c r="B2690"/>
      <c r="C2690"/>
    </row>
    <row r="2691" spans="2:3" x14ac:dyDescent="0.2">
      <c r="B2691"/>
      <c r="C2691"/>
    </row>
    <row r="2692" spans="2:3" x14ac:dyDescent="0.2">
      <c r="B2692"/>
      <c r="C2692"/>
    </row>
    <row r="2693" spans="2:3" x14ac:dyDescent="0.2">
      <c r="B2693"/>
      <c r="C2693"/>
    </row>
    <row r="2694" spans="2:3" x14ac:dyDescent="0.2">
      <c r="B2694"/>
      <c r="C2694"/>
    </row>
    <row r="2695" spans="2:3" x14ac:dyDescent="0.2">
      <c r="B2695"/>
      <c r="C2695"/>
    </row>
    <row r="2696" spans="2:3" x14ac:dyDescent="0.2">
      <c r="B2696"/>
      <c r="C2696"/>
    </row>
    <row r="2697" spans="2:3" x14ac:dyDescent="0.2">
      <c r="B2697"/>
      <c r="C2697"/>
    </row>
    <row r="2698" spans="2:3" x14ac:dyDescent="0.2">
      <c r="B2698"/>
      <c r="C2698"/>
    </row>
    <row r="2699" spans="2:3" x14ac:dyDescent="0.2">
      <c r="B2699"/>
      <c r="C2699"/>
    </row>
    <row r="2700" spans="2:3" x14ac:dyDescent="0.2">
      <c r="B2700"/>
      <c r="C2700"/>
    </row>
    <row r="2701" spans="2:3" x14ac:dyDescent="0.2">
      <c r="B2701"/>
      <c r="C2701"/>
    </row>
    <row r="2702" spans="2:3" x14ac:dyDescent="0.2">
      <c r="B2702"/>
      <c r="C2702"/>
    </row>
    <row r="2703" spans="2:3" x14ac:dyDescent="0.2">
      <c r="B2703"/>
      <c r="C2703"/>
    </row>
    <row r="2704" spans="2:3" x14ac:dyDescent="0.2">
      <c r="B2704"/>
      <c r="C2704"/>
    </row>
    <row r="2705" spans="2:3" x14ac:dyDescent="0.2">
      <c r="B2705"/>
      <c r="C2705"/>
    </row>
    <row r="2706" spans="2:3" x14ac:dyDescent="0.2">
      <c r="B2706"/>
      <c r="C2706"/>
    </row>
    <row r="2707" spans="2:3" x14ac:dyDescent="0.2">
      <c r="B2707"/>
      <c r="C2707"/>
    </row>
    <row r="2708" spans="2:3" x14ac:dyDescent="0.2">
      <c r="B2708"/>
      <c r="C2708"/>
    </row>
    <row r="2709" spans="2:3" x14ac:dyDescent="0.2">
      <c r="B2709"/>
      <c r="C2709"/>
    </row>
    <row r="2710" spans="2:3" x14ac:dyDescent="0.2">
      <c r="B2710"/>
      <c r="C2710"/>
    </row>
    <row r="2711" spans="2:3" x14ac:dyDescent="0.2">
      <c r="B2711"/>
      <c r="C2711"/>
    </row>
    <row r="2712" spans="2:3" x14ac:dyDescent="0.2">
      <c r="B2712"/>
      <c r="C2712"/>
    </row>
    <row r="2713" spans="2:3" x14ac:dyDescent="0.2">
      <c r="B2713"/>
      <c r="C2713"/>
    </row>
    <row r="2714" spans="2:3" x14ac:dyDescent="0.2">
      <c r="B2714"/>
      <c r="C2714"/>
    </row>
    <row r="2715" spans="2:3" x14ac:dyDescent="0.2">
      <c r="B2715"/>
      <c r="C2715"/>
    </row>
    <row r="2716" spans="2:3" x14ac:dyDescent="0.2">
      <c r="B2716"/>
      <c r="C2716"/>
    </row>
    <row r="2717" spans="2:3" x14ac:dyDescent="0.2">
      <c r="B2717"/>
      <c r="C2717"/>
    </row>
    <row r="2718" spans="2:3" x14ac:dyDescent="0.2">
      <c r="B2718"/>
      <c r="C2718"/>
    </row>
    <row r="2719" spans="2:3" x14ac:dyDescent="0.2">
      <c r="B2719"/>
      <c r="C2719"/>
    </row>
    <row r="2720" spans="2:3" x14ac:dyDescent="0.2">
      <c r="B2720"/>
      <c r="C2720"/>
    </row>
    <row r="2721" spans="2:3" x14ac:dyDescent="0.2">
      <c r="B2721"/>
      <c r="C2721"/>
    </row>
    <row r="2722" spans="2:3" x14ac:dyDescent="0.2">
      <c r="B2722"/>
      <c r="C2722"/>
    </row>
    <row r="2723" spans="2:3" x14ac:dyDescent="0.2">
      <c r="B2723"/>
      <c r="C2723"/>
    </row>
    <row r="2724" spans="2:3" x14ac:dyDescent="0.2">
      <c r="B2724"/>
      <c r="C2724"/>
    </row>
    <row r="2725" spans="2:3" x14ac:dyDescent="0.2">
      <c r="B2725"/>
      <c r="C2725"/>
    </row>
    <row r="2726" spans="2:3" x14ac:dyDescent="0.2">
      <c r="B2726"/>
      <c r="C2726"/>
    </row>
    <row r="2727" spans="2:3" x14ac:dyDescent="0.2">
      <c r="B2727"/>
      <c r="C2727"/>
    </row>
    <row r="2728" spans="2:3" x14ac:dyDescent="0.2">
      <c r="B2728"/>
      <c r="C2728"/>
    </row>
    <row r="2729" spans="2:3" x14ac:dyDescent="0.2">
      <c r="B2729"/>
      <c r="C2729"/>
    </row>
    <row r="2730" spans="2:3" x14ac:dyDescent="0.2">
      <c r="B2730"/>
      <c r="C2730"/>
    </row>
    <row r="2731" spans="2:3" x14ac:dyDescent="0.2">
      <c r="B2731"/>
      <c r="C2731"/>
    </row>
    <row r="2732" spans="2:3" x14ac:dyDescent="0.2">
      <c r="B2732"/>
      <c r="C2732"/>
    </row>
    <row r="2733" spans="2:3" x14ac:dyDescent="0.2">
      <c r="B2733"/>
      <c r="C2733"/>
    </row>
    <row r="2734" spans="2:3" x14ac:dyDescent="0.2">
      <c r="B2734"/>
      <c r="C2734"/>
    </row>
    <row r="2735" spans="2:3" x14ac:dyDescent="0.2">
      <c r="B2735"/>
      <c r="C2735"/>
    </row>
    <row r="2736" spans="2:3" x14ac:dyDescent="0.2">
      <c r="B2736"/>
      <c r="C2736"/>
    </row>
    <row r="2737" spans="2:3" x14ac:dyDescent="0.2">
      <c r="B2737"/>
      <c r="C2737"/>
    </row>
    <row r="2738" spans="2:3" x14ac:dyDescent="0.2">
      <c r="B2738"/>
      <c r="C2738"/>
    </row>
    <row r="2739" spans="2:3" x14ac:dyDescent="0.2">
      <c r="B2739"/>
      <c r="C2739"/>
    </row>
    <row r="2740" spans="2:3" x14ac:dyDescent="0.2">
      <c r="B2740"/>
      <c r="C2740"/>
    </row>
    <row r="2741" spans="2:3" x14ac:dyDescent="0.2">
      <c r="B2741"/>
      <c r="C2741"/>
    </row>
    <row r="2742" spans="2:3" x14ac:dyDescent="0.2">
      <c r="B2742"/>
      <c r="C2742"/>
    </row>
    <row r="2743" spans="2:3" x14ac:dyDescent="0.2">
      <c r="B2743"/>
      <c r="C2743"/>
    </row>
    <row r="2744" spans="2:3" x14ac:dyDescent="0.2">
      <c r="B2744"/>
      <c r="C2744"/>
    </row>
    <row r="2745" spans="2:3" x14ac:dyDescent="0.2">
      <c r="B2745"/>
      <c r="C2745"/>
    </row>
    <row r="2746" spans="2:3" x14ac:dyDescent="0.2">
      <c r="B2746"/>
      <c r="C2746"/>
    </row>
    <row r="2747" spans="2:3" x14ac:dyDescent="0.2">
      <c r="B2747"/>
      <c r="C2747"/>
    </row>
    <row r="2748" spans="2:3" x14ac:dyDescent="0.2">
      <c r="B2748"/>
      <c r="C2748"/>
    </row>
    <row r="2749" spans="2:3" x14ac:dyDescent="0.2">
      <c r="B2749"/>
      <c r="C2749"/>
    </row>
    <row r="2750" spans="2:3" x14ac:dyDescent="0.2">
      <c r="B2750"/>
      <c r="C2750"/>
    </row>
    <row r="2751" spans="2:3" x14ac:dyDescent="0.2">
      <c r="B2751"/>
      <c r="C2751"/>
    </row>
    <row r="2752" spans="2:3" x14ac:dyDescent="0.2">
      <c r="B2752"/>
      <c r="C2752"/>
    </row>
    <row r="2753" spans="2:3" x14ac:dyDescent="0.2">
      <c r="B2753"/>
      <c r="C2753"/>
    </row>
    <row r="2754" spans="2:3" x14ac:dyDescent="0.2">
      <c r="B2754"/>
      <c r="C2754"/>
    </row>
    <row r="2755" spans="2:3" x14ac:dyDescent="0.2">
      <c r="B2755"/>
      <c r="C2755"/>
    </row>
    <row r="2756" spans="2:3" x14ac:dyDescent="0.2">
      <c r="B2756"/>
      <c r="C2756"/>
    </row>
    <row r="2757" spans="2:3" x14ac:dyDescent="0.2">
      <c r="B2757"/>
      <c r="C2757"/>
    </row>
    <row r="2758" spans="2:3" x14ac:dyDescent="0.2">
      <c r="B2758"/>
      <c r="C2758"/>
    </row>
    <row r="2759" spans="2:3" x14ac:dyDescent="0.2">
      <c r="B2759"/>
      <c r="C2759"/>
    </row>
    <row r="2760" spans="2:3" x14ac:dyDescent="0.2">
      <c r="B2760"/>
      <c r="C2760"/>
    </row>
    <row r="2761" spans="2:3" x14ac:dyDescent="0.2">
      <c r="B2761"/>
      <c r="C2761"/>
    </row>
    <row r="2762" spans="2:3" x14ac:dyDescent="0.2">
      <c r="B2762"/>
      <c r="C2762"/>
    </row>
    <row r="2763" spans="2:3" x14ac:dyDescent="0.2">
      <c r="B2763"/>
      <c r="C2763"/>
    </row>
    <row r="2764" spans="2:3" x14ac:dyDescent="0.2">
      <c r="B2764"/>
      <c r="C2764"/>
    </row>
    <row r="2765" spans="2:3" x14ac:dyDescent="0.2">
      <c r="B2765"/>
      <c r="C2765"/>
    </row>
    <row r="2766" spans="2:3" x14ac:dyDescent="0.2">
      <c r="B2766"/>
      <c r="C2766"/>
    </row>
    <row r="2767" spans="2:3" x14ac:dyDescent="0.2">
      <c r="B2767"/>
      <c r="C2767"/>
    </row>
    <row r="2768" spans="2:3" x14ac:dyDescent="0.2">
      <c r="B2768"/>
      <c r="C2768"/>
    </row>
    <row r="2769" spans="2:3" x14ac:dyDescent="0.2">
      <c r="B2769"/>
      <c r="C2769"/>
    </row>
    <row r="2770" spans="2:3" x14ac:dyDescent="0.2">
      <c r="B2770"/>
      <c r="C2770"/>
    </row>
    <row r="2771" spans="2:3" x14ac:dyDescent="0.2">
      <c r="B2771"/>
      <c r="C2771"/>
    </row>
    <row r="2772" spans="2:3" x14ac:dyDescent="0.2">
      <c r="B2772"/>
      <c r="C2772"/>
    </row>
    <row r="2773" spans="2:3" x14ac:dyDescent="0.2">
      <c r="B2773"/>
      <c r="C2773"/>
    </row>
    <row r="2774" spans="2:3" x14ac:dyDescent="0.2">
      <c r="B2774"/>
      <c r="C2774"/>
    </row>
    <row r="2775" spans="2:3" x14ac:dyDescent="0.2">
      <c r="B2775"/>
      <c r="C2775"/>
    </row>
    <row r="2776" spans="2:3" x14ac:dyDescent="0.2">
      <c r="B2776"/>
      <c r="C2776"/>
    </row>
    <row r="2777" spans="2:3" x14ac:dyDescent="0.2">
      <c r="B2777"/>
      <c r="C2777"/>
    </row>
    <row r="2778" spans="2:3" x14ac:dyDescent="0.2">
      <c r="B2778"/>
      <c r="C2778"/>
    </row>
    <row r="2779" spans="2:3" x14ac:dyDescent="0.2">
      <c r="B2779"/>
      <c r="C2779"/>
    </row>
    <row r="2780" spans="2:3" x14ac:dyDescent="0.2">
      <c r="B2780"/>
      <c r="C2780"/>
    </row>
    <row r="2781" spans="2:3" x14ac:dyDescent="0.2">
      <c r="B2781"/>
      <c r="C2781"/>
    </row>
    <row r="2782" spans="2:3" x14ac:dyDescent="0.2">
      <c r="B2782"/>
      <c r="C2782"/>
    </row>
    <row r="2783" spans="2:3" x14ac:dyDescent="0.2">
      <c r="B2783"/>
      <c r="C2783"/>
    </row>
    <row r="2784" spans="2:3" x14ac:dyDescent="0.2">
      <c r="B2784"/>
      <c r="C2784"/>
    </row>
    <row r="2785" spans="2:3" x14ac:dyDescent="0.2">
      <c r="B2785"/>
      <c r="C2785"/>
    </row>
    <row r="2786" spans="2:3" x14ac:dyDescent="0.2">
      <c r="B2786"/>
      <c r="C2786"/>
    </row>
    <row r="2787" spans="2:3" x14ac:dyDescent="0.2">
      <c r="B2787"/>
      <c r="C2787"/>
    </row>
    <row r="2788" spans="2:3" x14ac:dyDescent="0.2">
      <c r="B2788"/>
      <c r="C2788"/>
    </row>
    <row r="2789" spans="2:3" x14ac:dyDescent="0.2">
      <c r="B2789"/>
      <c r="C2789"/>
    </row>
    <row r="2790" spans="2:3" x14ac:dyDescent="0.2">
      <c r="B2790"/>
      <c r="C2790"/>
    </row>
    <row r="2791" spans="2:3" x14ac:dyDescent="0.2">
      <c r="B2791"/>
      <c r="C2791"/>
    </row>
    <row r="2792" spans="2:3" x14ac:dyDescent="0.2">
      <c r="B2792"/>
      <c r="C2792"/>
    </row>
    <row r="2793" spans="2:3" x14ac:dyDescent="0.2">
      <c r="B2793"/>
      <c r="C2793"/>
    </row>
    <row r="2794" spans="2:3" x14ac:dyDescent="0.2">
      <c r="B2794"/>
      <c r="C2794"/>
    </row>
    <row r="2795" spans="2:3" x14ac:dyDescent="0.2">
      <c r="B2795"/>
      <c r="C2795"/>
    </row>
    <row r="2796" spans="2:3" x14ac:dyDescent="0.2">
      <c r="B2796"/>
      <c r="C2796"/>
    </row>
    <row r="2797" spans="2:3" x14ac:dyDescent="0.2">
      <c r="B2797"/>
      <c r="C2797"/>
    </row>
    <row r="2798" spans="2:3" x14ac:dyDescent="0.2">
      <c r="B2798"/>
      <c r="C2798"/>
    </row>
    <row r="2799" spans="2:3" x14ac:dyDescent="0.2">
      <c r="B2799"/>
      <c r="C2799"/>
    </row>
    <row r="2800" spans="2:3" x14ac:dyDescent="0.2">
      <c r="B2800"/>
      <c r="C2800"/>
    </row>
    <row r="2801" spans="2:3" x14ac:dyDescent="0.2">
      <c r="B2801"/>
      <c r="C2801"/>
    </row>
    <row r="2802" spans="2:3" x14ac:dyDescent="0.2">
      <c r="B2802"/>
      <c r="C2802"/>
    </row>
    <row r="2803" spans="2:3" x14ac:dyDescent="0.2">
      <c r="B2803"/>
      <c r="C2803"/>
    </row>
    <row r="2804" spans="2:3" x14ac:dyDescent="0.2">
      <c r="B2804"/>
      <c r="C2804"/>
    </row>
    <row r="2805" spans="2:3" x14ac:dyDescent="0.2">
      <c r="B2805"/>
      <c r="C2805"/>
    </row>
    <row r="2806" spans="2:3" x14ac:dyDescent="0.2">
      <c r="B2806"/>
      <c r="C2806"/>
    </row>
    <row r="2807" spans="2:3" x14ac:dyDescent="0.2">
      <c r="B2807"/>
      <c r="C2807"/>
    </row>
    <row r="2808" spans="2:3" x14ac:dyDescent="0.2">
      <c r="B2808"/>
      <c r="C2808"/>
    </row>
    <row r="2809" spans="2:3" x14ac:dyDescent="0.2">
      <c r="B2809"/>
      <c r="C2809"/>
    </row>
    <row r="2810" spans="2:3" x14ac:dyDescent="0.2">
      <c r="B2810"/>
      <c r="C2810"/>
    </row>
    <row r="2811" spans="2:3" x14ac:dyDescent="0.2">
      <c r="B2811"/>
      <c r="C2811"/>
    </row>
    <row r="2812" spans="2:3" x14ac:dyDescent="0.2">
      <c r="B2812"/>
      <c r="C2812"/>
    </row>
    <row r="2813" spans="2:3" x14ac:dyDescent="0.2">
      <c r="B2813"/>
      <c r="C2813"/>
    </row>
    <row r="2814" spans="2:3" x14ac:dyDescent="0.2">
      <c r="B2814"/>
      <c r="C2814"/>
    </row>
    <row r="2815" spans="2:3" x14ac:dyDescent="0.2">
      <c r="B2815"/>
      <c r="C2815"/>
    </row>
    <row r="2816" spans="2:3" x14ac:dyDescent="0.2">
      <c r="B2816"/>
      <c r="C2816"/>
    </row>
    <row r="2817" spans="2:3" x14ac:dyDescent="0.2">
      <c r="B2817"/>
      <c r="C2817"/>
    </row>
    <row r="2818" spans="2:3" x14ac:dyDescent="0.2">
      <c r="B2818"/>
      <c r="C2818"/>
    </row>
    <row r="2819" spans="2:3" x14ac:dyDescent="0.2">
      <c r="B2819"/>
      <c r="C2819"/>
    </row>
    <row r="2820" spans="2:3" x14ac:dyDescent="0.2">
      <c r="B2820"/>
      <c r="C2820"/>
    </row>
    <row r="2821" spans="2:3" x14ac:dyDescent="0.2">
      <c r="B2821"/>
      <c r="C2821"/>
    </row>
    <row r="2822" spans="2:3" x14ac:dyDescent="0.2">
      <c r="B2822"/>
      <c r="C2822"/>
    </row>
    <row r="2823" spans="2:3" x14ac:dyDescent="0.2">
      <c r="B2823"/>
      <c r="C2823"/>
    </row>
    <row r="2824" spans="2:3" x14ac:dyDescent="0.2">
      <c r="B2824"/>
      <c r="C2824"/>
    </row>
    <row r="2825" spans="2:3" x14ac:dyDescent="0.2">
      <c r="B2825"/>
      <c r="C2825"/>
    </row>
    <row r="2826" spans="2:3" x14ac:dyDescent="0.2">
      <c r="B2826"/>
      <c r="C2826"/>
    </row>
    <row r="2827" spans="2:3" x14ac:dyDescent="0.2">
      <c r="B2827"/>
      <c r="C2827"/>
    </row>
    <row r="2828" spans="2:3" x14ac:dyDescent="0.2">
      <c r="B2828"/>
      <c r="C2828"/>
    </row>
    <row r="2829" spans="2:3" x14ac:dyDescent="0.2">
      <c r="B2829"/>
      <c r="C2829"/>
    </row>
    <row r="2830" spans="2:3" x14ac:dyDescent="0.2">
      <c r="B2830"/>
      <c r="C2830"/>
    </row>
    <row r="2831" spans="2:3" x14ac:dyDescent="0.2">
      <c r="B2831"/>
      <c r="C2831"/>
    </row>
    <row r="2832" spans="2:3" x14ac:dyDescent="0.2">
      <c r="B2832"/>
      <c r="C2832"/>
    </row>
    <row r="2833" spans="2:3" x14ac:dyDescent="0.2">
      <c r="B2833"/>
      <c r="C2833"/>
    </row>
    <row r="2834" spans="2:3" x14ac:dyDescent="0.2">
      <c r="B2834"/>
      <c r="C2834"/>
    </row>
    <row r="2835" spans="2:3" x14ac:dyDescent="0.2">
      <c r="B2835"/>
      <c r="C2835"/>
    </row>
    <row r="2836" spans="2:3" x14ac:dyDescent="0.2">
      <c r="B2836"/>
      <c r="C2836"/>
    </row>
    <row r="2837" spans="2:3" x14ac:dyDescent="0.2">
      <c r="B2837"/>
      <c r="C2837"/>
    </row>
    <row r="2838" spans="2:3" x14ac:dyDescent="0.2">
      <c r="B2838"/>
      <c r="C2838"/>
    </row>
    <row r="2839" spans="2:3" x14ac:dyDescent="0.2">
      <c r="B2839"/>
      <c r="C2839"/>
    </row>
    <row r="2840" spans="2:3" x14ac:dyDescent="0.2">
      <c r="B2840"/>
      <c r="C2840"/>
    </row>
    <row r="2841" spans="2:3" x14ac:dyDescent="0.2">
      <c r="B2841"/>
      <c r="C2841"/>
    </row>
    <row r="2842" spans="2:3" x14ac:dyDescent="0.2">
      <c r="B2842"/>
      <c r="C2842"/>
    </row>
    <row r="2843" spans="2:3" x14ac:dyDescent="0.2">
      <c r="B2843"/>
      <c r="C2843"/>
    </row>
    <row r="2844" spans="2:3" x14ac:dyDescent="0.2">
      <c r="B2844"/>
      <c r="C2844"/>
    </row>
    <row r="2845" spans="2:3" x14ac:dyDescent="0.2">
      <c r="B2845"/>
      <c r="C2845"/>
    </row>
    <row r="2846" spans="2:3" x14ac:dyDescent="0.2">
      <c r="B2846"/>
      <c r="C2846"/>
    </row>
    <row r="2847" spans="2:3" x14ac:dyDescent="0.2">
      <c r="B2847"/>
      <c r="C2847"/>
    </row>
    <row r="2848" spans="2:3" x14ac:dyDescent="0.2">
      <c r="B2848"/>
      <c r="C2848"/>
    </row>
    <row r="2849" spans="2:3" x14ac:dyDescent="0.2">
      <c r="B2849"/>
      <c r="C2849"/>
    </row>
    <row r="2850" spans="2:3" x14ac:dyDescent="0.2">
      <c r="B2850"/>
      <c r="C2850"/>
    </row>
    <row r="2851" spans="2:3" x14ac:dyDescent="0.2">
      <c r="B2851"/>
      <c r="C2851"/>
    </row>
    <row r="2852" spans="2:3" x14ac:dyDescent="0.2">
      <c r="B2852"/>
      <c r="C2852"/>
    </row>
    <row r="2853" spans="2:3" x14ac:dyDescent="0.2">
      <c r="B2853"/>
      <c r="C2853"/>
    </row>
    <row r="2854" spans="2:3" x14ac:dyDescent="0.2">
      <c r="B2854"/>
      <c r="C2854"/>
    </row>
    <row r="2855" spans="2:3" x14ac:dyDescent="0.2">
      <c r="B2855"/>
      <c r="C2855"/>
    </row>
    <row r="2856" spans="2:3" x14ac:dyDescent="0.2">
      <c r="B2856"/>
      <c r="C2856"/>
    </row>
    <row r="2857" spans="2:3" x14ac:dyDescent="0.2">
      <c r="B2857"/>
      <c r="C2857"/>
    </row>
    <row r="2858" spans="2:3" x14ac:dyDescent="0.2">
      <c r="B2858"/>
      <c r="C2858"/>
    </row>
    <row r="2859" spans="2:3" x14ac:dyDescent="0.2">
      <c r="B2859"/>
      <c r="C2859"/>
    </row>
    <row r="2860" spans="2:3" x14ac:dyDescent="0.2">
      <c r="B2860"/>
      <c r="C2860"/>
    </row>
    <row r="2861" spans="2:3" x14ac:dyDescent="0.2">
      <c r="B2861"/>
      <c r="C2861"/>
    </row>
    <row r="2862" spans="2:3" x14ac:dyDescent="0.2">
      <c r="B2862"/>
      <c r="C2862"/>
    </row>
    <row r="2863" spans="2:3" x14ac:dyDescent="0.2">
      <c r="B2863"/>
      <c r="C2863"/>
    </row>
    <row r="2864" spans="2:3" x14ac:dyDescent="0.2">
      <c r="B2864"/>
      <c r="C2864"/>
    </row>
    <row r="2865" spans="2:3" x14ac:dyDescent="0.2">
      <c r="B2865"/>
      <c r="C2865"/>
    </row>
    <row r="2866" spans="2:3" x14ac:dyDescent="0.2">
      <c r="B2866"/>
      <c r="C2866"/>
    </row>
    <row r="2867" spans="2:3" x14ac:dyDescent="0.2">
      <c r="B2867"/>
      <c r="C2867"/>
    </row>
    <row r="2868" spans="2:3" x14ac:dyDescent="0.2">
      <c r="B2868"/>
      <c r="C2868"/>
    </row>
    <row r="2869" spans="2:3" x14ac:dyDescent="0.2">
      <c r="B2869"/>
      <c r="C2869"/>
    </row>
    <row r="2870" spans="2:3" x14ac:dyDescent="0.2">
      <c r="B2870"/>
      <c r="C2870"/>
    </row>
    <row r="2871" spans="2:3" x14ac:dyDescent="0.2">
      <c r="B2871"/>
      <c r="C2871"/>
    </row>
    <row r="2872" spans="2:3" x14ac:dyDescent="0.2">
      <c r="B2872"/>
      <c r="C2872"/>
    </row>
    <row r="2873" spans="2:3" x14ac:dyDescent="0.2">
      <c r="B2873"/>
      <c r="C2873"/>
    </row>
    <row r="2874" spans="2:3" x14ac:dyDescent="0.2">
      <c r="B2874"/>
      <c r="C2874"/>
    </row>
    <row r="2875" spans="2:3" x14ac:dyDescent="0.2">
      <c r="B2875"/>
      <c r="C2875"/>
    </row>
    <row r="2876" spans="2:3" x14ac:dyDescent="0.2">
      <c r="B2876"/>
      <c r="C2876"/>
    </row>
    <row r="2877" spans="2:3" x14ac:dyDescent="0.2">
      <c r="B2877"/>
      <c r="C2877"/>
    </row>
    <row r="2878" spans="2:3" x14ac:dyDescent="0.2">
      <c r="B2878"/>
      <c r="C2878"/>
    </row>
    <row r="2879" spans="2:3" x14ac:dyDescent="0.2">
      <c r="B2879"/>
      <c r="C2879"/>
    </row>
    <row r="2880" spans="2:3" x14ac:dyDescent="0.2">
      <c r="B2880"/>
      <c r="C2880"/>
    </row>
    <row r="2881" spans="2:3" x14ac:dyDescent="0.2">
      <c r="B2881"/>
      <c r="C2881"/>
    </row>
    <row r="2882" spans="2:3" x14ac:dyDescent="0.2">
      <c r="B2882"/>
      <c r="C2882"/>
    </row>
    <row r="2883" spans="2:3" x14ac:dyDescent="0.2">
      <c r="B2883"/>
      <c r="C2883"/>
    </row>
    <row r="2884" spans="2:3" x14ac:dyDescent="0.2">
      <c r="B2884"/>
      <c r="C2884"/>
    </row>
    <row r="2885" spans="2:3" x14ac:dyDescent="0.2">
      <c r="B2885"/>
      <c r="C2885"/>
    </row>
    <row r="2886" spans="2:3" x14ac:dyDescent="0.2">
      <c r="B2886"/>
      <c r="C2886"/>
    </row>
    <row r="2887" spans="2:3" x14ac:dyDescent="0.2">
      <c r="B2887"/>
      <c r="C2887"/>
    </row>
    <row r="2888" spans="2:3" x14ac:dyDescent="0.2">
      <c r="B2888"/>
      <c r="C2888"/>
    </row>
    <row r="2889" spans="2:3" x14ac:dyDescent="0.2">
      <c r="B2889"/>
      <c r="C2889"/>
    </row>
    <row r="2890" spans="2:3" x14ac:dyDescent="0.2">
      <c r="B2890"/>
      <c r="C2890"/>
    </row>
    <row r="2891" spans="2:3" x14ac:dyDescent="0.2">
      <c r="B2891"/>
      <c r="C2891"/>
    </row>
    <row r="2892" spans="2:3" x14ac:dyDescent="0.2">
      <c r="B2892"/>
      <c r="C2892"/>
    </row>
    <row r="2893" spans="2:3" x14ac:dyDescent="0.2">
      <c r="B2893"/>
      <c r="C2893"/>
    </row>
    <row r="2894" spans="2:3" x14ac:dyDescent="0.2">
      <c r="B2894"/>
      <c r="C2894"/>
    </row>
    <row r="2895" spans="2:3" x14ac:dyDescent="0.2">
      <c r="B2895"/>
      <c r="C2895"/>
    </row>
    <row r="2896" spans="2:3" x14ac:dyDescent="0.2">
      <c r="B2896"/>
      <c r="C2896"/>
    </row>
    <row r="2897" spans="2:3" x14ac:dyDescent="0.2">
      <c r="B2897"/>
      <c r="C2897"/>
    </row>
    <row r="2898" spans="2:3" x14ac:dyDescent="0.2">
      <c r="B2898"/>
      <c r="C2898"/>
    </row>
    <row r="2899" spans="2:3" x14ac:dyDescent="0.2">
      <c r="B2899"/>
      <c r="C2899"/>
    </row>
    <row r="2900" spans="2:3" x14ac:dyDescent="0.2">
      <c r="B2900"/>
      <c r="C2900"/>
    </row>
    <row r="2901" spans="2:3" x14ac:dyDescent="0.2">
      <c r="B2901"/>
      <c r="C2901"/>
    </row>
    <row r="2902" spans="2:3" x14ac:dyDescent="0.2">
      <c r="B2902"/>
      <c r="C2902"/>
    </row>
    <row r="2903" spans="2:3" x14ac:dyDescent="0.2">
      <c r="B2903"/>
      <c r="C2903"/>
    </row>
    <row r="2904" spans="2:3" x14ac:dyDescent="0.2">
      <c r="B2904"/>
      <c r="C2904"/>
    </row>
    <row r="2905" spans="2:3" x14ac:dyDescent="0.2">
      <c r="B2905"/>
      <c r="C2905"/>
    </row>
    <row r="2906" spans="2:3" x14ac:dyDescent="0.2">
      <c r="B2906"/>
      <c r="C2906"/>
    </row>
    <row r="2907" spans="2:3" x14ac:dyDescent="0.2">
      <c r="B2907"/>
      <c r="C2907"/>
    </row>
    <row r="2908" spans="2:3" x14ac:dyDescent="0.2">
      <c r="B2908"/>
      <c r="C2908"/>
    </row>
    <row r="2909" spans="2:3" x14ac:dyDescent="0.2">
      <c r="B2909"/>
      <c r="C2909"/>
    </row>
    <row r="2910" spans="2:3" x14ac:dyDescent="0.2">
      <c r="B2910"/>
      <c r="C2910"/>
    </row>
    <row r="2911" spans="2:3" x14ac:dyDescent="0.2">
      <c r="B2911"/>
      <c r="C2911"/>
    </row>
    <row r="2912" spans="2:3" x14ac:dyDescent="0.2">
      <c r="B2912"/>
      <c r="C2912"/>
    </row>
    <row r="2913" spans="2:3" x14ac:dyDescent="0.2">
      <c r="B2913"/>
      <c r="C2913"/>
    </row>
    <row r="2914" spans="2:3" x14ac:dyDescent="0.2">
      <c r="B2914"/>
      <c r="C2914"/>
    </row>
    <row r="2915" spans="2:3" x14ac:dyDescent="0.2">
      <c r="B2915"/>
      <c r="C2915"/>
    </row>
    <row r="2916" spans="2:3" x14ac:dyDescent="0.2">
      <c r="B2916"/>
      <c r="C2916"/>
    </row>
    <row r="2917" spans="2:3" x14ac:dyDescent="0.2">
      <c r="B2917"/>
      <c r="C2917"/>
    </row>
    <row r="2918" spans="2:3" x14ac:dyDescent="0.2">
      <c r="B2918"/>
      <c r="C2918"/>
    </row>
    <row r="2919" spans="2:3" x14ac:dyDescent="0.2">
      <c r="B2919"/>
      <c r="C2919"/>
    </row>
    <row r="2920" spans="2:3" x14ac:dyDescent="0.2">
      <c r="B2920"/>
      <c r="C2920"/>
    </row>
    <row r="2921" spans="2:3" x14ac:dyDescent="0.2">
      <c r="B2921"/>
      <c r="C2921"/>
    </row>
    <row r="2922" spans="2:3" x14ac:dyDescent="0.2">
      <c r="B2922"/>
      <c r="C2922"/>
    </row>
    <row r="2923" spans="2:3" x14ac:dyDescent="0.2">
      <c r="B2923"/>
      <c r="C2923"/>
    </row>
    <row r="2924" spans="2:3" x14ac:dyDescent="0.2">
      <c r="B2924"/>
      <c r="C2924"/>
    </row>
    <row r="2925" spans="2:3" x14ac:dyDescent="0.2">
      <c r="B2925"/>
      <c r="C2925"/>
    </row>
    <row r="2926" spans="2:3" x14ac:dyDescent="0.2">
      <c r="B2926"/>
      <c r="C2926"/>
    </row>
    <row r="2927" spans="2:3" x14ac:dyDescent="0.2">
      <c r="B2927"/>
      <c r="C2927"/>
    </row>
    <row r="2928" spans="2:3" x14ac:dyDescent="0.2">
      <c r="B2928"/>
      <c r="C2928"/>
    </row>
    <row r="2929" spans="2:3" x14ac:dyDescent="0.2">
      <c r="B2929"/>
      <c r="C2929"/>
    </row>
    <row r="2930" spans="2:3" x14ac:dyDescent="0.2">
      <c r="B2930"/>
      <c r="C2930"/>
    </row>
    <row r="2931" spans="2:3" x14ac:dyDescent="0.2">
      <c r="B2931"/>
      <c r="C2931"/>
    </row>
    <row r="2932" spans="2:3" x14ac:dyDescent="0.2">
      <c r="B2932"/>
      <c r="C2932"/>
    </row>
    <row r="2933" spans="2:3" x14ac:dyDescent="0.2">
      <c r="B2933"/>
      <c r="C2933"/>
    </row>
    <row r="2934" spans="2:3" x14ac:dyDescent="0.2">
      <c r="B2934"/>
      <c r="C2934"/>
    </row>
    <row r="2935" spans="2:3" x14ac:dyDescent="0.2">
      <c r="B2935"/>
      <c r="C2935"/>
    </row>
    <row r="2936" spans="2:3" x14ac:dyDescent="0.2">
      <c r="B2936"/>
      <c r="C2936"/>
    </row>
    <row r="2937" spans="2:3" x14ac:dyDescent="0.2">
      <c r="B2937"/>
      <c r="C2937"/>
    </row>
    <row r="2938" spans="2:3" x14ac:dyDescent="0.2">
      <c r="B2938"/>
      <c r="C2938"/>
    </row>
    <row r="2939" spans="2:3" x14ac:dyDescent="0.2">
      <c r="B2939"/>
      <c r="C2939"/>
    </row>
    <row r="2940" spans="2:3" x14ac:dyDescent="0.2">
      <c r="B2940"/>
      <c r="C2940"/>
    </row>
    <row r="2941" spans="2:3" x14ac:dyDescent="0.2">
      <c r="B2941"/>
      <c r="C2941"/>
    </row>
    <row r="2942" spans="2:3" x14ac:dyDescent="0.2">
      <c r="B2942"/>
      <c r="C2942"/>
    </row>
    <row r="2943" spans="2:3" x14ac:dyDescent="0.2">
      <c r="B2943"/>
      <c r="C2943"/>
    </row>
    <row r="2944" spans="2:3" x14ac:dyDescent="0.2">
      <c r="B2944"/>
      <c r="C2944"/>
    </row>
    <row r="2945" spans="2:3" x14ac:dyDescent="0.2">
      <c r="B2945"/>
      <c r="C2945"/>
    </row>
    <row r="2946" spans="2:3" x14ac:dyDescent="0.2">
      <c r="B2946"/>
      <c r="C2946"/>
    </row>
    <row r="2947" spans="2:3" x14ac:dyDescent="0.2">
      <c r="B2947"/>
      <c r="C2947"/>
    </row>
    <row r="2948" spans="2:3" x14ac:dyDescent="0.2">
      <c r="B2948"/>
      <c r="C2948"/>
    </row>
    <row r="2949" spans="2:3" x14ac:dyDescent="0.2">
      <c r="B2949"/>
      <c r="C2949"/>
    </row>
    <row r="2950" spans="2:3" x14ac:dyDescent="0.2">
      <c r="B2950"/>
      <c r="C2950"/>
    </row>
    <row r="2951" spans="2:3" x14ac:dyDescent="0.2">
      <c r="B2951"/>
      <c r="C2951"/>
    </row>
    <row r="2952" spans="2:3" x14ac:dyDescent="0.2">
      <c r="B2952"/>
      <c r="C2952"/>
    </row>
    <row r="2953" spans="2:3" x14ac:dyDescent="0.2">
      <c r="B2953"/>
      <c r="C2953"/>
    </row>
    <row r="2954" spans="2:3" x14ac:dyDescent="0.2">
      <c r="B2954"/>
      <c r="C2954"/>
    </row>
    <row r="2955" spans="2:3" x14ac:dyDescent="0.2">
      <c r="B2955"/>
      <c r="C2955"/>
    </row>
    <row r="2956" spans="2:3" x14ac:dyDescent="0.2">
      <c r="B2956"/>
      <c r="C2956"/>
    </row>
    <row r="2957" spans="2:3" x14ac:dyDescent="0.2">
      <c r="B2957"/>
      <c r="C2957"/>
    </row>
    <row r="2958" spans="2:3" x14ac:dyDescent="0.2">
      <c r="B2958"/>
      <c r="C2958"/>
    </row>
    <row r="2959" spans="2:3" x14ac:dyDescent="0.2">
      <c r="B2959"/>
      <c r="C2959"/>
    </row>
    <row r="2960" spans="2:3" x14ac:dyDescent="0.2">
      <c r="B2960"/>
      <c r="C2960"/>
    </row>
    <row r="2961" spans="2:3" x14ac:dyDescent="0.2">
      <c r="B2961"/>
      <c r="C2961"/>
    </row>
    <row r="2962" spans="2:3" x14ac:dyDescent="0.2">
      <c r="B2962"/>
      <c r="C2962"/>
    </row>
    <row r="2963" spans="2:3" x14ac:dyDescent="0.2">
      <c r="B2963"/>
      <c r="C2963"/>
    </row>
    <row r="2964" spans="2:3" x14ac:dyDescent="0.2">
      <c r="B2964"/>
      <c r="C2964"/>
    </row>
    <row r="2965" spans="2:3" x14ac:dyDescent="0.2">
      <c r="B2965"/>
      <c r="C2965"/>
    </row>
    <row r="2966" spans="2:3" x14ac:dyDescent="0.2">
      <c r="B2966"/>
      <c r="C2966"/>
    </row>
    <row r="2967" spans="2:3" x14ac:dyDescent="0.2">
      <c r="B2967"/>
      <c r="C2967"/>
    </row>
    <row r="2968" spans="2:3" x14ac:dyDescent="0.2">
      <c r="B2968"/>
      <c r="C2968"/>
    </row>
    <row r="2969" spans="2:3" x14ac:dyDescent="0.2">
      <c r="B2969"/>
      <c r="C2969"/>
    </row>
    <row r="2970" spans="2:3" x14ac:dyDescent="0.2">
      <c r="B2970"/>
      <c r="C2970"/>
    </row>
    <row r="2971" spans="2:3" x14ac:dyDescent="0.2">
      <c r="B2971"/>
      <c r="C2971"/>
    </row>
    <row r="2972" spans="2:3" x14ac:dyDescent="0.2">
      <c r="B2972"/>
      <c r="C2972"/>
    </row>
    <row r="2973" spans="2:3" x14ac:dyDescent="0.2">
      <c r="B2973"/>
      <c r="C2973"/>
    </row>
    <row r="2974" spans="2:3" x14ac:dyDescent="0.2">
      <c r="B2974"/>
      <c r="C2974"/>
    </row>
    <row r="2975" spans="2:3" x14ac:dyDescent="0.2">
      <c r="B2975"/>
      <c r="C2975"/>
    </row>
    <row r="2976" spans="2:3" x14ac:dyDescent="0.2">
      <c r="B2976"/>
      <c r="C2976"/>
    </row>
    <row r="2977" spans="2:3" x14ac:dyDescent="0.2">
      <c r="B2977"/>
      <c r="C2977"/>
    </row>
    <row r="2978" spans="2:3" x14ac:dyDescent="0.2">
      <c r="B2978"/>
      <c r="C2978"/>
    </row>
    <row r="2979" spans="2:3" x14ac:dyDescent="0.2">
      <c r="B2979"/>
      <c r="C2979"/>
    </row>
    <row r="2980" spans="2:3" x14ac:dyDescent="0.2">
      <c r="B2980"/>
      <c r="C2980"/>
    </row>
    <row r="2981" spans="2:3" x14ac:dyDescent="0.2">
      <c r="B2981"/>
      <c r="C2981"/>
    </row>
    <row r="2982" spans="2:3" x14ac:dyDescent="0.2">
      <c r="B2982"/>
      <c r="C2982"/>
    </row>
    <row r="2983" spans="2:3" x14ac:dyDescent="0.2">
      <c r="B2983"/>
      <c r="C2983"/>
    </row>
    <row r="2984" spans="2:3" x14ac:dyDescent="0.2">
      <c r="B2984"/>
      <c r="C2984"/>
    </row>
    <row r="2985" spans="2:3" x14ac:dyDescent="0.2">
      <c r="B2985"/>
      <c r="C2985"/>
    </row>
    <row r="2986" spans="2:3" x14ac:dyDescent="0.2">
      <c r="B2986"/>
      <c r="C2986"/>
    </row>
    <row r="2987" spans="2:3" x14ac:dyDescent="0.2">
      <c r="B2987"/>
      <c r="C2987"/>
    </row>
    <row r="2988" spans="2:3" x14ac:dyDescent="0.2">
      <c r="B2988"/>
      <c r="C2988"/>
    </row>
    <row r="2989" spans="2:3" x14ac:dyDescent="0.2">
      <c r="B2989"/>
      <c r="C2989"/>
    </row>
    <row r="2990" spans="2:3" x14ac:dyDescent="0.2">
      <c r="B2990"/>
      <c r="C2990"/>
    </row>
    <row r="2991" spans="2:3" x14ac:dyDescent="0.2">
      <c r="B2991"/>
      <c r="C2991"/>
    </row>
    <row r="2992" spans="2:3" x14ac:dyDescent="0.2">
      <c r="B2992"/>
      <c r="C2992"/>
    </row>
    <row r="2993" spans="2:3" x14ac:dyDescent="0.2">
      <c r="B2993"/>
      <c r="C2993"/>
    </row>
    <row r="2994" spans="2:3" x14ac:dyDescent="0.2">
      <c r="B2994"/>
      <c r="C2994"/>
    </row>
    <row r="2995" spans="2:3" x14ac:dyDescent="0.2">
      <c r="B2995"/>
      <c r="C2995"/>
    </row>
    <row r="2996" spans="2:3" x14ac:dyDescent="0.2">
      <c r="B2996"/>
      <c r="C2996"/>
    </row>
    <row r="2997" spans="2:3" x14ac:dyDescent="0.2">
      <c r="B2997"/>
      <c r="C2997"/>
    </row>
    <row r="2998" spans="2:3" x14ac:dyDescent="0.2">
      <c r="B2998"/>
      <c r="C2998"/>
    </row>
    <row r="2999" spans="2:3" x14ac:dyDescent="0.2">
      <c r="B2999"/>
      <c r="C2999"/>
    </row>
    <row r="3000" spans="2:3" x14ac:dyDescent="0.2">
      <c r="B3000"/>
      <c r="C3000"/>
    </row>
    <row r="3001" spans="2:3" x14ac:dyDescent="0.2">
      <c r="B3001"/>
      <c r="C3001"/>
    </row>
    <row r="3002" spans="2:3" x14ac:dyDescent="0.2">
      <c r="B3002"/>
      <c r="C3002"/>
    </row>
    <row r="3003" spans="2:3" x14ac:dyDescent="0.2">
      <c r="B3003"/>
      <c r="C3003"/>
    </row>
    <row r="3004" spans="2:3" x14ac:dyDescent="0.2">
      <c r="B3004"/>
      <c r="C3004"/>
    </row>
    <row r="3005" spans="2:3" x14ac:dyDescent="0.2">
      <c r="B3005"/>
      <c r="C3005"/>
    </row>
    <row r="3006" spans="2:3" x14ac:dyDescent="0.2">
      <c r="B3006"/>
      <c r="C3006"/>
    </row>
    <row r="3007" spans="2:3" x14ac:dyDescent="0.2">
      <c r="B3007"/>
      <c r="C3007"/>
    </row>
    <row r="3008" spans="2:3" x14ac:dyDescent="0.2">
      <c r="B3008"/>
      <c r="C3008"/>
    </row>
    <row r="3009" spans="2:3" x14ac:dyDescent="0.2">
      <c r="B3009"/>
      <c r="C3009"/>
    </row>
    <row r="3010" spans="2:3" x14ac:dyDescent="0.2">
      <c r="B3010"/>
      <c r="C3010"/>
    </row>
    <row r="3011" spans="2:3" x14ac:dyDescent="0.2">
      <c r="B3011"/>
      <c r="C3011"/>
    </row>
    <row r="3012" spans="2:3" x14ac:dyDescent="0.2">
      <c r="B3012"/>
      <c r="C3012"/>
    </row>
    <row r="3013" spans="2:3" x14ac:dyDescent="0.2">
      <c r="B3013"/>
      <c r="C3013"/>
    </row>
    <row r="3014" spans="2:3" x14ac:dyDescent="0.2">
      <c r="B3014"/>
      <c r="C3014"/>
    </row>
    <row r="3015" spans="2:3" x14ac:dyDescent="0.2">
      <c r="B3015"/>
      <c r="C3015"/>
    </row>
    <row r="3016" spans="2:3" x14ac:dyDescent="0.2">
      <c r="B3016"/>
      <c r="C3016"/>
    </row>
    <row r="3017" spans="2:3" x14ac:dyDescent="0.2">
      <c r="B3017"/>
      <c r="C3017"/>
    </row>
    <row r="3018" spans="2:3" x14ac:dyDescent="0.2">
      <c r="B3018"/>
      <c r="C3018"/>
    </row>
    <row r="3019" spans="2:3" x14ac:dyDescent="0.2">
      <c r="B3019"/>
      <c r="C3019"/>
    </row>
    <row r="3020" spans="2:3" x14ac:dyDescent="0.2">
      <c r="B3020"/>
      <c r="C3020"/>
    </row>
    <row r="3021" spans="2:3" x14ac:dyDescent="0.2">
      <c r="B3021"/>
      <c r="C3021"/>
    </row>
    <row r="3022" spans="2:3" x14ac:dyDescent="0.2">
      <c r="B3022"/>
      <c r="C3022"/>
    </row>
    <row r="3023" spans="2:3" x14ac:dyDescent="0.2">
      <c r="B3023"/>
      <c r="C3023"/>
    </row>
    <row r="3024" spans="2:3" x14ac:dyDescent="0.2">
      <c r="B3024"/>
      <c r="C3024"/>
    </row>
    <row r="3025" spans="2:3" x14ac:dyDescent="0.2">
      <c r="B3025"/>
      <c r="C3025"/>
    </row>
    <row r="3026" spans="2:3" x14ac:dyDescent="0.2">
      <c r="B3026"/>
      <c r="C3026"/>
    </row>
    <row r="3027" spans="2:3" x14ac:dyDescent="0.2">
      <c r="B3027"/>
      <c r="C3027"/>
    </row>
    <row r="3028" spans="2:3" x14ac:dyDescent="0.2">
      <c r="B3028"/>
      <c r="C3028"/>
    </row>
    <row r="3029" spans="2:3" x14ac:dyDescent="0.2">
      <c r="B3029"/>
      <c r="C3029"/>
    </row>
    <row r="3030" spans="2:3" x14ac:dyDescent="0.2">
      <c r="B3030"/>
      <c r="C3030"/>
    </row>
    <row r="3031" spans="2:3" x14ac:dyDescent="0.2">
      <c r="B3031"/>
      <c r="C3031"/>
    </row>
    <row r="3032" spans="2:3" x14ac:dyDescent="0.2">
      <c r="B3032"/>
      <c r="C3032"/>
    </row>
    <row r="3033" spans="2:3" x14ac:dyDescent="0.2">
      <c r="B3033"/>
      <c r="C3033"/>
    </row>
    <row r="3034" spans="2:3" x14ac:dyDescent="0.2">
      <c r="B3034"/>
      <c r="C3034"/>
    </row>
    <row r="3035" spans="2:3" x14ac:dyDescent="0.2">
      <c r="B3035"/>
      <c r="C3035"/>
    </row>
    <row r="3036" spans="2:3" x14ac:dyDescent="0.2">
      <c r="B3036"/>
      <c r="C3036"/>
    </row>
    <row r="3037" spans="2:3" x14ac:dyDescent="0.2">
      <c r="B3037"/>
      <c r="C3037"/>
    </row>
    <row r="3038" spans="2:3" x14ac:dyDescent="0.2">
      <c r="B3038"/>
      <c r="C3038"/>
    </row>
    <row r="3039" spans="2:3" x14ac:dyDescent="0.2">
      <c r="B3039"/>
      <c r="C3039"/>
    </row>
    <row r="3040" spans="2:3" x14ac:dyDescent="0.2">
      <c r="B3040"/>
      <c r="C3040"/>
    </row>
    <row r="3041" spans="2:3" x14ac:dyDescent="0.2">
      <c r="B3041"/>
      <c r="C3041"/>
    </row>
    <row r="3042" spans="2:3" x14ac:dyDescent="0.2">
      <c r="B3042"/>
      <c r="C3042"/>
    </row>
    <row r="3043" spans="2:3" x14ac:dyDescent="0.2">
      <c r="B3043"/>
      <c r="C3043"/>
    </row>
    <row r="3044" spans="2:3" x14ac:dyDescent="0.2">
      <c r="B3044"/>
      <c r="C3044"/>
    </row>
    <row r="3045" spans="2:3" x14ac:dyDescent="0.2">
      <c r="B3045"/>
      <c r="C3045"/>
    </row>
    <row r="3046" spans="2:3" x14ac:dyDescent="0.2">
      <c r="B3046"/>
      <c r="C3046"/>
    </row>
    <row r="3047" spans="2:3" x14ac:dyDescent="0.2">
      <c r="B3047"/>
      <c r="C3047"/>
    </row>
    <row r="3048" spans="2:3" x14ac:dyDescent="0.2">
      <c r="B3048"/>
      <c r="C3048"/>
    </row>
    <row r="3049" spans="2:3" x14ac:dyDescent="0.2">
      <c r="B3049"/>
      <c r="C3049"/>
    </row>
    <row r="3050" spans="2:3" x14ac:dyDescent="0.2">
      <c r="B3050"/>
      <c r="C3050"/>
    </row>
    <row r="3051" spans="2:3" x14ac:dyDescent="0.2">
      <c r="B3051"/>
      <c r="C3051"/>
    </row>
    <row r="3052" spans="2:3" x14ac:dyDescent="0.2">
      <c r="B3052"/>
      <c r="C3052"/>
    </row>
    <row r="3053" spans="2:3" x14ac:dyDescent="0.2">
      <c r="B3053"/>
      <c r="C3053"/>
    </row>
    <row r="3054" spans="2:3" x14ac:dyDescent="0.2">
      <c r="B3054"/>
      <c r="C3054"/>
    </row>
    <row r="3055" spans="2:3" x14ac:dyDescent="0.2">
      <c r="B3055"/>
      <c r="C3055"/>
    </row>
    <row r="3056" spans="2:3" x14ac:dyDescent="0.2">
      <c r="B3056"/>
      <c r="C3056"/>
    </row>
    <row r="3057" spans="2:3" x14ac:dyDescent="0.2">
      <c r="B3057"/>
      <c r="C3057"/>
    </row>
    <row r="3058" spans="2:3" x14ac:dyDescent="0.2">
      <c r="B3058"/>
      <c r="C3058"/>
    </row>
    <row r="3059" spans="2:3" x14ac:dyDescent="0.2">
      <c r="B3059"/>
      <c r="C3059"/>
    </row>
    <row r="3060" spans="2:3" x14ac:dyDescent="0.2">
      <c r="B3060"/>
      <c r="C3060"/>
    </row>
    <row r="3061" spans="2:3" x14ac:dyDescent="0.2">
      <c r="B3061"/>
      <c r="C3061"/>
    </row>
    <row r="3062" spans="2:3" x14ac:dyDescent="0.2">
      <c r="B3062"/>
      <c r="C3062"/>
    </row>
    <row r="3063" spans="2:3" x14ac:dyDescent="0.2">
      <c r="B3063"/>
      <c r="C3063"/>
    </row>
    <row r="3064" spans="2:3" x14ac:dyDescent="0.2">
      <c r="B3064"/>
      <c r="C3064"/>
    </row>
    <row r="3065" spans="2:3" x14ac:dyDescent="0.2">
      <c r="B3065"/>
      <c r="C3065"/>
    </row>
    <row r="3066" spans="2:3" x14ac:dyDescent="0.2">
      <c r="B3066"/>
      <c r="C3066"/>
    </row>
    <row r="3067" spans="2:3" x14ac:dyDescent="0.2">
      <c r="B3067"/>
      <c r="C3067"/>
    </row>
    <row r="3068" spans="2:3" x14ac:dyDescent="0.2">
      <c r="B3068"/>
      <c r="C3068"/>
    </row>
    <row r="3069" spans="2:3" x14ac:dyDescent="0.2">
      <c r="B3069"/>
      <c r="C3069"/>
    </row>
    <row r="3070" spans="2:3" x14ac:dyDescent="0.2">
      <c r="B3070"/>
      <c r="C3070"/>
    </row>
    <row r="3071" spans="2:3" x14ac:dyDescent="0.2">
      <c r="B3071"/>
      <c r="C3071"/>
    </row>
    <row r="3072" spans="2:3" x14ac:dyDescent="0.2">
      <c r="B3072"/>
      <c r="C3072"/>
    </row>
    <row r="3073" spans="2:3" x14ac:dyDescent="0.2">
      <c r="B3073"/>
      <c r="C3073"/>
    </row>
    <row r="3074" spans="2:3" x14ac:dyDescent="0.2">
      <c r="B3074"/>
      <c r="C3074"/>
    </row>
    <row r="3075" spans="2:3" x14ac:dyDescent="0.2">
      <c r="B3075"/>
      <c r="C3075"/>
    </row>
    <row r="3076" spans="2:3" x14ac:dyDescent="0.2">
      <c r="B3076"/>
      <c r="C3076"/>
    </row>
    <row r="3077" spans="2:3" x14ac:dyDescent="0.2">
      <c r="B3077"/>
      <c r="C3077"/>
    </row>
    <row r="3078" spans="2:3" x14ac:dyDescent="0.2">
      <c r="B3078"/>
      <c r="C3078"/>
    </row>
    <row r="3079" spans="2:3" x14ac:dyDescent="0.2">
      <c r="B3079"/>
      <c r="C3079"/>
    </row>
    <row r="3080" spans="2:3" x14ac:dyDescent="0.2">
      <c r="B3080"/>
      <c r="C3080"/>
    </row>
    <row r="3081" spans="2:3" x14ac:dyDescent="0.2">
      <c r="B3081"/>
      <c r="C3081"/>
    </row>
    <row r="3082" spans="2:3" x14ac:dyDescent="0.2">
      <c r="B3082"/>
      <c r="C3082"/>
    </row>
    <row r="3083" spans="2:3" x14ac:dyDescent="0.2">
      <c r="B3083"/>
      <c r="C3083"/>
    </row>
    <row r="3084" spans="2:3" x14ac:dyDescent="0.2">
      <c r="B3084"/>
      <c r="C3084"/>
    </row>
    <row r="3085" spans="2:3" x14ac:dyDescent="0.2">
      <c r="B3085"/>
      <c r="C3085"/>
    </row>
    <row r="3086" spans="2:3" x14ac:dyDescent="0.2">
      <c r="B3086"/>
      <c r="C3086"/>
    </row>
    <row r="3087" spans="2:3" x14ac:dyDescent="0.2">
      <c r="B3087"/>
      <c r="C3087"/>
    </row>
    <row r="3088" spans="2:3" x14ac:dyDescent="0.2">
      <c r="B3088"/>
      <c r="C3088"/>
    </row>
    <row r="3089" spans="2:3" x14ac:dyDescent="0.2">
      <c r="B3089"/>
      <c r="C3089"/>
    </row>
    <row r="3090" spans="2:3" x14ac:dyDescent="0.2">
      <c r="B3090"/>
      <c r="C3090"/>
    </row>
    <row r="3091" spans="2:3" x14ac:dyDescent="0.2">
      <c r="B3091"/>
      <c r="C3091"/>
    </row>
    <row r="3092" spans="2:3" x14ac:dyDescent="0.2">
      <c r="B3092"/>
      <c r="C3092"/>
    </row>
    <row r="3093" spans="2:3" x14ac:dyDescent="0.2">
      <c r="B3093"/>
      <c r="C3093"/>
    </row>
    <row r="3094" spans="2:3" x14ac:dyDescent="0.2">
      <c r="B3094"/>
      <c r="C3094"/>
    </row>
    <row r="3095" spans="2:3" x14ac:dyDescent="0.2">
      <c r="B3095"/>
      <c r="C3095"/>
    </row>
    <row r="3096" spans="2:3" x14ac:dyDescent="0.2">
      <c r="B3096"/>
      <c r="C3096"/>
    </row>
    <row r="3097" spans="2:3" x14ac:dyDescent="0.2">
      <c r="B3097"/>
      <c r="C3097"/>
    </row>
    <row r="3098" spans="2:3" x14ac:dyDescent="0.2">
      <c r="B3098"/>
      <c r="C3098"/>
    </row>
    <row r="3099" spans="2:3" x14ac:dyDescent="0.2">
      <c r="B3099"/>
      <c r="C3099"/>
    </row>
    <row r="3100" spans="2:3" x14ac:dyDescent="0.2">
      <c r="B3100"/>
      <c r="C3100"/>
    </row>
    <row r="3101" spans="2:3" x14ac:dyDescent="0.2">
      <c r="B3101"/>
      <c r="C3101"/>
    </row>
    <row r="3102" spans="2:3" x14ac:dyDescent="0.2">
      <c r="B3102"/>
      <c r="C3102"/>
    </row>
    <row r="3103" spans="2:3" x14ac:dyDescent="0.2">
      <c r="B3103"/>
      <c r="C3103"/>
    </row>
    <row r="3104" spans="2:3" x14ac:dyDescent="0.2">
      <c r="B3104"/>
      <c r="C3104"/>
    </row>
    <row r="3105" spans="2:3" x14ac:dyDescent="0.2">
      <c r="B3105"/>
      <c r="C3105"/>
    </row>
    <row r="3106" spans="2:3" x14ac:dyDescent="0.2">
      <c r="B3106"/>
      <c r="C3106"/>
    </row>
    <row r="3107" spans="2:3" x14ac:dyDescent="0.2">
      <c r="B3107"/>
      <c r="C3107"/>
    </row>
    <row r="3108" spans="2:3" x14ac:dyDescent="0.2">
      <c r="B3108"/>
      <c r="C3108"/>
    </row>
    <row r="3109" spans="2:3" x14ac:dyDescent="0.2">
      <c r="B3109"/>
      <c r="C3109"/>
    </row>
    <row r="3110" spans="2:3" x14ac:dyDescent="0.2">
      <c r="B3110"/>
      <c r="C3110"/>
    </row>
    <row r="3111" spans="2:3" x14ac:dyDescent="0.2">
      <c r="B3111"/>
      <c r="C3111"/>
    </row>
    <row r="3112" spans="2:3" x14ac:dyDescent="0.2">
      <c r="B3112"/>
      <c r="C3112"/>
    </row>
    <row r="3113" spans="2:3" x14ac:dyDescent="0.2">
      <c r="B3113"/>
      <c r="C3113"/>
    </row>
    <row r="3114" spans="2:3" x14ac:dyDescent="0.2">
      <c r="B3114"/>
      <c r="C3114"/>
    </row>
    <row r="3115" spans="2:3" x14ac:dyDescent="0.2">
      <c r="B3115"/>
      <c r="C3115"/>
    </row>
    <row r="3116" spans="2:3" x14ac:dyDescent="0.2">
      <c r="B3116"/>
      <c r="C3116"/>
    </row>
    <row r="3117" spans="2:3" x14ac:dyDescent="0.2">
      <c r="B3117"/>
      <c r="C3117"/>
    </row>
    <row r="3118" spans="2:3" x14ac:dyDescent="0.2">
      <c r="B3118"/>
      <c r="C3118"/>
    </row>
    <row r="3119" spans="2:3" x14ac:dyDescent="0.2">
      <c r="B3119"/>
      <c r="C3119"/>
    </row>
    <row r="3120" spans="2:3" x14ac:dyDescent="0.2">
      <c r="B3120"/>
      <c r="C3120"/>
    </row>
    <row r="3121" spans="2:3" x14ac:dyDescent="0.2">
      <c r="B3121"/>
      <c r="C3121"/>
    </row>
    <row r="3122" spans="2:3" x14ac:dyDescent="0.2">
      <c r="B3122"/>
      <c r="C3122"/>
    </row>
    <row r="3123" spans="2:3" x14ac:dyDescent="0.2">
      <c r="B3123"/>
      <c r="C3123"/>
    </row>
    <row r="3124" spans="2:3" x14ac:dyDescent="0.2">
      <c r="B3124"/>
      <c r="C3124"/>
    </row>
    <row r="3125" spans="2:3" x14ac:dyDescent="0.2">
      <c r="B3125"/>
      <c r="C3125"/>
    </row>
    <row r="3126" spans="2:3" x14ac:dyDescent="0.2">
      <c r="B3126"/>
      <c r="C3126"/>
    </row>
    <row r="3127" spans="2:3" x14ac:dyDescent="0.2">
      <c r="B3127"/>
      <c r="C3127"/>
    </row>
    <row r="3128" spans="2:3" x14ac:dyDescent="0.2">
      <c r="B3128"/>
      <c r="C3128"/>
    </row>
    <row r="3129" spans="2:3" x14ac:dyDescent="0.2">
      <c r="B3129"/>
      <c r="C3129"/>
    </row>
    <row r="3130" spans="2:3" x14ac:dyDescent="0.2">
      <c r="B3130"/>
      <c r="C3130"/>
    </row>
    <row r="3131" spans="2:3" x14ac:dyDescent="0.2">
      <c r="B3131"/>
      <c r="C3131"/>
    </row>
    <row r="3132" spans="2:3" x14ac:dyDescent="0.2">
      <c r="B3132"/>
      <c r="C3132"/>
    </row>
    <row r="3133" spans="2:3" x14ac:dyDescent="0.2">
      <c r="B3133"/>
      <c r="C3133"/>
    </row>
    <row r="3134" spans="2:3" x14ac:dyDescent="0.2">
      <c r="B3134"/>
      <c r="C3134"/>
    </row>
    <row r="3135" spans="2:3" x14ac:dyDescent="0.2">
      <c r="B3135"/>
      <c r="C3135"/>
    </row>
    <row r="3136" spans="2:3" x14ac:dyDescent="0.2">
      <c r="B3136"/>
      <c r="C3136"/>
    </row>
    <row r="3137" spans="2:3" x14ac:dyDescent="0.2">
      <c r="B3137"/>
      <c r="C3137"/>
    </row>
    <row r="3138" spans="2:3" x14ac:dyDescent="0.2">
      <c r="B3138"/>
      <c r="C3138"/>
    </row>
    <row r="3139" spans="2:3" x14ac:dyDescent="0.2">
      <c r="B3139"/>
      <c r="C3139"/>
    </row>
    <row r="3140" spans="2:3" x14ac:dyDescent="0.2">
      <c r="B3140"/>
      <c r="C3140"/>
    </row>
    <row r="3141" spans="2:3" x14ac:dyDescent="0.2">
      <c r="B3141"/>
      <c r="C3141"/>
    </row>
    <row r="3142" spans="2:3" x14ac:dyDescent="0.2">
      <c r="B3142"/>
      <c r="C3142"/>
    </row>
    <row r="3143" spans="2:3" x14ac:dyDescent="0.2">
      <c r="B3143"/>
      <c r="C3143"/>
    </row>
    <row r="3144" spans="2:3" x14ac:dyDescent="0.2">
      <c r="B3144"/>
      <c r="C3144"/>
    </row>
    <row r="3145" spans="2:3" x14ac:dyDescent="0.2">
      <c r="B3145"/>
      <c r="C3145"/>
    </row>
    <row r="3146" spans="2:3" x14ac:dyDescent="0.2">
      <c r="B3146"/>
      <c r="C3146"/>
    </row>
    <row r="3147" spans="2:3" x14ac:dyDescent="0.2">
      <c r="B3147"/>
      <c r="C3147"/>
    </row>
    <row r="3148" spans="2:3" x14ac:dyDescent="0.2">
      <c r="B3148"/>
      <c r="C3148"/>
    </row>
    <row r="3149" spans="2:3" x14ac:dyDescent="0.2">
      <c r="B3149"/>
      <c r="C3149"/>
    </row>
    <row r="3150" spans="2:3" x14ac:dyDescent="0.2">
      <c r="B3150"/>
      <c r="C3150"/>
    </row>
    <row r="3151" spans="2:3" x14ac:dyDescent="0.2">
      <c r="B3151"/>
      <c r="C3151"/>
    </row>
    <row r="3152" spans="2:3" x14ac:dyDescent="0.2">
      <c r="B3152"/>
      <c r="C3152"/>
    </row>
    <row r="3153" spans="2:3" x14ac:dyDescent="0.2">
      <c r="B3153"/>
      <c r="C3153"/>
    </row>
    <row r="3154" spans="2:3" x14ac:dyDescent="0.2">
      <c r="B3154"/>
      <c r="C3154"/>
    </row>
    <row r="3155" spans="2:3" x14ac:dyDescent="0.2">
      <c r="B3155"/>
      <c r="C3155"/>
    </row>
    <row r="3156" spans="2:3" x14ac:dyDescent="0.2">
      <c r="B3156"/>
      <c r="C3156"/>
    </row>
    <row r="3157" spans="2:3" x14ac:dyDescent="0.2">
      <c r="B3157"/>
      <c r="C3157"/>
    </row>
    <row r="3158" spans="2:3" x14ac:dyDescent="0.2">
      <c r="B3158"/>
      <c r="C3158"/>
    </row>
    <row r="3159" spans="2:3" x14ac:dyDescent="0.2">
      <c r="B3159"/>
      <c r="C3159"/>
    </row>
    <row r="3160" spans="2:3" x14ac:dyDescent="0.2">
      <c r="B3160"/>
      <c r="C3160"/>
    </row>
    <row r="3161" spans="2:3" x14ac:dyDescent="0.2">
      <c r="B3161"/>
      <c r="C3161"/>
    </row>
    <row r="3162" spans="2:3" x14ac:dyDescent="0.2">
      <c r="B3162"/>
      <c r="C3162"/>
    </row>
    <row r="3163" spans="2:3" x14ac:dyDescent="0.2">
      <c r="B3163"/>
      <c r="C3163"/>
    </row>
    <row r="3164" spans="2:3" x14ac:dyDescent="0.2">
      <c r="B3164"/>
      <c r="C3164"/>
    </row>
    <row r="3165" spans="2:3" x14ac:dyDescent="0.2">
      <c r="B3165"/>
      <c r="C3165"/>
    </row>
    <row r="3166" spans="2:3" x14ac:dyDescent="0.2">
      <c r="B3166"/>
      <c r="C3166"/>
    </row>
    <row r="3167" spans="2:3" x14ac:dyDescent="0.2">
      <c r="B3167"/>
      <c r="C3167"/>
    </row>
    <row r="3168" spans="2:3" x14ac:dyDescent="0.2">
      <c r="B3168"/>
      <c r="C3168"/>
    </row>
    <row r="3169" spans="2:3" x14ac:dyDescent="0.2">
      <c r="B3169"/>
      <c r="C3169"/>
    </row>
    <row r="3170" spans="2:3" x14ac:dyDescent="0.2">
      <c r="B3170"/>
      <c r="C3170"/>
    </row>
    <row r="3171" spans="2:3" x14ac:dyDescent="0.2">
      <c r="B3171"/>
      <c r="C3171"/>
    </row>
    <row r="3172" spans="2:3" x14ac:dyDescent="0.2">
      <c r="B3172"/>
      <c r="C3172"/>
    </row>
    <row r="3173" spans="2:3" x14ac:dyDescent="0.2">
      <c r="B3173"/>
      <c r="C3173"/>
    </row>
    <row r="3174" spans="2:3" x14ac:dyDescent="0.2">
      <c r="B3174"/>
      <c r="C3174"/>
    </row>
    <row r="3175" spans="2:3" x14ac:dyDescent="0.2">
      <c r="B3175"/>
      <c r="C3175"/>
    </row>
    <row r="3176" spans="2:3" x14ac:dyDescent="0.2">
      <c r="B3176"/>
      <c r="C3176"/>
    </row>
    <row r="3177" spans="2:3" x14ac:dyDescent="0.2">
      <c r="B3177"/>
      <c r="C3177"/>
    </row>
    <row r="3178" spans="2:3" x14ac:dyDescent="0.2">
      <c r="B3178"/>
      <c r="C3178"/>
    </row>
    <row r="3179" spans="2:3" x14ac:dyDescent="0.2">
      <c r="B3179"/>
      <c r="C3179"/>
    </row>
    <row r="3180" spans="2:3" x14ac:dyDescent="0.2">
      <c r="B3180"/>
      <c r="C3180"/>
    </row>
    <row r="3181" spans="2:3" x14ac:dyDescent="0.2">
      <c r="B3181"/>
      <c r="C3181"/>
    </row>
    <row r="3182" spans="2:3" x14ac:dyDescent="0.2">
      <c r="B3182"/>
      <c r="C3182"/>
    </row>
    <row r="3183" spans="2:3" x14ac:dyDescent="0.2">
      <c r="B3183"/>
      <c r="C3183"/>
    </row>
    <row r="3184" spans="2:3" x14ac:dyDescent="0.2">
      <c r="B3184"/>
      <c r="C3184"/>
    </row>
    <row r="3185" spans="2:3" x14ac:dyDescent="0.2">
      <c r="B3185"/>
      <c r="C3185"/>
    </row>
    <row r="3186" spans="2:3" x14ac:dyDescent="0.2">
      <c r="B3186"/>
      <c r="C3186"/>
    </row>
    <row r="3187" spans="2:3" x14ac:dyDescent="0.2">
      <c r="B3187"/>
      <c r="C3187"/>
    </row>
    <row r="3188" spans="2:3" x14ac:dyDescent="0.2">
      <c r="B3188"/>
      <c r="C3188"/>
    </row>
    <row r="3189" spans="2:3" x14ac:dyDescent="0.2">
      <c r="B3189"/>
      <c r="C3189"/>
    </row>
    <row r="3190" spans="2:3" x14ac:dyDescent="0.2">
      <c r="B3190"/>
      <c r="C3190"/>
    </row>
    <row r="3191" spans="2:3" x14ac:dyDescent="0.2">
      <c r="B3191"/>
      <c r="C3191"/>
    </row>
    <row r="3192" spans="2:3" x14ac:dyDescent="0.2">
      <c r="B3192"/>
      <c r="C3192"/>
    </row>
    <row r="3193" spans="2:3" x14ac:dyDescent="0.2">
      <c r="B3193"/>
      <c r="C3193"/>
    </row>
    <row r="3194" spans="2:3" x14ac:dyDescent="0.2">
      <c r="B3194"/>
      <c r="C3194"/>
    </row>
    <row r="3195" spans="2:3" x14ac:dyDescent="0.2">
      <c r="B3195"/>
      <c r="C3195"/>
    </row>
    <row r="3196" spans="2:3" x14ac:dyDescent="0.2">
      <c r="B3196"/>
      <c r="C3196"/>
    </row>
    <row r="3197" spans="2:3" x14ac:dyDescent="0.2">
      <c r="B3197"/>
      <c r="C3197"/>
    </row>
    <row r="3198" spans="2:3" x14ac:dyDescent="0.2">
      <c r="B3198"/>
      <c r="C3198"/>
    </row>
    <row r="3199" spans="2:3" x14ac:dyDescent="0.2">
      <c r="B3199"/>
      <c r="C3199"/>
    </row>
    <row r="3200" spans="2:3" x14ac:dyDescent="0.2">
      <c r="B3200"/>
      <c r="C3200"/>
    </row>
    <row r="3201" spans="2:3" x14ac:dyDescent="0.2">
      <c r="B3201"/>
      <c r="C3201"/>
    </row>
    <row r="3202" spans="2:3" x14ac:dyDescent="0.2">
      <c r="B3202"/>
      <c r="C3202"/>
    </row>
    <row r="3203" spans="2:3" x14ac:dyDescent="0.2">
      <c r="B3203"/>
      <c r="C3203"/>
    </row>
    <row r="3204" spans="2:3" x14ac:dyDescent="0.2">
      <c r="B3204"/>
      <c r="C3204"/>
    </row>
    <row r="3205" spans="2:3" x14ac:dyDescent="0.2">
      <c r="B3205"/>
      <c r="C3205"/>
    </row>
    <row r="3206" spans="2:3" x14ac:dyDescent="0.2">
      <c r="B3206"/>
      <c r="C3206"/>
    </row>
    <row r="3207" spans="2:3" x14ac:dyDescent="0.2">
      <c r="B3207"/>
      <c r="C3207"/>
    </row>
    <row r="3208" spans="2:3" x14ac:dyDescent="0.2">
      <c r="B3208"/>
      <c r="C3208"/>
    </row>
    <row r="3209" spans="2:3" x14ac:dyDescent="0.2">
      <c r="B3209"/>
      <c r="C3209"/>
    </row>
    <row r="3210" spans="2:3" x14ac:dyDescent="0.2">
      <c r="B3210"/>
      <c r="C3210"/>
    </row>
    <row r="3211" spans="2:3" x14ac:dyDescent="0.2">
      <c r="B3211"/>
      <c r="C3211"/>
    </row>
    <row r="3212" spans="2:3" x14ac:dyDescent="0.2">
      <c r="B3212"/>
      <c r="C3212"/>
    </row>
    <row r="3213" spans="2:3" x14ac:dyDescent="0.2">
      <c r="B3213"/>
      <c r="C3213"/>
    </row>
    <row r="3214" spans="2:3" x14ac:dyDescent="0.2">
      <c r="B3214"/>
      <c r="C3214"/>
    </row>
    <row r="3215" spans="2:3" x14ac:dyDescent="0.2">
      <c r="B3215"/>
      <c r="C3215"/>
    </row>
    <row r="3216" spans="2:3" x14ac:dyDescent="0.2">
      <c r="B3216"/>
      <c r="C3216"/>
    </row>
    <row r="3217" spans="2:3" x14ac:dyDescent="0.2">
      <c r="B3217"/>
      <c r="C3217"/>
    </row>
    <row r="3218" spans="2:3" x14ac:dyDescent="0.2">
      <c r="B3218"/>
      <c r="C3218"/>
    </row>
    <row r="3219" spans="2:3" x14ac:dyDescent="0.2">
      <c r="B3219"/>
      <c r="C3219"/>
    </row>
    <row r="3220" spans="2:3" x14ac:dyDescent="0.2">
      <c r="B3220"/>
      <c r="C3220"/>
    </row>
    <row r="3221" spans="2:3" x14ac:dyDescent="0.2">
      <c r="B3221"/>
      <c r="C3221"/>
    </row>
    <row r="3222" spans="2:3" x14ac:dyDescent="0.2">
      <c r="B3222"/>
      <c r="C3222"/>
    </row>
    <row r="3223" spans="2:3" x14ac:dyDescent="0.2">
      <c r="B3223"/>
      <c r="C3223"/>
    </row>
    <row r="3224" spans="2:3" x14ac:dyDescent="0.2">
      <c r="B3224"/>
      <c r="C3224"/>
    </row>
    <row r="3225" spans="2:3" x14ac:dyDescent="0.2">
      <c r="B3225"/>
      <c r="C3225"/>
    </row>
    <row r="3226" spans="2:3" x14ac:dyDescent="0.2">
      <c r="B3226"/>
      <c r="C3226"/>
    </row>
    <row r="3227" spans="2:3" x14ac:dyDescent="0.2">
      <c r="B3227"/>
      <c r="C3227"/>
    </row>
    <row r="3228" spans="2:3" x14ac:dyDescent="0.2">
      <c r="B3228"/>
      <c r="C3228"/>
    </row>
    <row r="3229" spans="2:3" x14ac:dyDescent="0.2">
      <c r="B3229"/>
      <c r="C3229"/>
    </row>
    <row r="3230" spans="2:3" x14ac:dyDescent="0.2">
      <c r="B3230"/>
      <c r="C3230"/>
    </row>
    <row r="3231" spans="2:3" x14ac:dyDescent="0.2">
      <c r="B3231"/>
      <c r="C3231"/>
    </row>
    <row r="3232" spans="2:3" x14ac:dyDescent="0.2">
      <c r="B3232"/>
      <c r="C3232"/>
    </row>
    <row r="3233" spans="2:3" x14ac:dyDescent="0.2">
      <c r="B3233"/>
      <c r="C3233"/>
    </row>
    <row r="3234" spans="2:3" x14ac:dyDescent="0.2">
      <c r="B3234"/>
      <c r="C3234"/>
    </row>
    <row r="3235" spans="2:3" x14ac:dyDescent="0.2">
      <c r="B3235"/>
      <c r="C3235"/>
    </row>
    <row r="3236" spans="2:3" x14ac:dyDescent="0.2">
      <c r="B3236"/>
      <c r="C3236"/>
    </row>
    <row r="3237" spans="2:3" x14ac:dyDescent="0.2">
      <c r="B3237"/>
      <c r="C3237"/>
    </row>
    <row r="3238" spans="2:3" x14ac:dyDescent="0.2">
      <c r="B3238"/>
      <c r="C3238"/>
    </row>
    <row r="3239" spans="2:3" x14ac:dyDescent="0.2">
      <c r="B3239"/>
      <c r="C3239"/>
    </row>
    <row r="3240" spans="2:3" x14ac:dyDescent="0.2">
      <c r="B3240"/>
      <c r="C3240"/>
    </row>
    <row r="3241" spans="2:3" x14ac:dyDescent="0.2">
      <c r="B3241"/>
      <c r="C3241"/>
    </row>
    <row r="3242" spans="2:3" x14ac:dyDescent="0.2">
      <c r="B3242"/>
      <c r="C3242"/>
    </row>
    <row r="3243" spans="2:3" x14ac:dyDescent="0.2">
      <c r="B3243"/>
      <c r="C3243"/>
    </row>
    <row r="3244" spans="2:3" x14ac:dyDescent="0.2">
      <c r="B3244"/>
      <c r="C3244"/>
    </row>
    <row r="3245" spans="2:3" x14ac:dyDescent="0.2">
      <c r="B3245"/>
      <c r="C3245"/>
    </row>
    <row r="3246" spans="2:3" x14ac:dyDescent="0.2">
      <c r="B3246"/>
      <c r="C3246"/>
    </row>
    <row r="3247" spans="2:3" x14ac:dyDescent="0.2">
      <c r="B3247"/>
      <c r="C3247"/>
    </row>
    <row r="3248" spans="2:3" x14ac:dyDescent="0.2">
      <c r="B3248"/>
      <c r="C3248"/>
    </row>
    <row r="3249" spans="2:3" x14ac:dyDescent="0.2">
      <c r="B3249"/>
      <c r="C3249"/>
    </row>
    <row r="3250" spans="2:3" x14ac:dyDescent="0.2">
      <c r="B3250"/>
      <c r="C3250"/>
    </row>
    <row r="3251" spans="2:3" x14ac:dyDescent="0.2">
      <c r="B3251"/>
      <c r="C3251"/>
    </row>
    <row r="3252" spans="2:3" x14ac:dyDescent="0.2">
      <c r="B3252"/>
      <c r="C3252"/>
    </row>
    <row r="3253" spans="2:3" x14ac:dyDescent="0.2">
      <c r="B3253"/>
      <c r="C3253"/>
    </row>
    <row r="3254" spans="2:3" x14ac:dyDescent="0.2">
      <c r="B3254"/>
      <c r="C3254"/>
    </row>
    <row r="3255" spans="2:3" x14ac:dyDescent="0.2">
      <c r="B3255"/>
      <c r="C3255"/>
    </row>
    <row r="3256" spans="2:3" x14ac:dyDescent="0.2">
      <c r="B3256"/>
      <c r="C3256"/>
    </row>
    <row r="3257" spans="2:3" x14ac:dyDescent="0.2">
      <c r="B3257"/>
      <c r="C3257"/>
    </row>
    <row r="3258" spans="2:3" x14ac:dyDescent="0.2">
      <c r="B3258"/>
      <c r="C3258"/>
    </row>
    <row r="3259" spans="2:3" x14ac:dyDescent="0.2">
      <c r="B3259"/>
      <c r="C3259"/>
    </row>
    <row r="3260" spans="2:3" x14ac:dyDescent="0.2">
      <c r="B3260"/>
      <c r="C3260"/>
    </row>
    <row r="3261" spans="2:3" x14ac:dyDescent="0.2">
      <c r="B3261"/>
      <c r="C3261"/>
    </row>
    <row r="3262" spans="2:3" x14ac:dyDescent="0.2">
      <c r="B3262"/>
      <c r="C3262"/>
    </row>
    <row r="3263" spans="2:3" x14ac:dyDescent="0.2">
      <c r="B3263"/>
      <c r="C3263"/>
    </row>
    <row r="3264" spans="2:3" x14ac:dyDescent="0.2">
      <c r="B3264"/>
      <c r="C3264"/>
    </row>
    <row r="3265" spans="2:3" x14ac:dyDescent="0.2">
      <c r="B3265"/>
      <c r="C3265"/>
    </row>
    <row r="3266" spans="2:3" x14ac:dyDescent="0.2">
      <c r="B3266"/>
      <c r="C3266"/>
    </row>
    <row r="3267" spans="2:3" x14ac:dyDescent="0.2">
      <c r="B3267"/>
      <c r="C3267"/>
    </row>
    <row r="3268" spans="2:3" x14ac:dyDescent="0.2">
      <c r="B3268"/>
      <c r="C3268"/>
    </row>
    <row r="3269" spans="2:3" x14ac:dyDescent="0.2">
      <c r="B3269"/>
      <c r="C3269"/>
    </row>
    <row r="3270" spans="2:3" x14ac:dyDescent="0.2">
      <c r="B3270"/>
      <c r="C3270"/>
    </row>
    <row r="3271" spans="2:3" x14ac:dyDescent="0.2">
      <c r="B3271"/>
      <c r="C3271"/>
    </row>
    <row r="3272" spans="2:3" x14ac:dyDescent="0.2">
      <c r="B3272"/>
      <c r="C3272"/>
    </row>
    <row r="3273" spans="2:3" x14ac:dyDescent="0.2">
      <c r="B3273"/>
      <c r="C3273"/>
    </row>
    <row r="3274" spans="2:3" x14ac:dyDescent="0.2">
      <c r="B3274"/>
      <c r="C3274"/>
    </row>
    <row r="3275" spans="2:3" x14ac:dyDescent="0.2">
      <c r="B3275"/>
      <c r="C3275"/>
    </row>
    <row r="3276" spans="2:3" x14ac:dyDescent="0.2">
      <c r="B3276"/>
      <c r="C3276"/>
    </row>
    <row r="3277" spans="2:3" x14ac:dyDescent="0.2">
      <c r="B3277"/>
      <c r="C3277"/>
    </row>
    <row r="3278" spans="2:3" x14ac:dyDescent="0.2">
      <c r="B3278"/>
      <c r="C3278"/>
    </row>
    <row r="3279" spans="2:3" x14ac:dyDescent="0.2">
      <c r="B3279"/>
      <c r="C3279"/>
    </row>
    <row r="3280" spans="2:3" x14ac:dyDescent="0.2">
      <c r="B3280"/>
      <c r="C3280"/>
    </row>
    <row r="3281" spans="2:3" x14ac:dyDescent="0.2">
      <c r="B3281"/>
      <c r="C3281"/>
    </row>
    <row r="3282" spans="2:3" x14ac:dyDescent="0.2">
      <c r="B3282"/>
      <c r="C3282"/>
    </row>
    <row r="3283" spans="2:3" x14ac:dyDescent="0.2">
      <c r="B3283"/>
      <c r="C3283"/>
    </row>
    <row r="3284" spans="2:3" x14ac:dyDescent="0.2">
      <c r="B3284"/>
      <c r="C3284"/>
    </row>
    <row r="3285" spans="2:3" x14ac:dyDescent="0.2">
      <c r="B3285"/>
      <c r="C3285"/>
    </row>
    <row r="3286" spans="2:3" x14ac:dyDescent="0.2">
      <c r="B3286"/>
      <c r="C3286"/>
    </row>
    <row r="3287" spans="2:3" x14ac:dyDescent="0.2">
      <c r="B3287"/>
      <c r="C3287"/>
    </row>
    <row r="3288" spans="2:3" x14ac:dyDescent="0.2">
      <c r="B3288"/>
      <c r="C3288"/>
    </row>
    <row r="3289" spans="2:3" x14ac:dyDescent="0.2">
      <c r="B3289"/>
      <c r="C3289"/>
    </row>
    <row r="3290" spans="2:3" x14ac:dyDescent="0.2">
      <c r="B3290"/>
      <c r="C3290"/>
    </row>
    <row r="3291" spans="2:3" x14ac:dyDescent="0.2">
      <c r="B3291"/>
      <c r="C3291"/>
    </row>
    <row r="3292" spans="2:3" x14ac:dyDescent="0.2">
      <c r="B3292"/>
      <c r="C3292"/>
    </row>
    <row r="3293" spans="2:3" x14ac:dyDescent="0.2">
      <c r="B3293"/>
      <c r="C3293"/>
    </row>
    <row r="3294" spans="2:3" x14ac:dyDescent="0.2">
      <c r="B3294"/>
      <c r="C3294"/>
    </row>
    <row r="3295" spans="2:3" x14ac:dyDescent="0.2">
      <c r="B3295"/>
      <c r="C3295"/>
    </row>
    <row r="3296" spans="2:3" x14ac:dyDescent="0.2">
      <c r="B3296"/>
      <c r="C3296"/>
    </row>
    <row r="3297" spans="2:3" x14ac:dyDescent="0.2">
      <c r="B3297"/>
      <c r="C3297"/>
    </row>
    <row r="3298" spans="2:3" x14ac:dyDescent="0.2">
      <c r="B3298"/>
      <c r="C3298"/>
    </row>
    <row r="3299" spans="2:3" x14ac:dyDescent="0.2">
      <c r="B3299"/>
      <c r="C3299"/>
    </row>
    <row r="3300" spans="2:3" x14ac:dyDescent="0.2">
      <c r="B3300"/>
      <c r="C3300"/>
    </row>
    <row r="3301" spans="2:3" x14ac:dyDescent="0.2">
      <c r="B3301"/>
      <c r="C3301"/>
    </row>
    <row r="3302" spans="2:3" x14ac:dyDescent="0.2">
      <c r="B3302"/>
      <c r="C3302"/>
    </row>
    <row r="3303" spans="2:3" x14ac:dyDescent="0.2">
      <c r="B3303"/>
      <c r="C3303"/>
    </row>
    <row r="3304" spans="2:3" x14ac:dyDescent="0.2">
      <c r="B3304"/>
      <c r="C3304"/>
    </row>
    <row r="3305" spans="2:3" x14ac:dyDescent="0.2">
      <c r="B3305"/>
      <c r="C3305"/>
    </row>
    <row r="3306" spans="2:3" x14ac:dyDescent="0.2">
      <c r="B3306"/>
      <c r="C3306"/>
    </row>
    <row r="3307" spans="2:3" x14ac:dyDescent="0.2">
      <c r="B3307"/>
      <c r="C3307"/>
    </row>
    <row r="3308" spans="2:3" x14ac:dyDescent="0.2">
      <c r="B3308"/>
      <c r="C3308"/>
    </row>
    <row r="3309" spans="2:3" x14ac:dyDescent="0.2">
      <c r="B3309"/>
      <c r="C3309"/>
    </row>
    <row r="3310" spans="2:3" x14ac:dyDescent="0.2">
      <c r="B3310"/>
      <c r="C3310"/>
    </row>
    <row r="3311" spans="2:3" x14ac:dyDescent="0.2">
      <c r="B3311"/>
      <c r="C3311"/>
    </row>
    <row r="3312" spans="2:3" x14ac:dyDescent="0.2">
      <c r="B3312"/>
      <c r="C3312"/>
    </row>
    <row r="3313" spans="2:3" x14ac:dyDescent="0.2">
      <c r="B3313"/>
      <c r="C3313"/>
    </row>
    <row r="3314" spans="2:3" x14ac:dyDescent="0.2">
      <c r="B3314"/>
      <c r="C3314"/>
    </row>
    <row r="3315" spans="2:3" x14ac:dyDescent="0.2">
      <c r="B3315"/>
      <c r="C3315"/>
    </row>
    <row r="3316" spans="2:3" x14ac:dyDescent="0.2">
      <c r="B3316"/>
      <c r="C3316"/>
    </row>
    <row r="3317" spans="2:3" x14ac:dyDescent="0.2">
      <c r="B3317"/>
      <c r="C3317"/>
    </row>
    <row r="3318" spans="2:3" x14ac:dyDescent="0.2">
      <c r="B3318"/>
      <c r="C3318"/>
    </row>
    <row r="3319" spans="2:3" x14ac:dyDescent="0.2">
      <c r="B3319"/>
      <c r="C3319"/>
    </row>
    <row r="3320" spans="2:3" x14ac:dyDescent="0.2">
      <c r="B3320"/>
      <c r="C3320"/>
    </row>
    <row r="3321" spans="2:3" x14ac:dyDescent="0.2">
      <c r="B3321"/>
      <c r="C3321"/>
    </row>
    <row r="3322" spans="2:3" x14ac:dyDescent="0.2">
      <c r="B3322"/>
      <c r="C3322"/>
    </row>
    <row r="3323" spans="2:3" x14ac:dyDescent="0.2">
      <c r="B3323"/>
      <c r="C3323"/>
    </row>
    <row r="3324" spans="2:3" x14ac:dyDescent="0.2">
      <c r="B3324"/>
      <c r="C3324"/>
    </row>
    <row r="3325" spans="2:3" x14ac:dyDescent="0.2">
      <c r="B3325"/>
      <c r="C3325"/>
    </row>
    <row r="3326" spans="2:3" x14ac:dyDescent="0.2">
      <c r="B3326"/>
      <c r="C3326"/>
    </row>
    <row r="3327" spans="2:3" x14ac:dyDescent="0.2">
      <c r="B3327"/>
      <c r="C3327"/>
    </row>
    <row r="3328" spans="2:3" x14ac:dyDescent="0.2">
      <c r="B3328"/>
      <c r="C3328"/>
    </row>
    <row r="3329" spans="2:3" x14ac:dyDescent="0.2">
      <c r="B3329"/>
      <c r="C3329"/>
    </row>
    <row r="3330" spans="2:3" x14ac:dyDescent="0.2">
      <c r="B3330"/>
      <c r="C3330"/>
    </row>
    <row r="3331" spans="2:3" x14ac:dyDescent="0.2">
      <c r="B3331"/>
      <c r="C3331"/>
    </row>
    <row r="3332" spans="2:3" x14ac:dyDescent="0.2">
      <c r="B3332"/>
      <c r="C3332"/>
    </row>
    <row r="3333" spans="2:3" x14ac:dyDescent="0.2">
      <c r="B3333"/>
      <c r="C3333"/>
    </row>
    <row r="3334" spans="2:3" x14ac:dyDescent="0.2">
      <c r="B3334"/>
      <c r="C3334"/>
    </row>
    <row r="3335" spans="2:3" x14ac:dyDescent="0.2">
      <c r="B3335"/>
      <c r="C3335"/>
    </row>
    <row r="3336" spans="2:3" x14ac:dyDescent="0.2">
      <c r="B3336"/>
      <c r="C3336"/>
    </row>
    <row r="3337" spans="2:3" x14ac:dyDescent="0.2">
      <c r="B3337"/>
      <c r="C3337"/>
    </row>
    <row r="3338" spans="2:3" x14ac:dyDescent="0.2">
      <c r="B3338"/>
      <c r="C3338"/>
    </row>
    <row r="3339" spans="2:3" x14ac:dyDescent="0.2">
      <c r="B3339"/>
      <c r="C3339"/>
    </row>
    <row r="3340" spans="2:3" x14ac:dyDescent="0.2">
      <c r="B3340"/>
      <c r="C3340"/>
    </row>
    <row r="3341" spans="2:3" x14ac:dyDescent="0.2">
      <c r="B3341"/>
      <c r="C3341"/>
    </row>
    <row r="3342" spans="2:3" x14ac:dyDescent="0.2">
      <c r="B3342"/>
      <c r="C3342"/>
    </row>
    <row r="3343" spans="2:3" x14ac:dyDescent="0.2">
      <c r="B3343"/>
      <c r="C3343"/>
    </row>
    <row r="3344" spans="2:3" x14ac:dyDescent="0.2">
      <c r="B3344"/>
      <c r="C3344"/>
    </row>
    <row r="3345" spans="2:3" x14ac:dyDescent="0.2">
      <c r="B3345"/>
      <c r="C3345"/>
    </row>
    <row r="3346" spans="2:3" x14ac:dyDescent="0.2">
      <c r="B3346"/>
      <c r="C3346"/>
    </row>
    <row r="3347" spans="2:3" x14ac:dyDescent="0.2">
      <c r="B3347"/>
      <c r="C3347"/>
    </row>
    <row r="3348" spans="2:3" x14ac:dyDescent="0.2">
      <c r="B3348"/>
      <c r="C3348"/>
    </row>
    <row r="3349" spans="2:3" x14ac:dyDescent="0.2">
      <c r="B3349"/>
      <c r="C3349"/>
    </row>
    <row r="3350" spans="2:3" x14ac:dyDescent="0.2">
      <c r="B3350"/>
      <c r="C3350"/>
    </row>
    <row r="3351" spans="2:3" x14ac:dyDescent="0.2">
      <c r="B3351"/>
      <c r="C3351"/>
    </row>
    <row r="3352" spans="2:3" x14ac:dyDescent="0.2">
      <c r="B3352"/>
      <c r="C3352"/>
    </row>
    <row r="3353" spans="2:3" x14ac:dyDescent="0.2">
      <c r="B3353"/>
      <c r="C3353"/>
    </row>
    <row r="3354" spans="2:3" x14ac:dyDescent="0.2">
      <c r="B3354"/>
      <c r="C3354"/>
    </row>
    <row r="3355" spans="2:3" x14ac:dyDescent="0.2">
      <c r="B3355"/>
      <c r="C3355"/>
    </row>
    <row r="3356" spans="2:3" x14ac:dyDescent="0.2">
      <c r="B3356"/>
      <c r="C3356"/>
    </row>
    <row r="3357" spans="2:3" x14ac:dyDescent="0.2">
      <c r="B3357"/>
      <c r="C3357"/>
    </row>
    <row r="3358" spans="2:3" x14ac:dyDescent="0.2">
      <c r="B3358"/>
      <c r="C3358"/>
    </row>
    <row r="3359" spans="2:3" x14ac:dyDescent="0.2">
      <c r="B3359"/>
      <c r="C3359"/>
    </row>
    <row r="3360" spans="2:3" x14ac:dyDescent="0.2">
      <c r="B3360"/>
      <c r="C3360"/>
    </row>
    <row r="3361" spans="2:3" x14ac:dyDescent="0.2">
      <c r="B3361"/>
      <c r="C3361"/>
    </row>
    <row r="3362" spans="2:3" x14ac:dyDescent="0.2">
      <c r="B3362"/>
      <c r="C3362"/>
    </row>
    <row r="3363" spans="2:3" x14ac:dyDescent="0.2">
      <c r="B3363"/>
      <c r="C3363"/>
    </row>
    <row r="3364" spans="2:3" x14ac:dyDescent="0.2">
      <c r="B3364"/>
      <c r="C3364"/>
    </row>
    <row r="3365" spans="2:3" x14ac:dyDescent="0.2">
      <c r="B3365"/>
      <c r="C3365"/>
    </row>
    <row r="3366" spans="2:3" x14ac:dyDescent="0.2">
      <c r="B3366"/>
      <c r="C3366"/>
    </row>
    <row r="3367" spans="2:3" x14ac:dyDescent="0.2">
      <c r="B3367"/>
      <c r="C3367"/>
    </row>
    <row r="3368" spans="2:3" x14ac:dyDescent="0.2">
      <c r="B3368"/>
      <c r="C3368"/>
    </row>
    <row r="3369" spans="2:3" x14ac:dyDescent="0.2">
      <c r="B3369"/>
      <c r="C3369"/>
    </row>
    <row r="3370" spans="2:3" x14ac:dyDescent="0.2">
      <c r="B3370"/>
      <c r="C3370"/>
    </row>
    <row r="3371" spans="2:3" x14ac:dyDescent="0.2">
      <c r="B3371"/>
      <c r="C3371"/>
    </row>
    <row r="3372" spans="2:3" x14ac:dyDescent="0.2">
      <c r="B3372"/>
      <c r="C3372"/>
    </row>
    <row r="3373" spans="2:3" x14ac:dyDescent="0.2">
      <c r="B3373"/>
      <c r="C3373"/>
    </row>
    <row r="3374" spans="2:3" x14ac:dyDescent="0.2">
      <c r="B3374"/>
      <c r="C3374"/>
    </row>
    <row r="3375" spans="2:3" x14ac:dyDescent="0.2">
      <c r="B3375"/>
      <c r="C3375"/>
    </row>
    <row r="3376" spans="2:3" x14ac:dyDescent="0.2">
      <c r="B3376"/>
      <c r="C3376"/>
    </row>
    <row r="3377" spans="2:3" x14ac:dyDescent="0.2">
      <c r="B3377"/>
      <c r="C3377"/>
    </row>
    <row r="3378" spans="2:3" x14ac:dyDescent="0.2">
      <c r="B3378"/>
      <c r="C3378"/>
    </row>
    <row r="3379" spans="2:3" x14ac:dyDescent="0.2">
      <c r="B3379"/>
      <c r="C3379"/>
    </row>
    <row r="3380" spans="2:3" x14ac:dyDescent="0.2">
      <c r="B3380"/>
      <c r="C3380"/>
    </row>
    <row r="3381" spans="2:3" x14ac:dyDescent="0.2">
      <c r="B3381"/>
      <c r="C3381"/>
    </row>
    <row r="3382" spans="2:3" x14ac:dyDescent="0.2">
      <c r="B3382"/>
      <c r="C3382"/>
    </row>
    <row r="3383" spans="2:3" x14ac:dyDescent="0.2">
      <c r="B3383"/>
      <c r="C3383"/>
    </row>
    <row r="3384" spans="2:3" x14ac:dyDescent="0.2">
      <c r="B3384"/>
      <c r="C3384"/>
    </row>
    <row r="3385" spans="2:3" x14ac:dyDescent="0.2">
      <c r="B3385"/>
      <c r="C3385"/>
    </row>
    <row r="3386" spans="2:3" x14ac:dyDescent="0.2">
      <c r="B3386"/>
      <c r="C3386"/>
    </row>
    <row r="3387" spans="2:3" x14ac:dyDescent="0.2">
      <c r="B3387"/>
      <c r="C3387"/>
    </row>
    <row r="3388" spans="2:3" x14ac:dyDescent="0.2">
      <c r="B3388"/>
      <c r="C3388"/>
    </row>
    <row r="3389" spans="2:3" x14ac:dyDescent="0.2">
      <c r="B3389"/>
      <c r="C3389"/>
    </row>
    <row r="3390" spans="2:3" x14ac:dyDescent="0.2">
      <c r="B3390"/>
      <c r="C3390"/>
    </row>
    <row r="3391" spans="2:3" x14ac:dyDescent="0.2">
      <c r="B3391"/>
      <c r="C3391"/>
    </row>
    <row r="3392" spans="2:3" x14ac:dyDescent="0.2">
      <c r="B3392"/>
      <c r="C3392"/>
    </row>
    <row r="3393" spans="2:3" x14ac:dyDescent="0.2">
      <c r="B3393"/>
      <c r="C3393"/>
    </row>
    <row r="3394" spans="2:3" x14ac:dyDescent="0.2">
      <c r="B3394"/>
      <c r="C3394"/>
    </row>
    <row r="3395" spans="2:3" x14ac:dyDescent="0.2">
      <c r="B3395"/>
      <c r="C3395"/>
    </row>
    <row r="3396" spans="2:3" x14ac:dyDescent="0.2">
      <c r="B3396"/>
      <c r="C3396"/>
    </row>
    <row r="3397" spans="2:3" x14ac:dyDescent="0.2">
      <c r="B3397"/>
      <c r="C3397"/>
    </row>
    <row r="3398" spans="2:3" x14ac:dyDescent="0.2">
      <c r="B3398"/>
      <c r="C3398"/>
    </row>
    <row r="3399" spans="2:3" x14ac:dyDescent="0.2">
      <c r="B3399"/>
      <c r="C3399"/>
    </row>
    <row r="3400" spans="2:3" x14ac:dyDescent="0.2">
      <c r="B3400"/>
      <c r="C3400"/>
    </row>
    <row r="3401" spans="2:3" x14ac:dyDescent="0.2">
      <c r="B3401"/>
      <c r="C3401"/>
    </row>
    <row r="3402" spans="2:3" x14ac:dyDescent="0.2">
      <c r="B3402"/>
      <c r="C3402"/>
    </row>
    <row r="3403" spans="2:3" x14ac:dyDescent="0.2">
      <c r="B3403"/>
      <c r="C3403"/>
    </row>
    <row r="3404" spans="2:3" x14ac:dyDescent="0.2">
      <c r="B3404"/>
      <c r="C3404"/>
    </row>
    <row r="3405" spans="2:3" x14ac:dyDescent="0.2">
      <c r="B3405"/>
      <c r="C3405"/>
    </row>
    <row r="3406" spans="2:3" x14ac:dyDescent="0.2">
      <c r="B3406"/>
      <c r="C3406"/>
    </row>
    <row r="3407" spans="2:3" x14ac:dyDescent="0.2">
      <c r="B3407"/>
      <c r="C3407"/>
    </row>
    <row r="3408" spans="2:3" x14ac:dyDescent="0.2">
      <c r="B3408"/>
      <c r="C3408"/>
    </row>
    <row r="3409" spans="2:3" x14ac:dyDescent="0.2">
      <c r="B3409"/>
      <c r="C3409"/>
    </row>
    <row r="3410" spans="2:3" x14ac:dyDescent="0.2">
      <c r="B3410"/>
      <c r="C3410"/>
    </row>
    <row r="3411" spans="2:3" x14ac:dyDescent="0.2">
      <c r="B3411"/>
      <c r="C3411"/>
    </row>
    <row r="3412" spans="2:3" x14ac:dyDescent="0.2">
      <c r="B3412"/>
      <c r="C3412"/>
    </row>
    <row r="3413" spans="2:3" x14ac:dyDescent="0.2">
      <c r="B3413"/>
      <c r="C3413"/>
    </row>
    <row r="3414" spans="2:3" x14ac:dyDescent="0.2">
      <c r="B3414"/>
      <c r="C3414"/>
    </row>
    <row r="3415" spans="2:3" x14ac:dyDescent="0.2">
      <c r="B3415"/>
      <c r="C3415"/>
    </row>
    <row r="3416" spans="2:3" x14ac:dyDescent="0.2">
      <c r="B3416"/>
      <c r="C3416"/>
    </row>
    <row r="3417" spans="2:3" x14ac:dyDescent="0.2">
      <c r="B3417"/>
      <c r="C3417"/>
    </row>
    <row r="3418" spans="2:3" x14ac:dyDescent="0.2">
      <c r="B3418"/>
      <c r="C3418"/>
    </row>
    <row r="3419" spans="2:3" x14ac:dyDescent="0.2">
      <c r="B3419"/>
      <c r="C3419"/>
    </row>
    <row r="3420" spans="2:3" x14ac:dyDescent="0.2">
      <c r="B3420"/>
      <c r="C3420"/>
    </row>
    <row r="3421" spans="2:3" x14ac:dyDescent="0.2">
      <c r="B3421"/>
      <c r="C3421"/>
    </row>
    <row r="3422" spans="2:3" x14ac:dyDescent="0.2">
      <c r="B3422"/>
      <c r="C3422"/>
    </row>
    <row r="3423" spans="2:3" x14ac:dyDescent="0.2">
      <c r="B3423"/>
      <c r="C3423"/>
    </row>
    <row r="3424" spans="2:3" x14ac:dyDescent="0.2">
      <c r="B3424"/>
      <c r="C3424"/>
    </row>
    <row r="3425" spans="2:3" x14ac:dyDescent="0.2">
      <c r="B3425"/>
      <c r="C3425"/>
    </row>
    <row r="3426" spans="2:3" x14ac:dyDescent="0.2">
      <c r="B3426"/>
      <c r="C3426"/>
    </row>
    <row r="3427" spans="2:3" x14ac:dyDescent="0.2">
      <c r="B3427"/>
      <c r="C3427"/>
    </row>
    <row r="3428" spans="2:3" x14ac:dyDescent="0.2">
      <c r="B3428"/>
      <c r="C3428"/>
    </row>
    <row r="3429" spans="2:3" x14ac:dyDescent="0.2">
      <c r="B3429"/>
      <c r="C3429"/>
    </row>
    <row r="3430" spans="2:3" x14ac:dyDescent="0.2">
      <c r="B3430"/>
      <c r="C3430"/>
    </row>
    <row r="3431" spans="2:3" x14ac:dyDescent="0.2">
      <c r="B3431"/>
      <c r="C3431"/>
    </row>
    <row r="3432" spans="2:3" x14ac:dyDescent="0.2">
      <c r="B3432"/>
      <c r="C3432"/>
    </row>
    <row r="3433" spans="2:3" x14ac:dyDescent="0.2">
      <c r="B3433"/>
      <c r="C3433"/>
    </row>
    <row r="3434" spans="2:3" x14ac:dyDescent="0.2">
      <c r="B3434"/>
      <c r="C3434"/>
    </row>
    <row r="3435" spans="2:3" x14ac:dyDescent="0.2">
      <c r="B3435"/>
      <c r="C3435"/>
    </row>
    <row r="3436" spans="2:3" x14ac:dyDescent="0.2">
      <c r="B3436"/>
      <c r="C3436"/>
    </row>
    <row r="3437" spans="2:3" x14ac:dyDescent="0.2">
      <c r="B3437"/>
      <c r="C3437"/>
    </row>
    <row r="3438" spans="2:3" x14ac:dyDescent="0.2">
      <c r="B3438"/>
      <c r="C3438"/>
    </row>
    <row r="3439" spans="2:3" x14ac:dyDescent="0.2">
      <c r="B3439"/>
      <c r="C3439"/>
    </row>
    <row r="3440" spans="2:3" x14ac:dyDescent="0.2">
      <c r="B3440"/>
      <c r="C3440"/>
    </row>
    <row r="3441" spans="2:3" x14ac:dyDescent="0.2">
      <c r="B3441"/>
      <c r="C3441"/>
    </row>
    <row r="3442" spans="2:3" x14ac:dyDescent="0.2">
      <c r="B3442"/>
      <c r="C3442"/>
    </row>
    <row r="3443" spans="2:3" x14ac:dyDescent="0.2">
      <c r="B3443"/>
      <c r="C3443"/>
    </row>
    <row r="3444" spans="2:3" x14ac:dyDescent="0.2">
      <c r="B3444"/>
      <c r="C3444"/>
    </row>
    <row r="3445" spans="2:3" x14ac:dyDescent="0.2">
      <c r="B3445"/>
      <c r="C3445"/>
    </row>
    <row r="3446" spans="2:3" x14ac:dyDescent="0.2">
      <c r="B3446"/>
      <c r="C3446"/>
    </row>
    <row r="3447" spans="2:3" x14ac:dyDescent="0.2">
      <c r="B3447"/>
      <c r="C3447"/>
    </row>
    <row r="3448" spans="2:3" x14ac:dyDescent="0.2">
      <c r="B3448"/>
      <c r="C3448"/>
    </row>
    <row r="3449" spans="2:3" x14ac:dyDescent="0.2">
      <c r="B3449"/>
      <c r="C3449"/>
    </row>
    <row r="3450" spans="2:3" x14ac:dyDescent="0.2">
      <c r="B3450"/>
      <c r="C3450"/>
    </row>
    <row r="3451" spans="2:3" x14ac:dyDescent="0.2">
      <c r="B3451"/>
      <c r="C3451"/>
    </row>
    <row r="3452" spans="2:3" x14ac:dyDescent="0.2">
      <c r="B3452"/>
      <c r="C3452"/>
    </row>
    <row r="3453" spans="2:3" x14ac:dyDescent="0.2">
      <c r="B3453"/>
      <c r="C3453"/>
    </row>
    <row r="3454" spans="2:3" x14ac:dyDescent="0.2">
      <c r="B3454"/>
      <c r="C3454"/>
    </row>
    <row r="3455" spans="2:3" x14ac:dyDescent="0.2">
      <c r="B3455"/>
      <c r="C3455"/>
    </row>
    <row r="3456" spans="2:3" x14ac:dyDescent="0.2">
      <c r="B3456"/>
      <c r="C3456"/>
    </row>
    <row r="3457" spans="2:3" x14ac:dyDescent="0.2">
      <c r="B3457"/>
      <c r="C3457"/>
    </row>
    <row r="3458" spans="2:3" x14ac:dyDescent="0.2">
      <c r="B3458"/>
      <c r="C3458"/>
    </row>
    <row r="3459" spans="2:3" x14ac:dyDescent="0.2">
      <c r="B3459"/>
      <c r="C3459"/>
    </row>
    <row r="3460" spans="2:3" x14ac:dyDescent="0.2">
      <c r="B3460"/>
      <c r="C3460"/>
    </row>
    <row r="3461" spans="2:3" x14ac:dyDescent="0.2">
      <c r="B3461"/>
      <c r="C3461"/>
    </row>
    <row r="3462" spans="2:3" x14ac:dyDescent="0.2">
      <c r="B3462"/>
      <c r="C3462"/>
    </row>
    <row r="3463" spans="2:3" x14ac:dyDescent="0.2">
      <c r="B3463"/>
      <c r="C3463"/>
    </row>
    <row r="3464" spans="2:3" x14ac:dyDescent="0.2">
      <c r="B3464"/>
      <c r="C3464"/>
    </row>
    <row r="3465" spans="2:3" x14ac:dyDescent="0.2">
      <c r="B3465"/>
      <c r="C3465"/>
    </row>
    <row r="3466" spans="2:3" x14ac:dyDescent="0.2">
      <c r="B3466"/>
      <c r="C3466"/>
    </row>
    <row r="3467" spans="2:3" x14ac:dyDescent="0.2">
      <c r="B3467"/>
      <c r="C3467"/>
    </row>
    <row r="3468" spans="2:3" x14ac:dyDescent="0.2">
      <c r="B3468"/>
      <c r="C3468"/>
    </row>
    <row r="3469" spans="2:3" x14ac:dyDescent="0.2">
      <c r="B3469"/>
      <c r="C3469"/>
    </row>
    <row r="3470" spans="2:3" x14ac:dyDescent="0.2">
      <c r="B3470"/>
      <c r="C3470"/>
    </row>
    <row r="3471" spans="2:3" x14ac:dyDescent="0.2">
      <c r="B3471"/>
      <c r="C3471"/>
    </row>
    <row r="3472" spans="2:3" x14ac:dyDescent="0.2">
      <c r="B3472"/>
      <c r="C3472"/>
    </row>
    <row r="3473" spans="2:3" x14ac:dyDescent="0.2">
      <c r="B3473"/>
      <c r="C3473"/>
    </row>
    <row r="3474" spans="2:3" x14ac:dyDescent="0.2">
      <c r="B3474"/>
      <c r="C3474"/>
    </row>
    <row r="3475" spans="2:3" x14ac:dyDescent="0.2">
      <c r="B3475"/>
      <c r="C3475"/>
    </row>
    <row r="3476" spans="2:3" x14ac:dyDescent="0.2">
      <c r="B3476"/>
      <c r="C3476"/>
    </row>
    <row r="3477" spans="2:3" x14ac:dyDescent="0.2">
      <c r="B3477"/>
      <c r="C3477"/>
    </row>
    <row r="3478" spans="2:3" x14ac:dyDescent="0.2">
      <c r="B3478"/>
      <c r="C3478"/>
    </row>
    <row r="3479" spans="2:3" x14ac:dyDescent="0.2">
      <c r="B3479"/>
      <c r="C3479"/>
    </row>
    <row r="3480" spans="2:3" x14ac:dyDescent="0.2">
      <c r="B3480"/>
      <c r="C3480"/>
    </row>
    <row r="3481" spans="2:3" x14ac:dyDescent="0.2">
      <c r="B3481"/>
      <c r="C3481"/>
    </row>
    <row r="3482" spans="2:3" x14ac:dyDescent="0.2">
      <c r="B3482"/>
      <c r="C3482"/>
    </row>
    <row r="3483" spans="2:3" x14ac:dyDescent="0.2">
      <c r="B3483"/>
      <c r="C3483"/>
    </row>
    <row r="3484" spans="2:3" x14ac:dyDescent="0.2">
      <c r="B3484"/>
      <c r="C3484"/>
    </row>
    <row r="3485" spans="2:3" x14ac:dyDescent="0.2">
      <c r="B3485"/>
      <c r="C3485"/>
    </row>
    <row r="3486" spans="2:3" x14ac:dyDescent="0.2">
      <c r="B3486"/>
      <c r="C3486"/>
    </row>
    <row r="3487" spans="2:3" x14ac:dyDescent="0.2">
      <c r="B3487"/>
      <c r="C3487"/>
    </row>
    <row r="3488" spans="2:3" x14ac:dyDescent="0.2">
      <c r="B3488"/>
      <c r="C3488"/>
    </row>
    <row r="3489" spans="2:3" x14ac:dyDescent="0.2">
      <c r="B3489"/>
      <c r="C3489"/>
    </row>
    <row r="3490" spans="2:3" x14ac:dyDescent="0.2">
      <c r="B3490"/>
      <c r="C3490"/>
    </row>
    <row r="3491" spans="2:3" x14ac:dyDescent="0.2">
      <c r="B3491"/>
      <c r="C3491"/>
    </row>
    <row r="3492" spans="2:3" x14ac:dyDescent="0.2">
      <c r="B3492"/>
      <c r="C3492"/>
    </row>
    <row r="3493" spans="2:3" x14ac:dyDescent="0.2">
      <c r="B3493"/>
      <c r="C3493"/>
    </row>
    <row r="3494" spans="2:3" x14ac:dyDescent="0.2">
      <c r="B3494"/>
      <c r="C3494"/>
    </row>
    <row r="3495" spans="2:3" x14ac:dyDescent="0.2">
      <c r="B3495"/>
      <c r="C3495"/>
    </row>
    <row r="3496" spans="2:3" x14ac:dyDescent="0.2">
      <c r="B3496"/>
      <c r="C3496"/>
    </row>
    <row r="3497" spans="2:3" x14ac:dyDescent="0.2">
      <c r="B3497"/>
      <c r="C3497"/>
    </row>
    <row r="3498" spans="2:3" x14ac:dyDescent="0.2">
      <c r="B3498"/>
      <c r="C3498"/>
    </row>
    <row r="3499" spans="2:3" x14ac:dyDescent="0.2">
      <c r="B3499"/>
      <c r="C3499"/>
    </row>
    <row r="3500" spans="2:3" x14ac:dyDescent="0.2">
      <c r="B3500"/>
      <c r="C3500"/>
    </row>
    <row r="3501" spans="2:3" x14ac:dyDescent="0.2">
      <c r="B3501"/>
      <c r="C3501"/>
    </row>
    <row r="3502" spans="2:3" x14ac:dyDescent="0.2">
      <c r="B3502"/>
      <c r="C3502"/>
    </row>
    <row r="3503" spans="2:3" x14ac:dyDescent="0.2">
      <c r="B3503"/>
      <c r="C3503"/>
    </row>
    <row r="3504" spans="2:3" x14ac:dyDescent="0.2">
      <c r="B3504"/>
      <c r="C3504"/>
    </row>
    <row r="3505" spans="2:3" x14ac:dyDescent="0.2">
      <c r="B3505"/>
      <c r="C3505"/>
    </row>
    <row r="3506" spans="2:3" x14ac:dyDescent="0.2">
      <c r="B3506"/>
      <c r="C3506"/>
    </row>
    <row r="3507" spans="2:3" x14ac:dyDescent="0.2">
      <c r="B3507"/>
      <c r="C3507"/>
    </row>
    <row r="3508" spans="2:3" x14ac:dyDescent="0.2">
      <c r="B3508"/>
      <c r="C3508"/>
    </row>
    <row r="3509" spans="2:3" x14ac:dyDescent="0.2">
      <c r="B3509"/>
      <c r="C3509"/>
    </row>
    <row r="3510" spans="2:3" x14ac:dyDescent="0.2">
      <c r="B3510"/>
      <c r="C3510"/>
    </row>
    <row r="3511" spans="2:3" x14ac:dyDescent="0.2">
      <c r="B3511"/>
      <c r="C3511"/>
    </row>
    <row r="3512" spans="2:3" x14ac:dyDescent="0.2">
      <c r="B3512"/>
      <c r="C3512"/>
    </row>
    <row r="3513" spans="2:3" x14ac:dyDescent="0.2">
      <c r="B3513"/>
      <c r="C3513"/>
    </row>
    <row r="3514" spans="2:3" x14ac:dyDescent="0.2">
      <c r="B3514"/>
      <c r="C3514"/>
    </row>
    <row r="3515" spans="2:3" x14ac:dyDescent="0.2">
      <c r="B3515"/>
      <c r="C3515"/>
    </row>
    <row r="3516" spans="2:3" x14ac:dyDescent="0.2">
      <c r="B3516"/>
      <c r="C3516"/>
    </row>
    <row r="3517" spans="2:3" x14ac:dyDescent="0.2">
      <c r="B3517"/>
      <c r="C3517"/>
    </row>
    <row r="3518" spans="2:3" x14ac:dyDescent="0.2">
      <c r="B3518"/>
      <c r="C3518"/>
    </row>
    <row r="3519" spans="2:3" x14ac:dyDescent="0.2">
      <c r="B3519"/>
      <c r="C3519"/>
    </row>
    <row r="3520" spans="2:3" x14ac:dyDescent="0.2">
      <c r="B3520"/>
      <c r="C3520"/>
    </row>
    <row r="3521" spans="2:3" x14ac:dyDescent="0.2">
      <c r="B3521"/>
      <c r="C3521"/>
    </row>
    <row r="3522" spans="2:3" x14ac:dyDescent="0.2">
      <c r="B3522"/>
      <c r="C3522"/>
    </row>
    <row r="3523" spans="2:3" x14ac:dyDescent="0.2">
      <c r="B3523"/>
      <c r="C3523"/>
    </row>
    <row r="3524" spans="2:3" x14ac:dyDescent="0.2">
      <c r="B3524"/>
      <c r="C3524"/>
    </row>
    <row r="3525" spans="2:3" x14ac:dyDescent="0.2">
      <c r="B3525"/>
      <c r="C3525"/>
    </row>
    <row r="3526" spans="2:3" x14ac:dyDescent="0.2">
      <c r="B3526"/>
      <c r="C3526"/>
    </row>
    <row r="3527" spans="2:3" x14ac:dyDescent="0.2">
      <c r="B3527"/>
      <c r="C3527"/>
    </row>
    <row r="3528" spans="2:3" x14ac:dyDescent="0.2">
      <c r="B3528"/>
      <c r="C3528"/>
    </row>
    <row r="3529" spans="2:3" x14ac:dyDescent="0.2">
      <c r="B3529"/>
      <c r="C3529"/>
    </row>
    <row r="3530" spans="2:3" x14ac:dyDescent="0.2">
      <c r="B3530"/>
      <c r="C3530"/>
    </row>
    <row r="3531" spans="2:3" x14ac:dyDescent="0.2">
      <c r="B3531"/>
      <c r="C3531"/>
    </row>
    <row r="3532" spans="2:3" x14ac:dyDescent="0.2">
      <c r="B3532"/>
      <c r="C3532"/>
    </row>
    <row r="3533" spans="2:3" x14ac:dyDescent="0.2">
      <c r="B3533"/>
      <c r="C3533"/>
    </row>
    <row r="3534" spans="2:3" x14ac:dyDescent="0.2">
      <c r="B3534"/>
      <c r="C3534"/>
    </row>
    <row r="3535" spans="2:3" x14ac:dyDescent="0.2">
      <c r="B3535"/>
      <c r="C3535"/>
    </row>
    <row r="3536" spans="2:3" x14ac:dyDescent="0.2">
      <c r="B3536"/>
      <c r="C3536"/>
    </row>
    <row r="3537" spans="2:3" x14ac:dyDescent="0.2">
      <c r="B3537"/>
      <c r="C3537"/>
    </row>
    <row r="3538" spans="2:3" x14ac:dyDescent="0.2">
      <c r="B3538"/>
      <c r="C3538"/>
    </row>
    <row r="3539" spans="2:3" x14ac:dyDescent="0.2">
      <c r="B3539"/>
      <c r="C3539"/>
    </row>
    <row r="3540" spans="2:3" x14ac:dyDescent="0.2">
      <c r="B3540"/>
      <c r="C3540"/>
    </row>
    <row r="3541" spans="2:3" x14ac:dyDescent="0.2">
      <c r="B3541"/>
      <c r="C3541"/>
    </row>
    <row r="3542" spans="2:3" x14ac:dyDescent="0.2">
      <c r="B3542"/>
      <c r="C3542"/>
    </row>
    <row r="3543" spans="2:3" x14ac:dyDescent="0.2">
      <c r="B3543"/>
      <c r="C3543"/>
    </row>
    <row r="3544" spans="2:3" x14ac:dyDescent="0.2">
      <c r="B3544"/>
      <c r="C3544"/>
    </row>
    <row r="3545" spans="2:3" x14ac:dyDescent="0.2">
      <c r="B3545"/>
      <c r="C3545"/>
    </row>
    <row r="3546" spans="2:3" x14ac:dyDescent="0.2">
      <c r="B3546"/>
      <c r="C3546"/>
    </row>
    <row r="3547" spans="2:3" x14ac:dyDescent="0.2">
      <c r="B3547"/>
      <c r="C3547"/>
    </row>
    <row r="3548" spans="2:3" x14ac:dyDescent="0.2">
      <c r="B3548"/>
      <c r="C3548"/>
    </row>
    <row r="3549" spans="2:3" x14ac:dyDescent="0.2">
      <c r="B3549"/>
      <c r="C3549"/>
    </row>
    <row r="3550" spans="2:3" x14ac:dyDescent="0.2">
      <c r="B3550"/>
      <c r="C3550"/>
    </row>
    <row r="3551" spans="2:3" x14ac:dyDescent="0.2">
      <c r="B3551"/>
      <c r="C3551"/>
    </row>
    <row r="3552" spans="2:3" x14ac:dyDescent="0.2">
      <c r="B3552"/>
      <c r="C3552"/>
    </row>
    <row r="3553" spans="2:3" x14ac:dyDescent="0.2">
      <c r="B3553"/>
      <c r="C3553"/>
    </row>
    <row r="3554" spans="2:3" x14ac:dyDescent="0.2">
      <c r="B3554"/>
      <c r="C3554"/>
    </row>
    <row r="3555" spans="2:3" x14ac:dyDescent="0.2">
      <c r="B3555"/>
      <c r="C3555"/>
    </row>
    <row r="3556" spans="2:3" x14ac:dyDescent="0.2">
      <c r="B3556"/>
      <c r="C3556"/>
    </row>
    <row r="3557" spans="2:3" x14ac:dyDescent="0.2">
      <c r="B3557"/>
      <c r="C3557"/>
    </row>
    <row r="3558" spans="2:3" x14ac:dyDescent="0.2">
      <c r="B3558"/>
      <c r="C3558"/>
    </row>
    <row r="3559" spans="2:3" x14ac:dyDescent="0.2">
      <c r="B3559"/>
      <c r="C3559"/>
    </row>
    <row r="3560" spans="2:3" x14ac:dyDescent="0.2">
      <c r="B3560"/>
      <c r="C3560"/>
    </row>
    <row r="3561" spans="2:3" x14ac:dyDescent="0.2">
      <c r="B3561"/>
      <c r="C3561"/>
    </row>
    <row r="3562" spans="2:3" x14ac:dyDescent="0.2">
      <c r="B3562"/>
      <c r="C3562"/>
    </row>
    <row r="3563" spans="2:3" x14ac:dyDescent="0.2">
      <c r="B3563"/>
      <c r="C3563"/>
    </row>
    <row r="3564" spans="2:3" x14ac:dyDescent="0.2">
      <c r="B3564"/>
      <c r="C3564"/>
    </row>
    <row r="3565" spans="2:3" x14ac:dyDescent="0.2">
      <c r="B3565"/>
      <c r="C3565"/>
    </row>
    <row r="3566" spans="2:3" x14ac:dyDescent="0.2">
      <c r="B3566"/>
      <c r="C3566"/>
    </row>
    <row r="3567" spans="2:3" x14ac:dyDescent="0.2">
      <c r="B3567"/>
      <c r="C3567"/>
    </row>
    <row r="3568" spans="2:3" x14ac:dyDescent="0.2">
      <c r="B3568"/>
      <c r="C3568"/>
    </row>
    <row r="3569" spans="2:3" x14ac:dyDescent="0.2">
      <c r="B3569"/>
      <c r="C3569"/>
    </row>
    <row r="3570" spans="2:3" x14ac:dyDescent="0.2">
      <c r="B3570"/>
      <c r="C3570"/>
    </row>
    <row r="3571" spans="2:3" x14ac:dyDescent="0.2">
      <c r="B3571"/>
      <c r="C3571"/>
    </row>
    <row r="3572" spans="2:3" x14ac:dyDescent="0.2">
      <c r="B3572"/>
      <c r="C3572"/>
    </row>
    <row r="3573" spans="2:3" x14ac:dyDescent="0.2">
      <c r="B3573"/>
      <c r="C3573"/>
    </row>
    <row r="3574" spans="2:3" x14ac:dyDescent="0.2">
      <c r="B3574"/>
      <c r="C3574"/>
    </row>
    <row r="3575" spans="2:3" x14ac:dyDescent="0.2">
      <c r="B3575"/>
      <c r="C3575"/>
    </row>
    <row r="3576" spans="2:3" x14ac:dyDescent="0.2">
      <c r="B3576"/>
      <c r="C3576"/>
    </row>
    <row r="3577" spans="2:3" x14ac:dyDescent="0.2">
      <c r="B3577"/>
      <c r="C3577"/>
    </row>
    <row r="3578" spans="2:3" x14ac:dyDescent="0.2">
      <c r="B3578"/>
      <c r="C3578"/>
    </row>
    <row r="3579" spans="2:3" x14ac:dyDescent="0.2">
      <c r="B3579"/>
      <c r="C3579"/>
    </row>
    <row r="3580" spans="2:3" x14ac:dyDescent="0.2">
      <c r="B3580"/>
      <c r="C3580"/>
    </row>
    <row r="3581" spans="2:3" x14ac:dyDescent="0.2">
      <c r="B3581"/>
      <c r="C3581"/>
    </row>
    <row r="3582" spans="2:3" x14ac:dyDescent="0.2">
      <c r="B3582"/>
      <c r="C3582"/>
    </row>
    <row r="3583" spans="2:3" x14ac:dyDescent="0.2">
      <c r="B3583"/>
      <c r="C3583"/>
    </row>
    <row r="3584" spans="2:3" x14ac:dyDescent="0.2">
      <c r="B3584"/>
      <c r="C3584"/>
    </row>
    <row r="3585" spans="2:3" x14ac:dyDescent="0.2">
      <c r="B3585"/>
      <c r="C3585"/>
    </row>
    <row r="3586" spans="2:3" x14ac:dyDescent="0.2">
      <c r="B3586"/>
      <c r="C3586"/>
    </row>
    <row r="3587" spans="2:3" x14ac:dyDescent="0.2">
      <c r="B3587"/>
      <c r="C3587"/>
    </row>
    <row r="3588" spans="2:3" x14ac:dyDescent="0.2">
      <c r="B3588"/>
      <c r="C3588"/>
    </row>
    <row r="3589" spans="2:3" x14ac:dyDescent="0.2">
      <c r="B3589"/>
      <c r="C3589"/>
    </row>
    <row r="3590" spans="2:3" x14ac:dyDescent="0.2">
      <c r="B3590"/>
      <c r="C3590"/>
    </row>
    <row r="3591" spans="2:3" x14ac:dyDescent="0.2">
      <c r="B3591"/>
      <c r="C3591"/>
    </row>
    <row r="3592" spans="2:3" x14ac:dyDescent="0.2">
      <c r="B3592"/>
      <c r="C3592"/>
    </row>
    <row r="3593" spans="2:3" x14ac:dyDescent="0.2">
      <c r="B3593"/>
      <c r="C3593"/>
    </row>
    <row r="3594" spans="2:3" x14ac:dyDescent="0.2">
      <c r="B3594"/>
      <c r="C3594"/>
    </row>
    <row r="3595" spans="2:3" x14ac:dyDescent="0.2">
      <c r="B3595"/>
      <c r="C3595"/>
    </row>
    <row r="3596" spans="2:3" x14ac:dyDescent="0.2">
      <c r="B3596"/>
      <c r="C3596"/>
    </row>
    <row r="3597" spans="2:3" x14ac:dyDescent="0.2">
      <c r="B3597"/>
      <c r="C3597"/>
    </row>
    <row r="3598" spans="2:3" x14ac:dyDescent="0.2">
      <c r="B3598"/>
      <c r="C3598"/>
    </row>
    <row r="3599" spans="2:3" x14ac:dyDescent="0.2">
      <c r="B3599"/>
      <c r="C3599"/>
    </row>
    <row r="3600" spans="2:3" x14ac:dyDescent="0.2">
      <c r="B3600"/>
      <c r="C3600"/>
    </row>
    <row r="3601" spans="2:3" x14ac:dyDescent="0.2">
      <c r="B3601"/>
      <c r="C3601"/>
    </row>
    <row r="3602" spans="2:3" x14ac:dyDescent="0.2">
      <c r="B3602"/>
      <c r="C3602"/>
    </row>
    <row r="3603" spans="2:3" x14ac:dyDescent="0.2">
      <c r="B3603"/>
      <c r="C3603"/>
    </row>
    <row r="3604" spans="2:3" x14ac:dyDescent="0.2">
      <c r="B3604"/>
      <c r="C3604"/>
    </row>
    <row r="3605" spans="2:3" x14ac:dyDescent="0.2">
      <c r="B3605"/>
      <c r="C3605"/>
    </row>
    <row r="3606" spans="2:3" x14ac:dyDescent="0.2">
      <c r="B3606"/>
      <c r="C3606"/>
    </row>
    <row r="3607" spans="2:3" x14ac:dyDescent="0.2">
      <c r="B3607"/>
      <c r="C3607"/>
    </row>
    <row r="3608" spans="2:3" x14ac:dyDescent="0.2">
      <c r="B3608"/>
      <c r="C3608"/>
    </row>
    <row r="3609" spans="2:3" x14ac:dyDescent="0.2">
      <c r="B3609"/>
      <c r="C3609"/>
    </row>
    <row r="3610" spans="2:3" x14ac:dyDescent="0.2">
      <c r="B3610"/>
      <c r="C3610"/>
    </row>
    <row r="3611" spans="2:3" x14ac:dyDescent="0.2">
      <c r="B3611"/>
      <c r="C3611"/>
    </row>
    <row r="3612" spans="2:3" x14ac:dyDescent="0.2">
      <c r="B3612"/>
      <c r="C3612"/>
    </row>
    <row r="3613" spans="2:3" x14ac:dyDescent="0.2">
      <c r="B3613"/>
      <c r="C3613"/>
    </row>
    <row r="3614" spans="2:3" x14ac:dyDescent="0.2">
      <c r="B3614"/>
      <c r="C3614"/>
    </row>
    <row r="3615" spans="2:3" x14ac:dyDescent="0.2">
      <c r="B3615"/>
      <c r="C3615"/>
    </row>
    <row r="3616" spans="2:3" x14ac:dyDescent="0.2">
      <c r="B3616"/>
      <c r="C3616"/>
    </row>
    <row r="3617" spans="2:3" x14ac:dyDescent="0.2">
      <c r="B3617"/>
      <c r="C3617"/>
    </row>
    <row r="3618" spans="2:3" x14ac:dyDescent="0.2">
      <c r="B3618"/>
      <c r="C3618"/>
    </row>
    <row r="3619" spans="2:3" x14ac:dyDescent="0.2">
      <c r="B3619"/>
      <c r="C3619"/>
    </row>
    <row r="3620" spans="2:3" x14ac:dyDescent="0.2">
      <c r="B3620"/>
      <c r="C3620"/>
    </row>
    <row r="3621" spans="2:3" x14ac:dyDescent="0.2">
      <c r="B3621"/>
      <c r="C3621"/>
    </row>
    <row r="3622" spans="2:3" x14ac:dyDescent="0.2">
      <c r="B3622"/>
      <c r="C3622"/>
    </row>
    <row r="3623" spans="2:3" x14ac:dyDescent="0.2">
      <c r="B3623"/>
      <c r="C3623"/>
    </row>
    <row r="3624" spans="2:3" x14ac:dyDescent="0.2">
      <c r="B3624"/>
      <c r="C3624"/>
    </row>
    <row r="3625" spans="2:3" x14ac:dyDescent="0.2">
      <c r="B3625"/>
      <c r="C3625"/>
    </row>
    <row r="3626" spans="2:3" x14ac:dyDescent="0.2">
      <c r="B3626"/>
      <c r="C3626"/>
    </row>
    <row r="3627" spans="2:3" x14ac:dyDescent="0.2">
      <c r="B3627"/>
      <c r="C3627"/>
    </row>
    <row r="3628" spans="2:3" x14ac:dyDescent="0.2">
      <c r="B3628"/>
      <c r="C3628"/>
    </row>
    <row r="3629" spans="2:3" x14ac:dyDescent="0.2">
      <c r="B3629"/>
      <c r="C3629"/>
    </row>
    <row r="3630" spans="2:3" x14ac:dyDescent="0.2">
      <c r="B3630"/>
      <c r="C3630"/>
    </row>
    <row r="3631" spans="2:3" x14ac:dyDescent="0.2">
      <c r="B3631"/>
      <c r="C3631"/>
    </row>
    <row r="3632" spans="2:3" x14ac:dyDescent="0.2">
      <c r="B3632"/>
      <c r="C3632"/>
    </row>
    <row r="3633" spans="2:3" x14ac:dyDescent="0.2">
      <c r="B3633"/>
      <c r="C3633"/>
    </row>
    <row r="3634" spans="2:3" x14ac:dyDescent="0.2">
      <c r="B3634"/>
      <c r="C3634"/>
    </row>
    <row r="3635" spans="2:3" x14ac:dyDescent="0.2">
      <c r="B3635"/>
      <c r="C3635"/>
    </row>
    <row r="3636" spans="2:3" x14ac:dyDescent="0.2">
      <c r="B3636"/>
      <c r="C3636"/>
    </row>
    <row r="3637" spans="2:3" x14ac:dyDescent="0.2">
      <c r="B3637"/>
      <c r="C3637"/>
    </row>
    <row r="3638" spans="2:3" x14ac:dyDescent="0.2">
      <c r="B3638"/>
      <c r="C3638"/>
    </row>
    <row r="3639" spans="2:3" x14ac:dyDescent="0.2">
      <c r="B3639"/>
      <c r="C3639"/>
    </row>
    <row r="3640" spans="2:3" x14ac:dyDescent="0.2">
      <c r="B3640"/>
      <c r="C3640"/>
    </row>
    <row r="3641" spans="2:3" x14ac:dyDescent="0.2">
      <c r="B3641"/>
      <c r="C3641"/>
    </row>
    <row r="3642" spans="2:3" x14ac:dyDescent="0.2">
      <c r="B3642"/>
      <c r="C3642"/>
    </row>
    <row r="3643" spans="2:3" x14ac:dyDescent="0.2">
      <c r="B3643"/>
      <c r="C3643"/>
    </row>
    <row r="3644" spans="2:3" x14ac:dyDescent="0.2">
      <c r="B3644"/>
      <c r="C3644"/>
    </row>
    <row r="3645" spans="2:3" x14ac:dyDescent="0.2">
      <c r="B3645"/>
      <c r="C3645"/>
    </row>
    <row r="3646" spans="2:3" x14ac:dyDescent="0.2">
      <c r="B3646"/>
      <c r="C3646"/>
    </row>
    <row r="3647" spans="2:3" x14ac:dyDescent="0.2">
      <c r="B3647"/>
      <c r="C3647"/>
    </row>
    <row r="3648" spans="2:3" x14ac:dyDescent="0.2">
      <c r="B3648"/>
      <c r="C3648"/>
    </row>
    <row r="3649" spans="2:3" x14ac:dyDescent="0.2">
      <c r="B3649"/>
      <c r="C3649"/>
    </row>
    <row r="3650" spans="2:3" x14ac:dyDescent="0.2">
      <c r="B3650"/>
      <c r="C3650"/>
    </row>
    <row r="3651" spans="2:3" x14ac:dyDescent="0.2">
      <c r="B3651"/>
      <c r="C3651"/>
    </row>
    <row r="3652" spans="2:3" x14ac:dyDescent="0.2">
      <c r="B3652"/>
      <c r="C3652"/>
    </row>
    <row r="3653" spans="2:3" x14ac:dyDescent="0.2">
      <c r="B3653"/>
      <c r="C3653"/>
    </row>
    <row r="3654" spans="2:3" x14ac:dyDescent="0.2">
      <c r="B3654"/>
      <c r="C3654"/>
    </row>
    <row r="3655" spans="2:3" x14ac:dyDescent="0.2">
      <c r="B3655"/>
      <c r="C3655"/>
    </row>
    <row r="3656" spans="2:3" x14ac:dyDescent="0.2">
      <c r="B3656"/>
      <c r="C3656"/>
    </row>
    <row r="3657" spans="2:3" x14ac:dyDescent="0.2">
      <c r="B3657"/>
      <c r="C3657"/>
    </row>
    <row r="3658" spans="2:3" x14ac:dyDescent="0.2">
      <c r="B3658"/>
      <c r="C3658"/>
    </row>
    <row r="3659" spans="2:3" x14ac:dyDescent="0.2">
      <c r="B3659"/>
      <c r="C3659"/>
    </row>
    <row r="3660" spans="2:3" x14ac:dyDescent="0.2">
      <c r="B3660"/>
      <c r="C3660"/>
    </row>
    <row r="3661" spans="2:3" x14ac:dyDescent="0.2">
      <c r="B3661"/>
      <c r="C3661"/>
    </row>
    <row r="3662" spans="2:3" x14ac:dyDescent="0.2">
      <c r="B3662"/>
      <c r="C3662"/>
    </row>
    <row r="3663" spans="2:3" x14ac:dyDescent="0.2">
      <c r="B3663"/>
      <c r="C3663"/>
    </row>
    <row r="3664" spans="2:3" x14ac:dyDescent="0.2">
      <c r="B3664"/>
      <c r="C3664"/>
    </row>
    <row r="3665" spans="2:3" x14ac:dyDescent="0.2">
      <c r="B3665"/>
      <c r="C3665"/>
    </row>
    <row r="3666" spans="2:3" x14ac:dyDescent="0.2">
      <c r="B3666"/>
      <c r="C3666"/>
    </row>
    <row r="3667" spans="2:3" x14ac:dyDescent="0.2">
      <c r="B3667"/>
      <c r="C3667"/>
    </row>
    <row r="3668" spans="2:3" x14ac:dyDescent="0.2">
      <c r="B3668"/>
      <c r="C3668"/>
    </row>
    <row r="3669" spans="2:3" x14ac:dyDescent="0.2">
      <c r="B3669"/>
      <c r="C3669"/>
    </row>
    <row r="3670" spans="2:3" x14ac:dyDescent="0.2">
      <c r="B3670"/>
      <c r="C3670"/>
    </row>
    <row r="3671" spans="2:3" x14ac:dyDescent="0.2">
      <c r="B3671"/>
      <c r="C3671"/>
    </row>
    <row r="3672" spans="2:3" x14ac:dyDescent="0.2">
      <c r="B3672"/>
      <c r="C3672"/>
    </row>
    <row r="3673" spans="2:3" x14ac:dyDescent="0.2">
      <c r="B3673"/>
      <c r="C3673"/>
    </row>
    <row r="3674" spans="2:3" x14ac:dyDescent="0.2">
      <c r="B3674"/>
      <c r="C3674"/>
    </row>
    <row r="3675" spans="2:3" x14ac:dyDescent="0.2">
      <c r="B3675"/>
      <c r="C3675"/>
    </row>
    <row r="3676" spans="2:3" x14ac:dyDescent="0.2">
      <c r="B3676"/>
      <c r="C3676"/>
    </row>
    <row r="3677" spans="2:3" x14ac:dyDescent="0.2">
      <c r="B3677"/>
      <c r="C3677"/>
    </row>
    <row r="3678" spans="2:3" x14ac:dyDescent="0.2">
      <c r="B3678"/>
      <c r="C3678"/>
    </row>
    <row r="3679" spans="2:3" x14ac:dyDescent="0.2">
      <c r="B3679"/>
      <c r="C3679"/>
    </row>
    <row r="3680" spans="2:3" x14ac:dyDescent="0.2">
      <c r="B3680"/>
      <c r="C3680"/>
    </row>
    <row r="3681" spans="2:3" x14ac:dyDescent="0.2">
      <c r="B3681"/>
      <c r="C3681"/>
    </row>
    <row r="3682" spans="2:3" x14ac:dyDescent="0.2">
      <c r="B3682"/>
      <c r="C3682"/>
    </row>
    <row r="3683" spans="2:3" x14ac:dyDescent="0.2">
      <c r="B3683"/>
      <c r="C3683"/>
    </row>
    <row r="3684" spans="2:3" x14ac:dyDescent="0.2">
      <c r="B3684"/>
      <c r="C3684"/>
    </row>
    <row r="3685" spans="2:3" x14ac:dyDescent="0.2">
      <c r="B3685"/>
      <c r="C3685"/>
    </row>
    <row r="3686" spans="2:3" x14ac:dyDescent="0.2">
      <c r="B3686"/>
      <c r="C3686"/>
    </row>
    <row r="3687" spans="2:3" x14ac:dyDescent="0.2">
      <c r="B3687"/>
      <c r="C3687"/>
    </row>
    <row r="3688" spans="2:3" x14ac:dyDescent="0.2">
      <c r="B3688"/>
      <c r="C3688"/>
    </row>
    <row r="3689" spans="2:3" x14ac:dyDescent="0.2">
      <c r="B3689"/>
      <c r="C3689"/>
    </row>
    <row r="3690" spans="2:3" x14ac:dyDescent="0.2">
      <c r="B3690"/>
      <c r="C3690"/>
    </row>
    <row r="3691" spans="2:3" x14ac:dyDescent="0.2">
      <c r="B3691"/>
      <c r="C3691"/>
    </row>
    <row r="3692" spans="2:3" x14ac:dyDescent="0.2">
      <c r="B3692"/>
      <c r="C3692"/>
    </row>
    <row r="3693" spans="2:3" x14ac:dyDescent="0.2">
      <c r="B3693"/>
      <c r="C3693"/>
    </row>
    <row r="3694" spans="2:3" x14ac:dyDescent="0.2">
      <c r="B3694"/>
      <c r="C3694"/>
    </row>
    <row r="3695" spans="2:3" x14ac:dyDescent="0.2">
      <c r="B3695"/>
      <c r="C3695"/>
    </row>
    <row r="3696" spans="2:3" x14ac:dyDescent="0.2">
      <c r="B3696"/>
      <c r="C3696"/>
    </row>
    <row r="3697" spans="2:3" x14ac:dyDescent="0.2">
      <c r="B3697"/>
      <c r="C3697"/>
    </row>
    <row r="3698" spans="2:3" x14ac:dyDescent="0.2">
      <c r="B3698"/>
      <c r="C3698"/>
    </row>
    <row r="3699" spans="2:3" x14ac:dyDescent="0.2">
      <c r="B3699"/>
      <c r="C3699"/>
    </row>
    <row r="3700" spans="2:3" x14ac:dyDescent="0.2">
      <c r="B3700"/>
      <c r="C3700"/>
    </row>
    <row r="3701" spans="2:3" x14ac:dyDescent="0.2">
      <c r="B3701"/>
      <c r="C3701"/>
    </row>
    <row r="3702" spans="2:3" x14ac:dyDescent="0.2">
      <c r="B3702"/>
      <c r="C3702"/>
    </row>
    <row r="3703" spans="2:3" x14ac:dyDescent="0.2">
      <c r="B3703"/>
      <c r="C3703"/>
    </row>
    <row r="3704" spans="2:3" x14ac:dyDescent="0.2">
      <c r="B3704"/>
      <c r="C3704"/>
    </row>
    <row r="3705" spans="2:3" x14ac:dyDescent="0.2">
      <c r="B3705"/>
      <c r="C3705"/>
    </row>
    <row r="3706" spans="2:3" x14ac:dyDescent="0.2">
      <c r="B3706"/>
      <c r="C3706"/>
    </row>
    <row r="3707" spans="2:3" x14ac:dyDescent="0.2">
      <c r="B3707"/>
      <c r="C3707"/>
    </row>
    <row r="3708" spans="2:3" x14ac:dyDescent="0.2">
      <c r="B3708"/>
      <c r="C3708"/>
    </row>
    <row r="3709" spans="2:3" x14ac:dyDescent="0.2">
      <c r="B3709"/>
      <c r="C3709"/>
    </row>
    <row r="3710" spans="2:3" x14ac:dyDescent="0.2">
      <c r="B3710"/>
      <c r="C3710"/>
    </row>
    <row r="3711" spans="2:3" x14ac:dyDescent="0.2">
      <c r="B3711"/>
      <c r="C3711"/>
    </row>
    <row r="3712" spans="2:3" x14ac:dyDescent="0.2">
      <c r="B3712"/>
      <c r="C3712"/>
    </row>
    <row r="3713" spans="2:3" x14ac:dyDescent="0.2">
      <c r="B3713"/>
      <c r="C3713"/>
    </row>
    <row r="3714" spans="2:3" x14ac:dyDescent="0.2">
      <c r="B3714"/>
      <c r="C3714"/>
    </row>
    <row r="3715" spans="2:3" x14ac:dyDescent="0.2">
      <c r="B3715"/>
      <c r="C3715"/>
    </row>
    <row r="3716" spans="2:3" x14ac:dyDescent="0.2">
      <c r="B3716"/>
      <c r="C3716"/>
    </row>
    <row r="3717" spans="2:3" x14ac:dyDescent="0.2">
      <c r="B3717"/>
      <c r="C3717"/>
    </row>
    <row r="3718" spans="2:3" x14ac:dyDescent="0.2">
      <c r="B3718"/>
      <c r="C3718"/>
    </row>
    <row r="3719" spans="2:3" x14ac:dyDescent="0.2">
      <c r="B3719"/>
      <c r="C3719"/>
    </row>
    <row r="3720" spans="2:3" x14ac:dyDescent="0.2">
      <c r="B3720"/>
      <c r="C3720"/>
    </row>
    <row r="3721" spans="2:3" x14ac:dyDescent="0.2">
      <c r="B3721"/>
      <c r="C3721"/>
    </row>
    <row r="3722" spans="2:3" x14ac:dyDescent="0.2">
      <c r="B3722"/>
      <c r="C3722"/>
    </row>
    <row r="3723" spans="2:3" x14ac:dyDescent="0.2">
      <c r="B3723"/>
      <c r="C3723"/>
    </row>
    <row r="3724" spans="2:3" x14ac:dyDescent="0.2">
      <c r="B3724"/>
      <c r="C3724"/>
    </row>
    <row r="3725" spans="2:3" x14ac:dyDescent="0.2">
      <c r="B3725"/>
      <c r="C3725"/>
    </row>
    <row r="3726" spans="2:3" x14ac:dyDescent="0.2">
      <c r="B3726"/>
      <c r="C3726"/>
    </row>
    <row r="3727" spans="2:3" x14ac:dyDescent="0.2">
      <c r="B3727"/>
      <c r="C3727"/>
    </row>
    <row r="3728" spans="2:3" x14ac:dyDescent="0.2">
      <c r="B3728"/>
      <c r="C3728"/>
    </row>
    <row r="3729" spans="2:3" x14ac:dyDescent="0.2">
      <c r="B3729"/>
      <c r="C3729"/>
    </row>
    <row r="3730" spans="2:3" x14ac:dyDescent="0.2">
      <c r="B3730"/>
      <c r="C3730"/>
    </row>
    <row r="3731" spans="2:3" x14ac:dyDescent="0.2">
      <c r="B3731"/>
      <c r="C3731"/>
    </row>
    <row r="3732" spans="2:3" x14ac:dyDescent="0.2">
      <c r="B3732"/>
      <c r="C3732"/>
    </row>
    <row r="3733" spans="2:3" x14ac:dyDescent="0.2">
      <c r="B3733"/>
      <c r="C3733"/>
    </row>
  </sheetData>
  <mergeCells count="747">
    <mergeCell ref="AC103:AC104"/>
    <mergeCell ref="AF103:AF104"/>
    <mergeCell ref="AI103:AI104"/>
    <mergeCell ref="AM103:AP103"/>
    <mergeCell ref="BJ103:BK103"/>
    <mergeCell ref="GV71:GW71"/>
    <mergeCell ref="A87:A91"/>
    <mergeCell ref="R101:S101"/>
    <mergeCell ref="AK101:AL101"/>
    <mergeCell ref="E103:F103"/>
    <mergeCell ref="G103:H103"/>
    <mergeCell ref="I103:J103"/>
    <mergeCell ref="K103:L103"/>
    <mergeCell ref="M103:N103"/>
    <mergeCell ref="O103:P103"/>
    <mergeCell ref="GB71:GC71"/>
    <mergeCell ref="GD71:GE71"/>
    <mergeCell ref="GH71:GI71"/>
    <mergeCell ref="GL71:GM71"/>
    <mergeCell ref="GN71:GO71"/>
    <mergeCell ref="GR71:GS71"/>
    <mergeCell ref="FH71:FI71"/>
    <mergeCell ref="FJ71:FK71"/>
    <mergeCell ref="FN71:FO71"/>
    <mergeCell ref="FR71:FS71"/>
    <mergeCell ref="FT71:FU71"/>
    <mergeCell ref="FX71:FY71"/>
    <mergeCell ref="EN71:EO71"/>
    <mergeCell ref="EP71:EQ71"/>
    <mergeCell ref="ET71:EU71"/>
    <mergeCell ref="EX71:EY71"/>
    <mergeCell ref="EZ71:FA71"/>
    <mergeCell ref="FD71:FE71"/>
    <mergeCell ref="DT71:DU71"/>
    <mergeCell ref="DV71:DW71"/>
    <mergeCell ref="DZ71:EA71"/>
    <mergeCell ref="ED71:EE71"/>
    <mergeCell ref="EF71:EG71"/>
    <mergeCell ref="EJ71:EK71"/>
    <mergeCell ref="CZ71:DA71"/>
    <mergeCell ref="DB71:DC71"/>
    <mergeCell ref="DF71:DG71"/>
    <mergeCell ref="DJ71:DK71"/>
    <mergeCell ref="DL71:DM71"/>
    <mergeCell ref="DP71:DQ71"/>
    <mergeCell ref="CF71:CG71"/>
    <mergeCell ref="CH71:CI71"/>
    <mergeCell ref="CL71:CM71"/>
    <mergeCell ref="CP71:CQ71"/>
    <mergeCell ref="CR71:CS71"/>
    <mergeCell ref="CV71:CW71"/>
    <mergeCell ref="BL71:BM71"/>
    <mergeCell ref="BN71:BO71"/>
    <mergeCell ref="BR71:BS71"/>
    <mergeCell ref="BV71:BW71"/>
    <mergeCell ref="BX71:BY71"/>
    <mergeCell ref="CB71:CC71"/>
    <mergeCell ref="AR71:AS71"/>
    <mergeCell ref="AT71:AU71"/>
    <mergeCell ref="AX71:AY71"/>
    <mergeCell ref="BB71:BC71"/>
    <mergeCell ref="BD71:BE71"/>
    <mergeCell ref="BH71:BI71"/>
    <mergeCell ref="X71:Y71"/>
    <mergeCell ref="Z71:AA71"/>
    <mergeCell ref="AD71:AE71"/>
    <mergeCell ref="AH71:AI71"/>
    <mergeCell ref="AJ71:AK71"/>
    <mergeCell ref="AN71:AO71"/>
    <mergeCell ref="GL52:GM52"/>
    <mergeCell ref="GN52:GO52"/>
    <mergeCell ref="GR52:GS52"/>
    <mergeCell ref="GV52:GW52"/>
    <mergeCell ref="D71:E71"/>
    <mergeCell ref="F71:G71"/>
    <mergeCell ref="J71:K71"/>
    <mergeCell ref="N71:O71"/>
    <mergeCell ref="P71:Q71"/>
    <mergeCell ref="T71:U71"/>
    <mergeCell ref="FR52:FS52"/>
    <mergeCell ref="FT52:FU52"/>
    <mergeCell ref="FX52:FY52"/>
    <mergeCell ref="GB52:GC52"/>
    <mergeCell ref="GD52:GE52"/>
    <mergeCell ref="GH52:GI52"/>
    <mergeCell ref="EX52:EY52"/>
    <mergeCell ref="EZ52:FA52"/>
    <mergeCell ref="FD52:FE52"/>
    <mergeCell ref="FH52:FI52"/>
    <mergeCell ref="FJ52:FK52"/>
    <mergeCell ref="FN52:FO52"/>
    <mergeCell ref="ED52:EE52"/>
    <mergeCell ref="EF52:EG52"/>
    <mergeCell ref="EJ52:EK52"/>
    <mergeCell ref="EN52:EO52"/>
    <mergeCell ref="EP52:EQ52"/>
    <mergeCell ref="ET52:EU52"/>
    <mergeCell ref="DJ52:DK52"/>
    <mergeCell ref="DL52:DM52"/>
    <mergeCell ref="DP52:DQ52"/>
    <mergeCell ref="DT52:DU52"/>
    <mergeCell ref="DV52:DW52"/>
    <mergeCell ref="DZ52:EA52"/>
    <mergeCell ref="CP52:CQ52"/>
    <mergeCell ref="CR52:CS52"/>
    <mergeCell ref="CV52:CW52"/>
    <mergeCell ref="CZ52:DA52"/>
    <mergeCell ref="DB52:DC52"/>
    <mergeCell ref="DF52:DG52"/>
    <mergeCell ref="BX52:BY52"/>
    <mergeCell ref="CB52:CC52"/>
    <mergeCell ref="CF52:CG52"/>
    <mergeCell ref="CH52:CI52"/>
    <mergeCell ref="CL52:CM52"/>
    <mergeCell ref="CN52:CO52"/>
    <mergeCell ref="BD52:BE52"/>
    <mergeCell ref="BH52:BI52"/>
    <mergeCell ref="BL52:BM52"/>
    <mergeCell ref="BN52:BO52"/>
    <mergeCell ref="BR52:BS52"/>
    <mergeCell ref="BV52:BW52"/>
    <mergeCell ref="AJ52:AK52"/>
    <mergeCell ref="AN52:AO52"/>
    <mergeCell ref="AR52:AS52"/>
    <mergeCell ref="AT52:AU52"/>
    <mergeCell ref="AX52:AY52"/>
    <mergeCell ref="BB52:BC52"/>
    <mergeCell ref="P52:Q52"/>
    <mergeCell ref="T52:U52"/>
    <mergeCell ref="X52:Y52"/>
    <mergeCell ref="Z52:AA52"/>
    <mergeCell ref="AD52:AE52"/>
    <mergeCell ref="AH52:AI52"/>
    <mergeCell ref="D52:E52"/>
    <mergeCell ref="F52:G52"/>
    <mergeCell ref="H52:I52"/>
    <mergeCell ref="J52:K52"/>
    <mergeCell ref="L52:M52"/>
    <mergeCell ref="N52:O52"/>
    <mergeCell ref="GL10:GM10"/>
    <mergeCell ref="GN10:GO10"/>
    <mergeCell ref="GP10:GQ10"/>
    <mergeCell ref="GR10:GS10"/>
    <mergeCell ref="GT10:GU10"/>
    <mergeCell ref="GV10:GW10"/>
    <mergeCell ref="FZ10:GA10"/>
    <mergeCell ref="GB10:GC10"/>
    <mergeCell ref="GD10:GE10"/>
    <mergeCell ref="GF10:GG10"/>
    <mergeCell ref="GH10:GI10"/>
    <mergeCell ref="GJ10:GK10"/>
    <mergeCell ref="FN10:FO10"/>
    <mergeCell ref="FP10:FQ10"/>
    <mergeCell ref="FR10:FS10"/>
    <mergeCell ref="FT10:FU10"/>
    <mergeCell ref="FV10:FW10"/>
    <mergeCell ref="FX10:FY10"/>
    <mergeCell ref="FB10:FC10"/>
    <mergeCell ref="FD10:FE10"/>
    <mergeCell ref="FF10:FG10"/>
    <mergeCell ref="FH10:FI10"/>
    <mergeCell ref="FJ10:FK10"/>
    <mergeCell ref="FL10:FM10"/>
    <mergeCell ref="EP10:EQ10"/>
    <mergeCell ref="ER10:ES10"/>
    <mergeCell ref="ET10:EU10"/>
    <mergeCell ref="EV10:EW10"/>
    <mergeCell ref="EX10:EY10"/>
    <mergeCell ref="EZ10:FA10"/>
    <mergeCell ref="ED10:EE10"/>
    <mergeCell ref="EF10:EG10"/>
    <mergeCell ref="EH10:EI10"/>
    <mergeCell ref="EJ10:EK10"/>
    <mergeCell ref="EL10:EM10"/>
    <mergeCell ref="EN10:EO10"/>
    <mergeCell ref="DR10:DS10"/>
    <mergeCell ref="DT10:DU10"/>
    <mergeCell ref="DV10:DW10"/>
    <mergeCell ref="DX10:DY10"/>
    <mergeCell ref="DZ10:EA10"/>
    <mergeCell ref="EB10:EC10"/>
    <mergeCell ref="DF10:DG10"/>
    <mergeCell ref="DH10:DI10"/>
    <mergeCell ref="DJ10:DK10"/>
    <mergeCell ref="DL10:DM10"/>
    <mergeCell ref="DN10:DO10"/>
    <mergeCell ref="DP10:DQ10"/>
    <mergeCell ref="CT10:CU10"/>
    <mergeCell ref="CV10:CW10"/>
    <mergeCell ref="CX10:CY10"/>
    <mergeCell ref="CZ10:DA10"/>
    <mergeCell ref="DB10:DC10"/>
    <mergeCell ref="DD10:DE10"/>
    <mergeCell ref="CH10:CI10"/>
    <mergeCell ref="CJ10:CK10"/>
    <mergeCell ref="CL10:CM10"/>
    <mergeCell ref="CN10:CO10"/>
    <mergeCell ref="CP10:CQ10"/>
    <mergeCell ref="CR10:CS10"/>
    <mergeCell ref="BV10:BW10"/>
    <mergeCell ref="BX10:BY10"/>
    <mergeCell ref="BZ10:CA10"/>
    <mergeCell ref="CB10:CC10"/>
    <mergeCell ref="CD10:CE10"/>
    <mergeCell ref="CF10:CG10"/>
    <mergeCell ref="BJ10:BK10"/>
    <mergeCell ref="BL10:BM10"/>
    <mergeCell ref="BN10:BO10"/>
    <mergeCell ref="BP10:BQ10"/>
    <mergeCell ref="BR10:BS10"/>
    <mergeCell ref="BT10:BU10"/>
    <mergeCell ref="AX10:AY10"/>
    <mergeCell ref="AZ10:BA10"/>
    <mergeCell ref="BB10:BC10"/>
    <mergeCell ref="BD10:BE10"/>
    <mergeCell ref="BF10:BG10"/>
    <mergeCell ref="BH10:BI10"/>
    <mergeCell ref="AL10:AM10"/>
    <mergeCell ref="AN10:AO10"/>
    <mergeCell ref="AP10:AQ10"/>
    <mergeCell ref="AR10:AS10"/>
    <mergeCell ref="AT10:AU10"/>
    <mergeCell ref="AV10:AW10"/>
    <mergeCell ref="Z10:AA10"/>
    <mergeCell ref="AB10:AC10"/>
    <mergeCell ref="AD10:AE10"/>
    <mergeCell ref="AF10:AG10"/>
    <mergeCell ref="AH10:AI10"/>
    <mergeCell ref="AJ10:AK10"/>
    <mergeCell ref="N10:O10"/>
    <mergeCell ref="P10:Q10"/>
    <mergeCell ref="R10:S10"/>
    <mergeCell ref="T10:U10"/>
    <mergeCell ref="V10:W10"/>
    <mergeCell ref="X10:Y10"/>
    <mergeCell ref="GN9:GO9"/>
    <mergeCell ref="GP9:GQ9"/>
    <mergeCell ref="GR9:GS9"/>
    <mergeCell ref="GT9:GU9"/>
    <mergeCell ref="GV9:GW9"/>
    <mergeCell ref="D10:E10"/>
    <mergeCell ref="F10:G10"/>
    <mergeCell ref="H10:I10"/>
    <mergeCell ref="J10:K10"/>
    <mergeCell ref="L10:M10"/>
    <mergeCell ref="GB9:GC9"/>
    <mergeCell ref="GD9:GE9"/>
    <mergeCell ref="GF9:GG9"/>
    <mergeCell ref="GH9:GI9"/>
    <mergeCell ref="GJ9:GK9"/>
    <mergeCell ref="GL9:GM9"/>
    <mergeCell ref="FP9:FQ9"/>
    <mergeCell ref="FR9:FS9"/>
    <mergeCell ref="FT9:FU9"/>
    <mergeCell ref="FV9:FW9"/>
    <mergeCell ref="FX9:FY9"/>
    <mergeCell ref="FZ9:GA9"/>
    <mergeCell ref="FD9:FE9"/>
    <mergeCell ref="FF9:FG9"/>
    <mergeCell ref="FH9:FI9"/>
    <mergeCell ref="FJ9:FK9"/>
    <mergeCell ref="FL9:FM9"/>
    <mergeCell ref="FN9:FO9"/>
    <mergeCell ref="ER9:ES9"/>
    <mergeCell ref="ET9:EU9"/>
    <mergeCell ref="EV9:EW9"/>
    <mergeCell ref="EX9:EY9"/>
    <mergeCell ref="EZ9:FA9"/>
    <mergeCell ref="FB9:FC9"/>
    <mergeCell ref="EF9:EG9"/>
    <mergeCell ref="EH9:EI9"/>
    <mergeCell ref="EJ9:EK9"/>
    <mergeCell ref="EL9:EM9"/>
    <mergeCell ref="EN9:EO9"/>
    <mergeCell ref="EP9:EQ9"/>
    <mergeCell ref="DT9:DU9"/>
    <mergeCell ref="DV9:DW9"/>
    <mergeCell ref="DX9:DY9"/>
    <mergeCell ref="DZ9:EA9"/>
    <mergeCell ref="EB9:EC9"/>
    <mergeCell ref="ED9:EE9"/>
    <mergeCell ref="DH9:DI9"/>
    <mergeCell ref="DJ9:DK9"/>
    <mergeCell ref="DL9:DM9"/>
    <mergeCell ref="DN9:DO9"/>
    <mergeCell ref="DP9:DQ9"/>
    <mergeCell ref="DR9:DS9"/>
    <mergeCell ref="CV9:CW9"/>
    <mergeCell ref="CX9:CY9"/>
    <mergeCell ref="CZ9:DA9"/>
    <mergeCell ref="DB9:DC9"/>
    <mergeCell ref="DD9:DE9"/>
    <mergeCell ref="DF9:DG9"/>
    <mergeCell ref="CJ9:CK9"/>
    <mergeCell ref="CL9:CM9"/>
    <mergeCell ref="CN9:CO9"/>
    <mergeCell ref="CP9:CQ9"/>
    <mergeCell ref="CR9:CS9"/>
    <mergeCell ref="CT9:CU9"/>
    <mergeCell ref="BX9:BY9"/>
    <mergeCell ref="BZ9:CA9"/>
    <mergeCell ref="CB9:CC9"/>
    <mergeCell ref="CD9:CE9"/>
    <mergeCell ref="CF9:CG9"/>
    <mergeCell ref="CH9:CI9"/>
    <mergeCell ref="BL9:BM9"/>
    <mergeCell ref="BN9:BO9"/>
    <mergeCell ref="BP9:BQ9"/>
    <mergeCell ref="BR9:BS9"/>
    <mergeCell ref="BT9:BU9"/>
    <mergeCell ref="BV9:BW9"/>
    <mergeCell ref="AZ9:BA9"/>
    <mergeCell ref="BB9:BC9"/>
    <mergeCell ref="BD9:BE9"/>
    <mergeCell ref="BF9:BG9"/>
    <mergeCell ref="BH9:BI9"/>
    <mergeCell ref="BJ9:BK9"/>
    <mergeCell ref="AN9:AO9"/>
    <mergeCell ref="AP9:AQ9"/>
    <mergeCell ref="AR9:AS9"/>
    <mergeCell ref="AT9:AU9"/>
    <mergeCell ref="AV9:AW9"/>
    <mergeCell ref="AX9:AY9"/>
    <mergeCell ref="AB9:AC9"/>
    <mergeCell ref="AD9:AE9"/>
    <mergeCell ref="AF9:AG9"/>
    <mergeCell ref="AH9:AI9"/>
    <mergeCell ref="AJ9:AK9"/>
    <mergeCell ref="AL9:AM9"/>
    <mergeCell ref="P9:Q9"/>
    <mergeCell ref="R9:S9"/>
    <mergeCell ref="T9:U9"/>
    <mergeCell ref="V9:W9"/>
    <mergeCell ref="X9:Y9"/>
    <mergeCell ref="Z9:AA9"/>
    <mergeCell ref="D9:E9"/>
    <mergeCell ref="F9:G9"/>
    <mergeCell ref="H9:I9"/>
    <mergeCell ref="J9:K9"/>
    <mergeCell ref="L9:M9"/>
    <mergeCell ref="N9:O9"/>
    <mergeCell ref="GL8:GM8"/>
    <mergeCell ref="GN8:GO8"/>
    <mergeCell ref="GP8:GQ8"/>
    <mergeCell ref="GR8:GS8"/>
    <mergeCell ref="GT8:GU8"/>
    <mergeCell ref="GV8:GW8"/>
    <mergeCell ref="FZ8:GA8"/>
    <mergeCell ref="GB8:GC8"/>
    <mergeCell ref="GD8:GE8"/>
    <mergeCell ref="GF8:GG8"/>
    <mergeCell ref="GH8:GI8"/>
    <mergeCell ref="GJ8:GK8"/>
    <mergeCell ref="FN8:FO8"/>
    <mergeCell ref="FP8:FQ8"/>
    <mergeCell ref="FR8:FS8"/>
    <mergeCell ref="FT8:FU8"/>
    <mergeCell ref="FV8:FW8"/>
    <mergeCell ref="FX8:FY8"/>
    <mergeCell ref="FB8:FC8"/>
    <mergeCell ref="FD8:FE8"/>
    <mergeCell ref="FF8:FG8"/>
    <mergeCell ref="FH8:FI8"/>
    <mergeCell ref="FJ8:FK8"/>
    <mergeCell ref="FL8:FM8"/>
    <mergeCell ref="EP8:EQ8"/>
    <mergeCell ref="ER8:ES8"/>
    <mergeCell ref="ET8:EU8"/>
    <mergeCell ref="EV8:EW8"/>
    <mergeCell ref="EX8:EY8"/>
    <mergeCell ref="EZ8:FA8"/>
    <mergeCell ref="ED8:EE8"/>
    <mergeCell ref="EF8:EG8"/>
    <mergeCell ref="EH8:EI8"/>
    <mergeCell ref="EJ8:EK8"/>
    <mergeCell ref="EL8:EM8"/>
    <mergeCell ref="EN8:EO8"/>
    <mergeCell ref="DR8:DS8"/>
    <mergeCell ref="DT8:DU8"/>
    <mergeCell ref="DV8:DW8"/>
    <mergeCell ref="DX8:DY8"/>
    <mergeCell ref="DZ8:EA8"/>
    <mergeCell ref="EB8:EC8"/>
    <mergeCell ref="DF8:DG8"/>
    <mergeCell ref="DH8:DI8"/>
    <mergeCell ref="DJ8:DK8"/>
    <mergeCell ref="DL8:DM8"/>
    <mergeCell ref="DN8:DO8"/>
    <mergeCell ref="DP8:DQ8"/>
    <mergeCell ref="CT8:CU8"/>
    <mergeCell ref="CV8:CW8"/>
    <mergeCell ref="CX8:CY8"/>
    <mergeCell ref="CZ8:DA8"/>
    <mergeCell ref="DB8:DC8"/>
    <mergeCell ref="DD8:DE8"/>
    <mergeCell ref="CH8:CI8"/>
    <mergeCell ref="CJ8:CK8"/>
    <mergeCell ref="CL8:CM8"/>
    <mergeCell ref="CN8:CO8"/>
    <mergeCell ref="CP8:CQ8"/>
    <mergeCell ref="CR8:CS8"/>
    <mergeCell ref="BV8:BW8"/>
    <mergeCell ref="BX8:BY8"/>
    <mergeCell ref="BZ8:CA8"/>
    <mergeCell ref="CB8:CC8"/>
    <mergeCell ref="CD8:CE8"/>
    <mergeCell ref="CF8:CG8"/>
    <mergeCell ref="BJ8:BK8"/>
    <mergeCell ref="BL8:BM8"/>
    <mergeCell ref="BN8:BO8"/>
    <mergeCell ref="BP8:BQ8"/>
    <mergeCell ref="BR8:BS8"/>
    <mergeCell ref="BT8:BU8"/>
    <mergeCell ref="AX8:AY8"/>
    <mergeCell ref="AZ8:BA8"/>
    <mergeCell ref="BB8:BC8"/>
    <mergeCell ref="BD8:BE8"/>
    <mergeCell ref="BF8:BG8"/>
    <mergeCell ref="BH8:BI8"/>
    <mergeCell ref="AL8:AM8"/>
    <mergeCell ref="AN8:AO8"/>
    <mergeCell ref="AP8:AQ8"/>
    <mergeCell ref="AR8:AS8"/>
    <mergeCell ref="AT8:AU8"/>
    <mergeCell ref="AV8:AW8"/>
    <mergeCell ref="Z8:AA8"/>
    <mergeCell ref="AB8:AC8"/>
    <mergeCell ref="AD8:AE8"/>
    <mergeCell ref="AF8:AG8"/>
    <mergeCell ref="AH8:AI8"/>
    <mergeCell ref="AJ8:AK8"/>
    <mergeCell ref="N8:O8"/>
    <mergeCell ref="P8:Q8"/>
    <mergeCell ref="R8:S8"/>
    <mergeCell ref="T8:U8"/>
    <mergeCell ref="V8:W8"/>
    <mergeCell ref="X8:Y8"/>
    <mergeCell ref="GN7:GO7"/>
    <mergeCell ref="GP7:GQ7"/>
    <mergeCell ref="GR7:GS7"/>
    <mergeCell ref="GT7:GU7"/>
    <mergeCell ref="GV7:GW7"/>
    <mergeCell ref="D8:E8"/>
    <mergeCell ref="F8:G8"/>
    <mergeCell ref="H8:I8"/>
    <mergeCell ref="J8:K8"/>
    <mergeCell ref="L8:M8"/>
    <mergeCell ref="GB7:GC7"/>
    <mergeCell ref="GD7:GE7"/>
    <mergeCell ref="GF7:GG7"/>
    <mergeCell ref="GH7:GI7"/>
    <mergeCell ref="GJ7:GK7"/>
    <mergeCell ref="GL7:GM7"/>
    <mergeCell ref="FP7:FQ7"/>
    <mergeCell ref="FR7:FS7"/>
    <mergeCell ref="FT7:FU7"/>
    <mergeCell ref="FV7:FW7"/>
    <mergeCell ref="FX7:FY7"/>
    <mergeCell ref="FZ7:GA7"/>
    <mergeCell ref="FD7:FE7"/>
    <mergeCell ref="FF7:FG7"/>
    <mergeCell ref="FH7:FI7"/>
    <mergeCell ref="FJ7:FK7"/>
    <mergeCell ref="FL7:FM7"/>
    <mergeCell ref="FN7:FO7"/>
    <mergeCell ref="ER7:ES7"/>
    <mergeCell ref="ET7:EU7"/>
    <mergeCell ref="EV7:EW7"/>
    <mergeCell ref="EX7:EY7"/>
    <mergeCell ref="EZ7:FA7"/>
    <mergeCell ref="FB7:FC7"/>
    <mergeCell ref="EF7:EG7"/>
    <mergeCell ref="EH7:EI7"/>
    <mergeCell ref="EJ7:EK7"/>
    <mergeCell ref="EL7:EM7"/>
    <mergeCell ref="EN7:EO7"/>
    <mergeCell ref="EP7:EQ7"/>
    <mergeCell ref="DT7:DU7"/>
    <mergeCell ref="DV7:DW7"/>
    <mergeCell ref="DX7:DY7"/>
    <mergeCell ref="DZ7:EA7"/>
    <mergeCell ref="EB7:EC7"/>
    <mergeCell ref="ED7:EE7"/>
    <mergeCell ref="DH7:DI7"/>
    <mergeCell ref="DJ7:DK7"/>
    <mergeCell ref="DL7:DM7"/>
    <mergeCell ref="DN7:DO7"/>
    <mergeCell ref="DP7:DQ7"/>
    <mergeCell ref="DR7:DS7"/>
    <mergeCell ref="CV7:CW7"/>
    <mergeCell ref="CX7:CY7"/>
    <mergeCell ref="CZ7:DA7"/>
    <mergeCell ref="DB7:DC7"/>
    <mergeCell ref="DD7:DE7"/>
    <mergeCell ref="DF7:DG7"/>
    <mergeCell ref="CJ7:CK7"/>
    <mergeCell ref="CL7:CM7"/>
    <mergeCell ref="CN7:CO7"/>
    <mergeCell ref="CP7:CQ7"/>
    <mergeCell ref="CR7:CS7"/>
    <mergeCell ref="CT7:CU7"/>
    <mergeCell ref="BX7:BY7"/>
    <mergeCell ref="BZ7:CA7"/>
    <mergeCell ref="CB7:CC7"/>
    <mergeCell ref="CD7:CE7"/>
    <mergeCell ref="CF7:CG7"/>
    <mergeCell ref="CH7:CI7"/>
    <mergeCell ref="BL7:BM7"/>
    <mergeCell ref="BN7:BO7"/>
    <mergeCell ref="BP7:BQ7"/>
    <mergeCell ref="BR7:BS7"/>
    <mergeCell ref="BT7:BU7"/>
    <mergeCell ref="BV7:BW7"/>
    <mergeCell ref="AZ7:BA7"/>
    <mergeCell ref="BB7:BC7"/>
    <mergeCell ref="BD7:BE7"/>
    <mergeCell ref="BF7:BG7"/>
    <mergeCell ref="BH7:BI7"/>
    <mergeCell ref="BJ7:BK7"/>
    <mergeCell ref="AN7:AO7"/>
    <mergeCell ref="AP7:AQ7"/>
    <mergeCell ref="AR7:AS7"/>
    <mergeCell ref="AT7:AU7"/>
    <mergeCell ref="AV7:AW7"/>
    <mergeCell ref="AX7:AY7"/>
    <mergeCell ref="AB7:AC7"/>
    <mergeCell ref="AD7:AE7"/>
    <mergeCell ref="AF7:AG7"/>
    <mergeCell ref="AH7:AI7"/>
    <mergeCell ref="AJ7:AK7"/>
    <mergeCell ref="AL7:AM7"/>
    <mergeCell ref="P7:Q7"/>
    <mergeCell ref="R7:S7"/>
    <mergeCell ref="T7:U7"/>
    <mergeCell ref="V7:W7"/>
    <mergeCell ref="X7:Y7"/>
    <mergeCell ref="Z7:AA7"/>
    <mergeCell ref="GP6:GQ6"/>
    <mergeCell ref="GR6:GS6"/>
    <mergeCell ref="GT6:GU6"/>
    <mergeCell ref="FP6:FQ6"/>
    <mergeCell ref="ET6:EU6"/>
    <mergeCell ref="EV6:EW6"/>
    <mergeCell ref="EX6:EY6"/>
    <mergeCell ref="EZ6:FA6"/>
    <mergeCell ref="FB6:FC6"/>
    <mergeCell ref="FD6:FE6"/>
    <mergeCell ref="EH6:EI6"/>
    <mergeCell ref="EJ6:EK6"/>
    <mergeCell ref="EL6:EM6"/>
    <mergeCell ref="EN6:EO6"/>
    <mergeCell ref="EP6:EQ6"/>
    <mergeCell ref="ER6:ES6"/>
    <mergeCell ref="DV6:DW6"/>
    <mergeCell ref="DX6:DY6"/>
    <mergeCell ref="GV6:GW6"/>
    <mergeCell ref="D7:E7"/>
    <mergeCell ref="F7:G7"/>
    <mergeCell ref="H7:I7"/>
    <mergeCell ref="J7:K7"/>
    <mergeCell ref="L7:M7"/>
    <mergeCell ref="N7:O7"/>
    <mergeCell ref="GD6:GE6"/>
    <mergeCell ref="GF6:GG6"/>
    <mergeCell ref="GH6:GI6"/>
    <mergeCell ref="GJ6:GK6"/>
    <mergeCell ref="GL6:GM6"/>
    <mergeCell ref="GN6:GO6"/>
    <mergeCell ref="FR6:FS6"/>
    <mergeCell ref="FT6:FU6"/>
    <mergeCell ref="FV6:FW6"/>
    <mergeCell ref="FX6:FY6"/>
    <mergeCell ref="FZ6:GA6"/>
    <mergeCell ref="GB6:GC6"/>
    <mergeCell ref="FF6:FG6"/>
    <mergeCell ref="FH6:FI6"/>
    <mergeCell ref="FJ6:FK6"/>
    <mergeCell ref="FL6:FM6"/>
    <mergeCell ref="FN6:FO6"/>
    <mergeCell ref="DZ6:EA6"/>
    <mergeCell ref="EB6:EC6"/>
    <mergeCell ref="ED6:EE6"/>
    <mergeCell ref="EF6:EG6"/>
    <mergeCell ref="DJ6:DK6"/>
    <mergeCell ref="DL6:DM6"/>
    <mergeCell ref="DN6:DO6"/>
    <mergeCell ref="DP6:DQ6"/>
    <mergeCell ref="DR6:DS6"/>
    <mergeCell ref="DT6:DU6"/>
    <mergeCell ref="CX6:CY6"/>
    <mergeCell ref="CZ6:DA6"/>
    <mergeCell ref="DB6:DC6"/>
    <mergeCell ref="DD6:DE6"/>
    <mergeCell ref="DF6:DG6"/>
    <mergeCell ref="DH6:DI6"/>
    <mergeCell ref="CL6:CM6"/>
    <mergeCell ref="CN6:CO6"/>
    <mergeCell ref="CP6:CQ6"/>
    <mergeCell ref="CR6:CS6"/>
    <mergeCell ref="CT6:CU6"/>
    <mergeCell ref="CV6:CW6"/>
    <mergeCell ref="BZ6:CA6"/>
    <mergeCell ref="CB6:CC6"/>
    <mergeCell ref="CD6:CE6"/>
    <mergeCell ref="CF6:CG6"/>
    <mergeCell ref="CH6:CI6"/>
    <mergeCell ref="CJ6:CK6"/>
    <mergeCell ref="BN6:BO6"/>
    <mergeCell ref="BP6:BQ6"/>
    <mergeCell ref="BR6:BS6"/>
    <mergeCell ref="BT6:BU6"/>
    <mergeCell ref="BV6:BW6"/>
    <mergeCell ref="BX6:BY6"/>
    <mergeCell ref="BB6:BC6"/>
    <mergeCell ref="BD6:BE6"/>
    <mergeCell ref="BF6:BG6"/>
    <mergeCell ref="BH6:BI6"/>
    <mergeCell ref="BJ6:BK6"/>
    <mergeCell ref="BL6:BM6"/>
    <mergeCell ref="AP6:AQ6"/>
    <mergeCell ref="AR6:AS6"/>
    <mergeCell ref="AT6:AU6"/>
    <mergeCell ref="AV6:AW6"/>
    <mergeCell ref="AX6:AY6"/>
    <mergeCell ref="AZ6:BA6"/>
    <mergeCell ref="AD6:AE6"/>
    <mergeCell ref="AF6:AG6"/>
    <mergeCell ref="AH6:AI6"/>
    <mergeCell ref="AJ6:AK6"/>
    <mergeCell ref="AL6:AM6"/>
    <mergeCell ref="AN6:AO6"/>
    <mergeCell ref="R6:S6"/>
    <mergeCell ref="T6:U6"/>
    <mergeCell ref="V6:W6"/>
    <mergeCell ref="X6:Y6"/>
    <mergeCell ref="Z6:AA6"/>
    <mergeCell ref="AB6:AC6"/>
    <mergeCell ref="GR5:GS5"/>
    <mergeCell ref="GT5:GU5"/>
    <mergeCell ref="GV5:GW5"/>
    <mergeCell ref="D6:E6"/>
    <mergeCell ref="F6:G6"/>
    <mergeCell ref="H6:I6"/>
    <mergeCell ref="J6:K6"/>
    <mergeCell ref="L6:M6"/>
    <mergeCell ref="N6:O6"/>
    <mergeCell ref="P6:Q6"/>
    <mergeCell ref="GF5:GG5"/>
    <mergeCell ref="GH5:GI5"/>
    <mergeCell ref="GJ5:GK5"/>
    <mergeCell ref="GL5:GM5"/>
    <mergeCell ref="GN5:GO5"/>
    <mergeCell ref="GP5:GQ5"/>
    <mergeCell ref="FT5:FU5"/>
    <mergeCell ref="FV5:FW5"/>
    <mergeCell ref="FX5:FY5"/>
    <mergeCell ref="FZ5:GA5"/>
    <mergeCell ref="GB5:GC5"/>
    <mergeCell ref="GD5:GE5"/>
    <mergeCell ref="FH5:FI5"/>
    <mergeCell ref="FJ5:FK5"/>
    <mergeCell ref="FL5:FM5"/>
    <mergeCell ref="FN5:FO5"/>
    <mergeCell ref="FP5:FQ5"/>
    <mergeCell ref="FR5:FS5"/>
    <mergeCell ref="EV5:EW5"/>
    <mergeCell ref="EX5:EY5"/>
    <mergeCell ref="EZ5:FA5"/>
    <mergeCell ref="FB5:FC5"/>
    <mergeCell ref="FD5:FE5"/>
    <mergeCell ref="FF5:FG5"/>
    <mergeCell ref="EJ5:EK5"/>
    <mergeCell ref="EL5:EM5"/>
    <mergeCell ref="EN5:EO5"/>
    <mergeCell ref="EP5:EQ5"/>
    <mergeCell ref="ER5:ES5"/>
    <mergeCell ref="ET5:EU5"/>
    <mergeCell ref="DX5:DY5"/>
    <mergeCell ref="DZ5:EA5"/>
    <mergeCell ref="EB5:EC5"/>
    <mergeCell ref="ED5:EE5"/>
    <mergeCell ref="EF5:EG5"/>
    <mergeCell ref="EH5:EI5"/>
    <mergeCell ref="DL5:DM5"/>
    <mergeCell ref="DN5:DO5"/>
    <mergeCell ref="DP5:DQ5"/>
    <mergeCell ref="DR5:DS5"/>
    <mergeCell ref="DT5:DU5"/>
    <mergeCell ref="DV5:DW5"/>
    <mergeCell ref="CZ5:DA5"/>
    <mergeCell ref="DB5:DC5"/>
    <mergeCell ref="DD5:DE5"/>
    <mergeCell ref="DF5:DG5"/>
    <mergeCell ref="DH5:DI5"/>
    <mergeCell ref="DJ5:DK5"/>
    <mergeCell ref="CR5:CS5"/>
    <mergeCell ref="CT5:CU5"/>
    <mergeCell ref="CV5:CW5"/>
    <mergeCell ref="CX5:CY5"/>
    <mergeCell ref="CB5:CC5"/>
    <mergeCell ref="CD5:CE5"/>
    <mergeCell ref="CF5:CG5"/>
    <mergeCell ref="CH5:CI5"/>
    <mergeCell ref="CJ5:CK5"/>
    <mergeCell ref="CL5:CM5"/>
    <mergeCell ref="BZ5:CA5"/>
    <mergeCell ref="BD5:BE5"/>
    <mergeCell ref="BF5:BG5"/>
    <mergeCell ref="BH5:BI5"/>
    <mergeCell ref="BJ5:BK5"/>
    <mergeCell ref="BL5:BM5"/>
    <mergeCell ref="BN5:BO5"/>
    <mergeCell ref="CN5:CO5"/>
    <mergeCell ref="CP5:CQ5"/>
    <mergeCell ref="AJ5:AK5"/>
    <mergeCell ref="AL5:AM5"/>
    <mergeCell ref="AN5:AO5"/>
    <mergeCell ref="AP5:AQ5"/>
    <mergeCell ref="BP5:BQ5"/>
    <mergeCell ref="BR5:BS5"/>
    <mergeCell ref="BT5:BU5"/>
    <mergeCell ref="BV5:BW5"/>
    <mergeCell ref="BX5:BY5"/>
    <mergeCell ref="T5:U5"/>
    <mergeCell ref="V5:W5"/>
    <mergeCell ref="X5:Y5"/>
    <mergeCell ref="Z5:AA5"/>
    <mergeCell ref="AB5:AC5"/>
    <mergeCell ref="AD5:AE5"/>
    <mergeCell ref="BN1:BO1"/>
    <mergeCell ref="FN3:FO3"/>
    <mergeCell ref="D5:E5"/>
    <mergeCell ref="F5:G5"/>
    <mergeCell ref="H5:I5"/>
    <mergeCell ref="J5:K5"/>
    <mergeCell ref="L5:M5"/>
    <mergeCell ref="N5:O5"/>
    <mergeCell ref="P5:Q5"/>
    <mergeCell ref="R5:S5"/>
    <mergeCell ref="AR5:AS5"/>
    <mergeCell ref="AT5:AU5"/>
    <mergeCell ref="AV5:AW5"/>
    <mergeCell ref="AX5:AY5"/>
    <mergeCell ref="AZ5:BA5"/>
    <mergeCell ref="BB5:BC5"/>
    <mergeCell ref="AF5:AG5"/>
    <mergeCell ref="AH5:AI5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DFC89-84C0-F244-BA81-29E4F6E3534B}">
  <dimension ref="B2:AV176"/>
  <sheetViews>
    <sheetView topLeftCell="M57" zoomScaleNormal="100" workbookViewId="0">
      <selection activeCell="Y27" sqref="Y27"/>
    </sheetView>
  </sheetViews>
  <sheetFormatPr baseColWidth="10" defaultColWidth="11" defaultRowHeight="16" x14ac:dyDescent="0.2"/>
  <cols>
    <col min="3" max="3" width="19.1640625" bestFit="1" customWidth="1"/>
    <col min="6" max="6" width="16.5" bestFit="1" customWidth="1"/>
    <col min="9" max="9" width="15" bestFit="1" customWidth="1"/>
    <col min="10" max="10" width="8.5" bestFit="1" customWidth="1"/>
    <col min="11" max="11" width="8.5" customWidth="1"/>
    <col min="12" max="12" width="13.5" bestFit="1" customWidth="1"/>
    <col min="13" max="13" width="8.5" bestFit="1" customWidth="1"/>
    <col min="14" max="14" width="8.5" customWidth="1"/>
    <col min="15" max="15" width="10.6640625" bestFit="1" customWidth="1"/>
    <col min="16" max="16" width="8.5" bestFit="1" customWidth="1"/>
    <col min="17" max="17" width="8.5" customWidth="1"/>
    <col min="18" max="18" width="10.83203125" bestFit="1" customWidth="1"/>
    <col min="19" max="19" width="8.5" bestFit="1" customWidth="1"/>
    <col min="20" max="20" width="8.5" customWidth="1"/>
    <col min="21" max="21" width="9.6640625" bestFit="1" customWidth="1"/>
    <col min="22" max="24" width="12.83203125" bestFit="1" customWidth="1"/>
    <col min="25" max="25" width="16" bestFit="1" customWidth="1"/>
    <col min="27" max="27" width="12.83203125" bestFit="1" customWidth="1"/>
    <col min="31" max="31" width="15.83203125" bestFit="1" customWidth="1"/>
    <col min="32" max="32" width="15.1640625" bestFit="1" customWidth="1"/>
    <col min="34" max="34" width="15" bestFit="1" customWidth="1"/>
    <col min="35" max="35" width="15.5" bestFit="1" customWidth="1"/>
    <col min="36" max="36" width="15.1640625" bestFit="1" customWidth="1"/>
    <col min="37" max="37" width="16.5" bestFit="1" customWidth="1"/>
    <col min="38" max="38" width="15.1640625" bestFit="1" customWidth="1"/>
    <col min="39" max="39" width="16.5" bestFit="1" customWidth="1"/>
    <col min="40" max="40" width="14.83203125" bestFit="1" customWidth="1"/>
    <col min="41" max="41" width="16" bestFit="1" customWidth="1"/>
    <col min="42" max="42" width="12.83203125" bestFit="1" customWidth="1"/>
    <col min="43" max="43" width="14" bestFit="1" customWidth="1"/>
    <col min="44" max="44" width="12.83203125" bestFit="1" customWidth="1"/>
  </cols>
  <sheetData>
    <row r="2" spans="2:38" x14ac:dyDescent="0.2">
      <c r="B2" s="1061" t="s">
        <v>294</v>
      </c>
      <c r="C2" s="1061"/>
      <c r="D2" s="1067" t="s">
        <v>74</v>
      </c>
      <c r="E2" s="1068"/>
      <c r="F2" s="1068"/>
      <c r="G2" s="1069"/>
      <c r="H2" s="661" t="s">
        <v>150</v>
      </c>
      <c r="I2" s="1058" t="s">
        <v>117</v>
      </c>
      <c r="J2" s="1059"/>
      <c r="K2" s="757"/>
      <c r="L2" s="1058" t="s">
        <v>186</v>
      </c>
      <c r="M2" s="1059"/>
      <c r="N2" s="757"/>
      <c r="O2" s="1058" t="s">
        <v>100</v>
      </c>
      <c r="P2" s="1059"/>
      <c r="Q2" s="757"/>
      <c r="R2" s="1070" t="s">
        <v>119</v>
      </c>
      <c r="S2" s="1071"/>
      <c r="T2" s="758"/>
      <c r="U2" s="1070" t="s">
        <v>120</v>
      </c>
      <c r="V2" s="1071"/>
      <c r="W2" s="758"/>
      <c r="X2" s="1076" t="s">
        <v>184</v>
      </c>
      <c r="Y2" s="1077"/>
      <c r="Z2" s="20"/>
      <c r="AA2" s="57" t="s">
        <v>139</v>
      </c>
    </row>
    <row r="3" spans="2:38" x14ac:dyDescent="0.2">
      <c r="B3" s="676" t="s">
        <v>197</v>
      </c>
      <c r="C3" s="677" t="s">
        <v>19</v>
      </c>
      <c r="D3" s="764" t="s">
        <v>198</v>
      </c>
      <c r="E3" s="678" t="s">
        <v>199</v>
      </c>
      <c r="F3" s="678" t="s">
        <v>138</v>
      </c>
      <c r="G3" s="766" t="s">
        <v>200</v>
      </c>
      <c r="H3" s="766" t="s">
        <v>73</v>
      </c>
      <c r="I3" s="764" t="s">
        <v>81</v>
      </c>
      <c r="J3" s="679" t="s">
        <v>82</v>
      </c>
      <c r="K3" s="679" t="s">
        <v>299</v>
      </c>
      <c r="L3" s="764" t="s">
        <v>81</v>
      </c>
      <c r="M3" s="680" t="s">
        <v>82</v>
      </c>
      <c r="N3" s="679"/>
      <c r="O3" s="764" t="s">
        <v>81</v>
      </c>
      <c r="P3" s="679" t="s">
        <v>82</v>
      </c>
      <c r="Q3" s="679" t="s">
        <v>7</v>
      </c>
      <c r="R3" s="764" t="s">
        <v>81</v>
      </c>
      <c r="S3" s="681" t="s">
        <v>82</v>
      </c>
      <c r="T3" s="682" t="s">
        <v>7</v>
      </c>
      <c r="U3" s="765" t="s">
        <v>81</v>
      </c>
      <c r="V3" s="681" t="s">
        <v>82</v>
      </c>
      <c r="W3" s="682" t="s">
        <v>7</v>
      </c>
      <c r="X3" s="765" t="s">
        <v>81</v>
      </c>
      <c r="Y3" s="682" t="s">
        <v>82</v>
      </c>
      <c r="Z3" s="760" t="s">
        <v>7</v>
      </c>
      <c r="AA3" s="27"/>
    </row>
    <row r="4" spans="2:38" x14ac:dyDescent="0.2">
      <c r="B4" s="663">
        <v>1</v>
      </c>
      <c r="C4" s="683">
        <v>42772</v>
      </c>
      <c r="D4" s="684">
        <v>55</v>
      </c>
      <c r="E4" s="685">
        <f>D4/24</f>
        <v>2.2916666666666665</v>
      </c>
      <c r="F4" s="686">
        <v>1.1399999999999999</v>
      </c>
      <c r="G4" s="665">
        <v>50</v>
      </c>
      <c r="H4" s="665">
        <v>5</v>
      </c>
      <c r="I4" s="684">
        <v>105</v>
      </c>
      <c r="J4" s="687">
        <v>82</v>
      </c>
      <c r="K4" s="687"/>
      <c r="L4" s="684">
        <v>322</v>
      </c>
      <c r="M4" s="688">
        <v>933</v>
      </c>
      <c r="N4" s="687"/>
      <c r="O4" s="684">
        <v>543</v>
      </c>
      <c r="P4" s="689">
        <v>163</v>
      </c>
      <c r="Q4" s="759">
        <f>((O4-P4)/O4)*100</f>
        <v>69.981583793738494</v>
      </c>
      <c r="R4" s="684">
        <v>325</v>
      </c>
      <c r="S4" s="665">
        <v>50</v>
      </c>
      <c r="T4" s="759">
        <f>((R4-S4)/R4)*100</f>
        <v>84.615384615384613</v>
      </c>
      <c r="U4" s="689">
        <v>122</v>
      </c>
      <c r="V4" s="665">
        <v>98</v>
      </c>
      <c r="W4" s="759">
        <f>((U4-V4)/U4)*100</f>
        <v>19.672131147540984</v>
      </c>
      <c r="X4" s="690">
        <v>17.55</v>
      </c>
      <c r="Y4" s="691">
        <v>19.866666666666667</v>
      </c>
      <c r="Z4" s="759">
        <f>((X4-Y4)/X4)*100</f>
        <v>-13.200379867046532</v>
      </c>
      <c r="AA4" s="798">
        <f>J4/M4</f>
        <v>8.7888531618435156E-2</v>
      </c>
    </row>
    <row r="5" spans="2:38" x14ac:dyDescent="0.2">
      <c r="B5" s="666">
        <v>2</v>
      </c>
      <c r="C5" s="692">
        <v>42984</v>
      </c>
      <c r="D5" s="693">
        <v>55</v>
      </c>
      <c r="E5" s="685">
        <f t="shared" ref="E5:E23" si="0">D5/24</f>
        <v>2.2916666666666665</v>
      </c>
      <c r="F5" s="694">
        <v>1.1100000000000001</v>
      </c>
      <c r="G5" s="667">
        <v>50</v>
      </c>
      <c r="H5" s="667">
        <v>12</v>
      </c>
      <c r="I5" s="693">
        <v>196</v>
      </c>
      <c r="J5" s="695">
        <v>91</v>
      </c>
      <c r="K5" s="695"/>
      <c r="L5" s="693">
        <v>420</v>
      </c>
      <c r="M5" s="696">
        <v>538</v>
      </c>
      <c r="N5" s="695"/>
      <c r="O5" s="693">
        <v>1125</v>
      </c>
      <c r="P5" s="697">
        <v>77</v>
      </c>
      <c r="Q5" s="759">
        <f t="shared" ref="Q5:Q23" si="1">((O5-P5)/O5)*100</f>
        <v>93.155555555555551</v>
      </c>
      <c r="R5" s="693">
        <v>450</v>
      </c>
      <c r="S5" s="667">
        <v>10</v>
      </c>
      <c r="T5" s="759">
        <f t="shared" ref="T5:T23" si="2">((R5-S5)/R5)*100</f>
        <v>97.777777777777771</v>
      </c>
      <c r="U5" s="697">
        <v>144</v>
      </c>
      <c r="V5" s="667">
        <v>78</v>
      </c>
      <c r="W5" s="759">
        <f t="shared" ref="W5:W23" si="3">((U5-V5)/U5)*100</f>
        <v>45.833333333333329</v>
      </c>
      <c r="X5" s="698">
        <v>19.166666666666664</v>
      </c>
      <c r="Y5" s="699">
        <v>18.133333333333336</v>
      </c>
      <c r="Z5" s="759">
        <f t="shared" ref="Z5:Z23" si="4">((X5-Y5)/X5)*100</f>
        <v>5.3913043478260594</v>
      </c>
      <c r="AA5" s="798">
        <f t="shared" ref="AA5:AA23" si="5">J5/M5</f>
        <v>0.16914498141263939</v>
      </c>
    </row>
    <row r="6" spans="2:38" x14ac:dyDescent="0.2">
      <c r="B6" s="666">
        <v>3</v>
      </c>
      <c r="C6" s="692" t="s">
        <v>216</v>
      </c>
      <c r="D6" s="693">
        <v>55</v>
      </c>
      <c r="E6" s="685">
        <f t="shared" si="0"/>
        <v>2.2916666666666665</v>
      </c>
      <c r="F6" s="694">
        <v>1.1100000000000001</v>
      </c>
      <c r="G6" s="667">
        <v>50</v>
      </c>
      <c r="H6" s="667">
        <v>19</v>
      </c>
      <c r="I6" s="693">
        <v>229</v>
      </c>
      <c r="J6" s="695">
        <v>77</v>
      </c>
      <c r="K6" s="695"/>
      <c r="L6" s="693">
        <v>397</v>
      </c>
      <c r="M6" s="696">
        <v>722</v>
      </c>
      <c r="N6" s="695"/>
      <c r="O6" s="693">
        <v>1212</v>
      </c>
      <c r="P6" s="697">
        <v>91</v>
      </c>
      <c r="Q6" s="759">
        <f t="shared" si="1"/>
        <v>92.491749174917487</v>
      </c>
      <c r="R6" s="693">
        <v>525</v>
      </c>
      <c r="S6" s="667">
        <v>35</v>
      </c>
      <c r="T6" s="759">
        <f t="shared" si="2"/>
        <v>93.333333333333329</v>
      </c>
      <c r="U6" s="697">
        <v>194</v>
      </c>
      <c r="V6" s="667">
        <v>100</v>
      </c>
      <c r="W6" s="759">
        <f t="shared" si="3"/>
        <v>48.453608247422679</v>
      </c>
      <c r="X6" s="698">
        <v>21.1</v>
      </c>
      <c r="Y6" s="699">
        <v>22.56666666666667</v>
      </c>
      <c r="Z6" s="759">
        <f t="shared" si="4"/>
        <v>-6.9510268562401345</v>
      </c>
      <c r="AA6" s="798">
        <f t="shared" si="5"/>
        <v>0.10664819944598337</v>
      </c>
    </row>
    <row r="7" spans="2:38" x14ac:dyDescent="0.2">
      <c r="B7" s="668">
        <v>4</v>
      </c>
      <c r="C7" s="700" t="s">
        <v>217</v>
      </c>
      <c r="D7" s="701">
        <v>55</v>
      </c>
      <c r="E7" s="685">
        <f t="shared" si="0"/>
        <v>2.2916666666666665</v>
      </c>
      <c r="F7" s="702">
        <v>1.36</v>
      </c>
      <c r="G7" s="669">
        <v>50</v>
      </c>
      <c r="H7" s="669">
        <v>26</v>
      </c>
      <c r="I7" s="701">
        <v>112</v>
      </c>
      <c r="J7" s="703">
        <v>81</v>
      </c>
      <c r="K7" s="703"/>
      <c r="L7" s="701">
        <v>408</v>
      </c>
      <c r="M7" s="704">
        <v>550</v>
      </c>
      <c r="N7" s="703"/>
      <c r="O7" s="701">
        <v>1804</v>
      </c>
      <c r="P7" s="705">
        <v>77</v>
      </c>
      <c r="Q7" s="759">
        <f t="shared" si="1"/>
        <v>95.731707317073173</v>
      </c>
      <c r="R7" s="701">
        <v>875</v>
      </c>
      <c r="S7" s="669">
        <v>20</v>
      </c>
      <c r="T7" s="759">
        <f t="shared" si="2"/>
        <v>97.714285714285708</v>
      </c>
      <c r="U7" s="705">
        <v>238</v>
      </c>
      <c r="V7" s="669">
        <v>78</v>
      </c>
      <c r="W7" s="759">
        <f t="shared" si="3"/>
        <v>67.226890756302524</v>
      </c>
      <c r="X7" s="706">
        <v>21.150000000000002</v>
      </c>
      <c r="Y7" s="707">
        <v>20.299999999999997</v>
      </c>
      <c r="Z7" s="759">
        <f t="shared" si="4"/>
        <v>4.0189125295508505</v>
      </c>
      <c r="AA7" s="798">
        <f t="shared" si="5"/>
        <v>0.14727272727272728</v>
      </c>
    </row>
    <row r="8" spans="2:38" x14ac:dyDescent="0.2">
      <c r="B8" s="663">
        <v>5</v>
      </c>
      <c r="C8" s="683" t="s">
        <v>30</v>
      </c>
      <c r="D8" s="684">
        <v>96</v>
      </c>
      <c r="E8" s="708">
        <f t="shared" si="0"/>
        <v>4</v>
      </c>
      <c r="F8" s="686">
        <v>0.7</v>
      </c>
      <c r="G8" s="665">
        <v>50</v>
      </c>
      <c r="H8" s="665">
        <v>33</v>
      </c>
      <c r="I8" s="684">
        <v>481</v>
      </c>
      <c r="J8" s="687">
        <v>104</v>
      </c>
      <c r="K8" s="687"/>
      <c r="L8" s="684">
        <v>467</v>
      </c>
      <c r="M8" s="688">
        <v>449</v>
      </c>
      <c r="N8" s="687"/>
      <c r="O8" s="684">
        <v>1497</v>
      </c>
      <c r="P8" s="689">
        <v>114</v>
      </c>
      <c r="Q8" s="759">
        <f t="shared" si="1"/>
        <v>92.384769539078164</v>
      </c>
      <c r="R8" s="684">
        <v>1000</v>
      </c>
      <c r="S8" s="665">
        <v>170</v>
      </c>
      <c r="T8" s="759">
        <f t="shared" si="2"/>
        <v>83</v>
      </c>
      <c r="U8" s="689">
        <v>254</v>
      </c>
      <c r="V8" s="665">
        <v>68</v>
      </c>
      <c r="W8" s="759">
        <f t="shared" si="3"/>
        <v>73.228346456692918</v>
      </c>
      <c r="X8" s="709">
        <v>20.25</v>
      </c>
      <c r="Y8" s="709">
        <v>19.633333333333333</v>
      </c>
      <c r="Z8" s="759">
        <f t="shared" si="4"/>
        <v>3.0452674897119363</v>
      </c>
      <c r="AA8" s="798">
        <f t="shared" si="5"/>
        <v>0.23162583518930957</v>
      </c>
    </row>
    <row r="9" spans="2:38" x14ac:dyDescent="0.2">
      <c r="B9" s="666">
        <v>6</v>
      </c>
      <c r="C9" s="692">
        <v>42923</v>
      </c>
      <c r="D9" s="693">
        <v>96</v>
      </c>
      <c r="E9" s="685">
        <f t="shared" si="0"/>
        <v>4</v>
      </c>
      <c r="F9" s="694">
        <v>0.77</v>
      </c>
      <c r="G9" s="667">
        <v>50</v>
      </c>
      <c r="H9" s="667">
        <v>40</v>
      </c>
      <c r="I9" s="693">
        <v>351</v>
      </c>
      <c r="J9" s="695">
        <v>142</v>
      </c>
      <c r="K9" s="695"/>
      <c r="L9" s="693">
        <v>479</v>
      </c>
      <c r="M9" s="696">
        <v>430</v>
      </c>
      <c r="N9" s="695"/>
      <c r="O9" s="693">
        <v>1364</v>
      </c>
      <c r="P9" s="697">
        <v>100</v>
      </c>
      <c r="Q9" s="759">
        <f t="shared" si="1"/>
        <v>92.668621700879754</v>
      </c>
      <c r="R9" s="693">
        <v>750</v>
      </c>
      <c r="S9" s="667">
        <v>10</v>
      </c>
      <c r="T9" s="759">
        <f t="shared" si="2"/>
        <v>98.666666666666671</v>
      </c>
      <c r="U9" s="697">
        <v>286</v>
      </c>
      <c r="V9" s="667">
        <v>46</v>
      </c>
      <c r="W9" s="759">
        <f t="shared" si="3"/>
        <v>83.91608391608392</v>
      </c>
      <c r="X9" s="709">
        <v>20.666666666666668</v>
      </c>
      <c r="Y9" s="709">
        <v>21</v>
      </c>
      <c r="Z9" s="759">
        <f t="shared" si="4"/>
        <v>-1.6129032258064457</v>
      </c>
      <c r="AA9" s="798">
        <f t="shared" si="5"/>
        <v>0.33023255813953489</v>
      </c>
    </row>
    <row r="10" spans="2:38" x14ac:dyDescent="0.2">
      <c r="B10" s="666">
        <v>7</v>
      </c>
      <c r="C10" s="692" t="s">
        <v>33</v>
      </c>
      <c r="D10" s="693">
        <v>96</v>
      </c>
      <c r="E10" s="685">
        <f t="shared" si="0"/>
        <v>4</v>
      </c>
      <c r="F10" s="694">
        <v>0.84</v>
      </c>
      <c r="G10" s="667">
        <v>50</v>
      </c>
      <c r="H10" s="667">
        <v>47</v>
      </c>
      <c r="I10" s="693">
        <v>311</v>
      </c>
      <c r="J10" s="695">
        <v>134</v>
      </c>
      <c r="K10" s="695"/>
      <c r="L10" s="693">
        <v>533</v>
      </c>
      <c r="M10" s="696">
        <v>639</v>
      </c>
      <c r="N10" s="695"/>
      <c r="O10" s="693">
        <v>1724</v>
      </c>
      <c r="P10" s="697">
        <v>129</v>
      </c>
      <c r="Q10" s="759">
        <f t="shared" si="1"/>
        <v>92.517401392111367</v>
      </c>
      <c r="R10" s="693">
        <v>1050</v>
      </c>
      <c r="S10" s="667">
        <v>60</v>
      </c>
      <c r="T10" s="759">
        <f t="shared" si="2"/>
        <v>94.285714285714278</v>
      </c>
      <c r="U10" s="697">
        <v>202</v>
      </c>
      <c r="V10" s="667">
        <v>24</v>
      </c>
      <c r="W10" s="759">
        <f t="shared" si="3"/>
        <v>88.118811881188122</v>
      </c>
      <c r="X10" s="698"/>
      <c r="Y10" s="709"/>
      <c r="Z10" s="759" t="e">
        <f t="shared" si="4"/>
        <v>#DIV/0!</v>
      </c>
      <c r="AA10" s="798">
        <f t="shared" si="5"/>
        <v>0.20970266040688576</v>
      </c>
    </row>
    <row r="11" spans="2:38" x14ac:dyDescent="0.2">
      <c r="B11" s="668">
        <v>8</v>
      </c>
      <c r="C11" s="700" t="s">
        <v>38</v>
      </c>
      <c r="D11" s="710">
        <v>96</v>
      </c>
      <c r="E11" s="711">
        <f t="shared" si="0"/>
        <v>4</v>
      </c>
      <c r="F11" s="712">
        <v>0.8</v>
      </c>
      <c r="G11" s="713">
        <v>75</v>
      </c>
      <c r="H11" s="670">
        <v>54</v>
      </c>
      <c r="I11" s="714">
        <v>898</v>
      </c>
      <c r="J11" s="715">
        <v>379</v>
      </c>
      <c r="K11" s="715"/>
      <c r="L11" s="714">
        <v>773</v>
      </c>
      <c r="M11" s="716">
        <v>743</v>
      </c>
      <c r="N11" s="715"/>
      <c r="O11" s="710">
        <v>2043</v>
      </c>
      <c r="P11" s="717">
        <v>135</v>
      </c>
      <c r="Q11" s="759">
        <f t="shared" si="1"/>
        <v>93.392070484581495</v>
      </c>
      <c r="R11" s="710">
        <v>1200</v>
      </c>
      <c r="S11" s="713">
        <v>10</v>
      </c>
      <c r="T11" s="759">
        <f t="shared" si="2"/>
        <v>99.166666666666671</v>
      </c>
      <c r="U11" s="705">
        <v>258</v>
      </c>
      <c r="V11" s="669">
        <v>62</v>
      </c>
      <c r="W11" s="759">
        <f t="shared" si="3"/>
        <v>75.968992248062023</v>
      </c>
      <c r="X11" s="706">
        <v>42</v>
      </c>
      <c r="Y11" s="718" t="e">
        <v>#DIV/0!</v>
      </c>
      <c r="Z11" s="759" t="e">
        <f t="shared" si="4"/>
        <v>#DIV/0!</v>
      </c>
      <c r="AA11" s="798">
        <f t="shared" si="5"/>
        <v>0.51009421265141319</v>
      </c>
      <c r="AI11" s="653"/>
      <c r="AJ11" s="761"/>
      <c r="AK11" s="762"/>
      <c r="AL11" s="762"/>
    </row>
    <row r="12" spans="2:38" x14ac:dyDescent="0.2">
      <c r="B12" s="663">
        <v>9</v>
      </c>
      <c r="C12" s="683" t="s">
        <v>43</v>
      </c>
      <c r="D12" s="719">
        <v>48</v>
      </c>
      <c r="E12" s="720">
        <f t="shared" si="0"/>
        <v>2</v>
      </c>
      <c r="F12" s="721">
        <v>1.92</v>
      </c>
      <c r="G12" s="722">
        <v>100</v>
      </c>
      <c r="H12" s="671">
        <v>61</v>
      </c>
      <c r="I12" s="723">
        <v>672</v>
      </c>
      <c r="J12" s="724">
        <v>387</v>
      </c>
      <c r="K12" s="724"/>
      <c r="L12" s="723">
        <v>923</v>
      </c>
      <c r="M12" s="725">
        <v>781</v>
      </c>
      <c r="N12" s="724"/>
      <c r="O12" s="719">
        <v>3286</v>
      </c>
      <c r="P12" s="726">
        <v>173</v>
      </c>
      <c r="Q12" s="759">
        <f t="shared" si="1"/>
        <v>94.735240413877051</v>
      </c>
      <c r="R12" s="719">
        <v>1700</v>
      </c>
      <c r="S12" s="722">
        <v>175</v>
      </c>
      <c r="T12" s="759">
        <f t="shared" si="2"/>
        <v>89.705882352941174</v>
      </c>
      <c r="U12" s="689">
        <v>406</v>
      </c>
      <c r="V12" s="665">
        <v>30</v>
      </c>
      <c r="W12" s="759">
        <f t="shared" si="3"/>
        <v>92.610837438423644</v>
      </c>
      <c r="X12" s="690">
        <v>38</v>
      </c>
      <c r="Y12" s="727">
        <v>27.333333333333332</v>
      </c>
      <c r="Z12" s="759">
        <f t="shared" si="4"/>
        <v>28.070175438596497</v>
      </c>
      <c r="AA12" s="798">
        <f t="shared" si="5"/>
        <v>0.49551856594110116</v>
      </c>
      <c r="AI12" s="653"/>
      <c r="AJ12" s="761"/>
      <c r="AK12" s="762"/>
      <c r="AL12" s="762"/>
    </row>
    <row r="13" spans="2:38" x14ac:dyDescent="0.2">
      <c r="B13" s="666">
        <v>10</v>
      </c>
      <c r="C13" s="692">
        <v>42833</v>
      </c>
      <c r="D13" s="728">
        <v>48</v>
      </c>
      <c r="E13" s="711">
        <f t="shared" si="0"/>
        <v>2</v>
      </c>
      <c r="F13" s="729">
        <v>1.76</v>
      </c>
      <c r="G13" s="730">
        <v>100</v>
      </c>
      <c r="H13" s="672">
        <v>68</v>
      </c>
      <c r="I13" s="731">
        <v>474</v>
      </c>
      <c r="J13" s="732">
        <v>402</v>
      </c>
      <c r="K13" s="732"/>
      <c r="L13" s="731">
        <v>473</v>
      </c>
      <c r="M13" s="733">
        <v>408</v>
      </c>
      <c r="N13" s="732"/>
      <c r="O13" s="728">
        <v>2329</v>
      </c>
      <c r="P13" s="734">
        <v>172</v>
      </c>
      <c r="Q13" s="759">
        <f t="shared" si="1"/>
        <v>92.614856161442688</v>
      </c>
      <c r="R13" s="728">
        <v>1500</v>
      </c>
      <c r="S13" s="730">
        <v>165</v>
      </c>
      <c r="T13" s="759">
        <f t="shared" si="2"/>
        <v>89</v>
      </c>
      <c r="U13" s="697">
        <v>494</v>
      </c>
      <c r="V13" s="667">
        <v>32</v>
      </c>
      <c r="W13" s="759">
        <f t="shared" si="3"/>
        <v>93.522267206477736</v>
      </c>
      <c r="X13" s="698">
        <v>29.333333333333332</v>
      </c>
      <c r="Y13" s="709">
        <v>21.333333333333332</v>
      </c>
      <c r="Z13" s="759">
        <f t="shared" si="4"/>
        <v>27.272727272727277</v>
      </c>
      <c r="AA13" s="798">
        <f t="shared" si="5"/>
        <v>0.98529411764705888</v>
      </c>
      <c r="AI13" s="653"/>
      <c r="AJ13" s="761"/>
      <c r="AK13" s="762"/>
      <c r="AL13" s="762"/>
    </row>
    <row r="14" spans="2:38" x14ac:dyDescent="0.2">
      <c r="B14" s="666">
        <v>11</v>
      </c>
      <c r="C14" s="692">
        <v>43047</v>
      </c>
      <c r="D14" s="693">
        <v>48</v>
      </c>
      <c r="E14" s="685">
        <f t="shared" si="0"/>
        <v>2</v>
      </c>
      <c r="F14" s="694">
        <v>2.1800000000000002</v>
      </c>
      <c r="G14" s="667">
        <v>100</v>
      </c>
      <c r="H14" s="673">
        <v>75</v>
      </c>
      <c r="I14" s="693">
        <v>366</v>
      </c>
      <c r="J14" s="695">
        <v>88</v>
      </c>
      <c r="K14" s="695"/>
      <c r="L14" s="693">
        <v>443</v>
      </c>
      <c r="M14" s="696">
        <v>395</v>
      </c>
      <c r="N14" s="695"/>
      <c r="O14" s="693">
        <v>4241</v>
      </c>
      <c r="P14" s="697">
        <v>148</v>
      </c>
      <c r="Q14" s="759">
        <f t="shared" si="1"/>
        <v>96.510257014854986</v>
      </c>
      <c r="R14" s="693">
        <v>2125</v>
      </c>
      <c r="S14" s="667">
        <v>60</v>
      </c>
      <c r="T14" s="759">
        <f t="shared" si="2"/>
        <v>97.176470588235304</v>
      </c>
      <c r="U14" s="697">
        <v>584</v>
      </c>
      <c r="V14" s="667">
        <v>35</v>
      </c>
      <c r="W14" s="759">
        <f t="shared" si="3"/>
        <v>94.006849315068493</v>
      </c>
      <c r="X14" s="698">
        <v>42.333333333333336</v>
      </c>
      <c r="Y14" s="709">
        <v>25</v>
      </c>
      <c r="Z14" s="759">
        <f t="shared" si="4"/>
        <v>40.944881889763785</v>
      </c>
      <c r="AA14" s="798">
        <f t="shared" si="5"/>
        <v>0.22278481012658227</v>
      </c>
      <c r="AI14" s="653"/>
      <c r="AJ14" s="761"/>
      <c r="AK14" s="762"/>
      <c r="AL14" s="762"/>
    </row>
    <row r="15" spans="2:38" x14ac:dyDescent="0.2">
      <c r="B15" s="668">
        <v>12</v>
      </c>
      <c r="C15" s="700" t="s">
        <v>49</v>
      </c>
      <c r="D15" s="701">
        <v>48</v>
      </c>
      <c r="E15" s="735">
        <f t="shared" si="0"/>
        <v>2</v>
      </c>
      <c r="F15" s="702">
        <v>1.98</v>
      </c>
      <c r="G15" s="669">
        <v>100</v>
      </c>
      <c r="H15" s="674">
        <v>82</v>
      </c>
      <c r="I15" s="701">
        <v>345</v>
      </c>
      <c r="J15" s="703">
        <v>58</v>
      </c>
      <c r="K15" s="703"/>
      <c r="L15" s="701">
        <v>458</v>
      </c>
      <c r="M15" s="704">
        <v>660</v>
      </c>
      <c r="N15" s="703"/>
      <c r="O15" s="701">
        <v>2975</v>
      </c>
      <c r="P15" s="705">
        <v>145</v>
      </c>
      <c r="Q15" s="759">
        <f t="shared" si="1"/>
        <v>95.126050420168056</v>
      </c>
      <c r="R15" s="701">
        <v>1500</v>
      </c>
      <c r="S15" s="669">
        <v>155</v>
      </c>
      <c r="T15" s="759">
        <f t="shared" si="2"/>
        <v>89.666666666666657</v>
      </c>
      <c r="U15" s="705">
        <v>382</v>
      </c>
      <c r="V15" s="669">
        <v>46</v>
      </c>
      <c r="W15" s="759">
        <f t="shared" si="3"/>
        <v>87.958115183246079</v>
      </c>
      <c r="X15" s="706">
        <v>35.666666666666664</v>
      </c>
      <c r="Y15" s="736">
        <v>29</v>
      </c>
      <c r="Z15" s="759">
        <f t="shared" si="4"/>
        <v>18.691588785046722</v>
      </c>
      <c r="AA15" s="798">
        <f t="shared" si="5"/>
        <v>8.7878787878787876E-2</v>
      </c>
      <c r="AI15" s="653"/>
      <c r="AJ15" s="761"/>
      <c r="AK15" s="762"/>
      <c r="AL15" s="762"/>
    </row>
    <row r="16" spans="2:38" x14ac:dyDescent="0.2">
      <c r="B16" s="663">
        <v>13</v>
      </c>
      <c r="C16" s="683" t="s">
        <v>54</v>
      </c>
      <c r="D16" s="684">
        <v>36</v>
      </c>
      <c r="E16" s="685">
        <f t="shared" si="0"/>
        <v>1.5</v>
      </c>
      <c r="F16" s="686">
        <v>3.2</v>
      </c>
      <c r="G16" s="665">
        <v>100</v>
      </c>
      <c r="H16" s="675">
        <v>89</v>
      </c>
      <c r="I16" s="684">
        <v>295</v>
      </c>
      <c r="J16" s="687">
        <v>87</v>
      </c>
      <c r="K16" s="687"/>
      <c r="L16" s="684">
        <v>459</v>
      </c>
      <c r="M16" s="688">
        <v>474</v>
      </c>
      <c r="N16" s="687"/>
      <c r="O16" s="684">
        <v>3723</v>
      </c>
      <c r="P16" s="689">
        <v>152</v>
      </c>
      <c r="Q16" s="759">
        <f t="shared" si="1"/>
        <v>95.917271017996242</v>
      </c>
      <c r="R16" s="684">
        <v>1750</v>
      </c>
      <c r="S16" s="665">
        <v>85</v>
      </c>
      <c r="T16" s="759">
        <f t="shared" si="2"/>
        <v>95.142857142857139</v>
      </c>
      <c r="U16" s="689">
        <v>472</v>
      </c>
      <c r="V16" s="665">
        <v>49</v>
      </c>
      <c r="W16" s="759">
        <f t="shared" si="3"/>
        <v>89.618644067796609</v>
      </c>
      <c r="X16" s="709">
        <v>34.666666666666664</v>
      </c>
      <c r="Y16" s="709">
        <v>31</v>
      </c>
      <c r="Z16" s="759">
        <f t="shared" si="4"/>
        <v>10.576923076923071</v>
      </c>
      <c r="AA16" s="798">
        <f t="shared" si="5"/>
        <v>0.18354430379746836</v>
      </c>
      <c r="AI16" s="653"/>
      <c r="AJ16" s="761"/>
      <c r="AK16" s="762"/>
      <c r="AL16" s="762"/>
    </row>
    <row r="17" spans="2:48" x14ac:dyDescent="0.2">
      <c r="B17" s="666">
        <v>14</v>
      </c>
      <c r="C17" s="692">
        <v>42744</v>
      </c>
      <c r="D17" s="693">
        <v>36</v>
      </c>
      <c r="E17" s="685">
        <f t="shared" si="0"/>
        <v>1.5</v>
      </c>
      <c r="F17" s="694">
        <v>3.64</v>
      </c>
      <c r="G17" s="667">
        <v>100</v>
      </c>
      <c r="H17" s="673">
        <v>96</v>
      </c>
      <c r="I17" s="693">
        <v>414</v>
      </c>
      <c r="J17" s="695">
        <v>73</v>
      </c>
      <c r="K17" s="695"/>
      <c r="L17" s="693">
        <v>430</v>
      </c>
      <c r="M17" s="696">
        <v>481</v>
      </c>
      <c r="N17" s="695"/>
      <c r="O17" s="693">
        <v>4466</v>
      </c>
      <c r="P17" s="697">
        <v>138</v>
      </c>
      <c r="Q17" s="759">
        <f t="shared" si="1"/>
        <v>96.909986565158974</v>
      </c>
      <c r="R17" s="693">
        <v>2375</v>
      </c>
      <c r="S17" s="667">
        <v>160</v>
      </c>
      <c r="T17" s="759">
        <f t="shared" si="2"/>
        <v>93.263157894736835</v>
      </c>
      <c r="U17" s="697">
        <v>584</v>
      </c>
      <c r="V17" s="667">
        <v>52</v>
      </c>
      <c r="W17" s="759">
        <f t="shared" si="3"/>
        <v>91.095890410958901</v>
      </c>
      <c r="X17" s="709">
        <v>34.333333333333336</v>
      </c>
      <c r="Y17" s="709">
        <v>30.333333333333332</v>
      </c>
      <c r="Z17" s="759">
        <f t="shared" si="4"/>
        <v>11.650485436893215</v>
      </c>
      <c r="AA17" s="798">
        <f t="shared" si="5"/>
        <v>0.15176715176715178</v>
      </c>
      <c r="AI17" s="653"/>
      <c r="AJ17" s="761"/>
      <c r="AK17" s="762"/>
      <c r="AL17" s="762"/>
    </row>
    <row r="18" spans="2:48" x14ac:dyDescent="0.2">
      <c r="B18" s="666">
        <v>15</v>
      </c>
      <c r="C18" s="692">
        <v>42956</v>
      </c>
      <c r="D18" s="693">
        <v>36</v>
      </c>
      <c r="E18" s="685">
        <f t="shared" si="0"/>
        <v>1.5</v>
      </c>
      <c r="F18" s="694">
        <v>4.8899999999999997</v>
      </c>
      <c r="G18" s="667">
        <v>100</v>
      </c>
      <c r="H18" s="673">
        <v>103</v>
      </c>
      <c r="I18" s="693"/>
      <c r="J18" s="695">
        <v>67</v>
      </c>
      <c r="K18" s="695"/>
      <c r="L18" s="693"/>
      <c r="M18" s="696">
        <v>494</v>
      </c>
      <c r="N18" s="695"/>
      <c r="O18" s="693">
        <v>5634</v>
      </c>
      <c r="P18" s="697">
        <v>137</v>
      </c>
      <c r="Q18" s="759">
        <f t="shared" si="1"/>
        <v>97.568335108271214</v>
      </c>
      <c r="R18" s="698">
        <v>4000</v>
      </c>
      <c r="S18" s="699">
        <v>95</v>
      </c>
      <c r="T18" s="759">
        <f t="shared" si="2"/>
        <v>97.625</v>
      </c>
      <c r="U18" s="709">
        <v>1194</v>
      </c>
      <c r="V18" s="699">
        <v>28</v>
      </c>
      <c r="W18" s="759">
        <f t="shared" si="3"/>
        <v>97.654941373534342</v>
      </c>
      <c r="X18" s="698">
        <v>35.666666666666664</v>
      </c>
      <c r="Y18" s="709">
        <v>29</v>
      </c>
      <c r="Z18" s="759">
        <f t="shared" si="4"/>
        <v>18.691588785046722</v>
      </c>
      <c r="AA18" s="798">
        <f t="shared" si="5"/>
        <v>0.13562753036437247</v>
      </c>
      <c r="AI18" s="653"/>
      <c r="AJ18" s="761"/>
      <c r="AK18" s="762"/>
      <c r="AL18" s="762"/>
    </row>
    <row r="19" spans="2:48" x14ac:dyDescent="0.2">
      <c r="B19" s="668">
        <v>16</v>
      </c>
      <c r="C19" s="700" t="s">
        <v>61</v>
      </c>
      <c r="D19" s="701">
        <v>36</v>
      </c>
      <c r="E19" s="735">
        <f t="shared" si="0"/>
        <v>1.5</v>
      </c>
      <c r="F19" s="702">
        <v>4.6500000000000004</v>
      </c>
      <c r="G19" s="669">
        <v>100</v>
      </c>
      <c r="H19" s="674">
        <v>110</v>
      </c>
      <c r="I19" s="701"/>
      <c r="J19" s="703">
        <v>77</v>
      </c>
      <c r="K19" s="703"/>
      <c r="L19" s="701"/>
      <c r="M19" s="704">
        <v>347</v>
      </c>
      <c r="N19" s="703"/>
      <c r="O19" s="701">
        <v>4635</v>
      </c>
      <c r="P19" s="705">
        <v>176</v>
      </c>
      <c r="Q19" s="759">
        <f t="shared" si="1"/>
        <v>96.202804746494067</v>
      </c>
      <c r="R19" s="706">
        <v>3250</v>
      </c>
      <c r="S19" s="707">
        <v>125</v>
      </c>
      <c r="T19" s="759">
        <f t="shared" si="2"/>
        <v>96.15384615384616</v>
      </c>
      <c r="U19" s="736">
        <v>1012</v>
      </c>
      <c r="V19" s="707">
        <v>42</v>
      </c>
      <c r="W19" s="759">
        <f t="shared" si="3"/>
        <v>95.8498023715415</v>
      </c>
      <c r="X19" s="706">
        <v>34.666666666666664</v>
      </c>
      <c r="Y19" s="736">
        <v>31</v>
      </c>
      <c r="Z19" s="759">
        <f t="shared" si="4"/>
        <v>10.576923076923071</v>
      </c>
      <c r="AA19" s="798">
        <f t="shared" si="5"/>
        <v>0.22190201729106629</v>
      </c>
      <c r="AI19" s="653"/>
      <c r="AJ19" s="761"/>
      <c r="AK19" s="762"/>
      <c r="AL19" s="762"/>
    </row>
    <row r="20" spans="2:48" x14ac:dyDescent="0.2">
      <c r="B20" s="663">
        <v>17</v>
      </c>
      <c r="C20" s="683" t="s">
        <v>66</v>
      </c>
      <c r="D20" s="684">
        <v>24</v>
      </c>
      <c r="E20" s="708">
        <f t="shared" si="0"/>
        <v>1</v>
      </c>
      <c r="F20" s="686">
        <v>4.71</v>
      </c>
      <c r="G20" s="665">
        <v>100</v>
      </c>
      <c r="H20" s="675">
        <v>117</v>
      </c>
      <c r="I20" s="684"/>
      <c r="J20" s="687">
        <v>40</v>
      </c>
      <c r="K20" s="687"/>
      <c r="L20" s="684"/>
      <c r="M20" s="688">
        <v>496</v>
      </c>
      <c r="N20" s="687"/>
      <c r="O20" s="684">
        <v>3523</v>
      </c>
      <c r="P20" s="689">
        <v>136</v>
      </c>
      <c r="Q20" s="759">
        <f t="shared" si="1"/>
        <v>96.13965370422936</v>
      </c>
      <c r="R20" s="684">
        <v>2125</v>
      </c>
      <c r="S20" s="665">
        <v>130</v>
      </c>
      <c r="T20" s="759">
        <f t="shared" si="2"/>
        <v>93.882352941176478</v>
      </c>
      <c r="U20" s="689">
        <v>430</v>
      </c>
      <c r="V20" s="665">
        <v>39</v>
      </c>
      <c r="W20" s="759">
        <f t="shared" si="3"/>
        <v>90.930232558139537</v>
      </c>
      <c r="X20" s="690">
        <v>34.333333333333336</v>
      </c>
      <c r="Y20" s="727">
        <v>30.3333333333333</v>
      </c>
      <c r="Z20" s="759">
        <f t="shared" si="4"/>
        <v>11.650485436893307</v>
      </c>
      <c r="AA20" s="798">
        <f t="shared" si="5"/>
        <v>8.0645161290322578E-2</v>
      </c>
      <c r="AI20" s="653"/>
      <c r="AJ20" s="761"/>
      <c r="AK20" s="762"/>
      <c r="AL20" s="762"/>
    </row>
    <row r="21" spans="2:48" x14ac:dyDescent="0.2">
      <c r="B21" s="666">
        <v>18</v>
      </c>
      <c r="C21" s="692" t="s">
        <v>71</v>
      </c>
      <c r="D21" s="693">
        <v>24</v>
      </c>
      <c r="E21" s="685">
        <f t="shared" si="0"/>
        <v>1</v>
      </c>
      <c r="F21" s="694">
        <v>8.0500000000000007</v>
      </c>
      <c r="G21" s="667">
        <v>100</v>
      </c>
      <c r="H21" s="673">
        <v>124</v>
      </c>
      <c r="I21" s="693"/>
      <c r="J21" s="695">
        <v>21</v>
      </c>
      <c r="K21" s="695"/>
      <c r="L21" s="693"/>
      <c r="M21" s="696">
        <v>685</v>
      </c>
      <c r="N21" s="695"/>
      <c r="O21" s="693">
        <v>7760</v>
      </c>
      <c r="P21" s="697">
        <v>201</v>
      </c>
      <c r="Q21" s="759">
        <f t="shared" si="1"/>
        <v>97.409793814432987</v>
      </c>
      <c r="R21" s="693">
        <v>4750</v>
      </c>
      <c r="S21" s="667">
        <v>60</v>
      </c>
      <c r="T21" s="759">
        <f t="shared" si="2"/>
        <v>98.73684210526315</v>
      </c>
      <c r="U21" s="697">
        <v>1614</v>
      </c>
      <c r="V21" s="667">
        <v>39</v>
      </c>
      <c r="W21" s="759">
        <f t="shared" si="3"/>
        <v>97.583643122676577</v>
      </c>
      <c r="X21" s="709">
        <v>42</v>
      </c>
      <c r="Y21" s="709">
        <v>30.6666666666667</v>
      </c>
      <c r="Z21" s="759">
        <f t="shared" si="4"/>
        <v>26.984126984126906</v>
      </c>
      <c r="AA21" s="798">
        <f t="shared" si="5"/>
        <v>3.0656934306569343E-2</v>
      </c>
      <c r="AI21" s="653"/>
      <c r="AJ21" s="761"/>
      <c r="AK21" s="762"/>
    </row>
    <row r="22" spans="2:48" x14ac:dyDescent="0.2">
      <c r="B22" s="666">
        <v>19</v>
      </c>
      <c r="C22" s="692">
        <v>42896</v>
      </c>
      <c r="D22" s="693">
        <v>24</v>
      </c>
      <c r="E22" s="685">
        <f t="shared" si="0"/>
        <v>1</v>
      </c>
      <c r="F22" s="694">
        <v>6.63</v>
      </c>
      <c r="G22" s="667">
        <v>100</v>
      </c>
      <c r="H22" s="673">
        <v>131</v>
      </c>
      <c r="I22" s="693"/>
      <c r="J22" s="695">
        <v>34</v>
      </c>
      <c r="K22" s="695"/>
      <c r="L22" s="693"/>
      <c r="M22" s="696">
        <v>703</v>
      </c>
      <c r="N22" s="695"/>
      <c r="O22" s="693">
        <v>8847</v>
      </c>
      <c r="P22" s="697">
        <v>219</v>
      </c>
      <c r="Q22" s="759">
        <f t="shared" si="1"/>
        <v>97.524584604950832</v>
      </c>
      <c r="R22" s="693">
        <v>5000</v>
      </c>
      <c r="S22" s="667">
        <v>150</v>
      </c>
      <c r="T22" s="759">
        <f t="shared" si="2"/>
        <v>97</v>
      </c>
      <c r="U22" s="697">
        <v>1710</v>
      </c>
      <c r="V22" s="667">
        <v>40</v>
      </c>
      <c r="W22" s="759">
        <f t="shared" si="3"/>
        <v>97.660818713450297</v>
      </c>
      <c r="X22" s="709">
        <v>54</v>
      </c>
      <c r="Y22" s="709">
        <v>46</v>
      </c>
      <c r="Z22" s="759">
        <f t="shared" si="4"/>
        <v>14.814814814814813</v>
      </c>
      <c r="AA22" s="798">
        <f t="shared" si="5"/>
        <v>4.8364153627311522E-2</v>
      </c>
      <c r="AI22" s="653"/>
      <c r="AJ22" s="761"/>
      <c r="AK22" s="762"/>
      <c r="AL22" s="762"/>
    </row>
    <row r="23" spans="2:48" x14ac:dyDescent="0.2">
      <c r="B23" s="668">
        <v>20</v>
      </c>
      <c r="C23" s="700" t="s">
        <v>72</v>
      </c>
      <c r="D23" s="701">
        <v>24</v>
      </c>
      <c r="E23" s="735">
        <f t="shared" si="0"/>
        <v>1</v>
      </c>
      <c r="F23" s="702">
        <v>3.55</v>
      </c>
      <c r="G23" s="669">
        <v>100</v>
      </c>
      <c r="H23" s="674">
        <v>138</v>
      </c>
      <c r="I23" s="701"/>
      <c r="J23" s="703">
        <v>58</v>
      </c>
      <c r="K23" s="703"/>
      <c r="L23" s="701"/>
      <c r="M23" s="704">
        <v>824</v>
      </c>
      <c r="N23" s="703"/>
      <c r="O23" s="701">
        <v>1597</v>
      </c>
      <c r="P23" s="705">
        <v>183</v>
      </c>
      <c r="Q23" s="799">
        <f t="shared" si="1"/>
        <v>88.541014402003754</v>
      </c>
      <c r="R23" s="701">
        <v>925</v>
      </c>
      <c r="S23" s="669">
        <v>170</v>
      </c>
      <c r="T23" s="799">
        <f t="shared" si="2"/>
        <v>81.621621621621614</v>
      </c>
      <c r="U23" s="705">
        <v>156</v>
      </c>
      <c r="V23" s="669">
        <v>43</v>
      </c>
      <c r="W23" s="799">
        <f t="shared" si="3"/>
        <v>72.435897435897431</v>
      </c>
      <c r="X23" s="706">
        <v>38.666666666666664</v>
      </c>
      <c r="Y23" s="736">
        <v>36</v>
      </c>
      <c r="Z23" s="799">
        <f t="shared" si="4"/>
        <v>6.8965517241379253</v>
      </c>
      <c r="AA23" s="800">
        <f t="shared" si="5"/>
        <v>7.0388349514563103E-2</v>
      </c>
      <c r="AI23" s="653"/>
      <c r="AJ23" s="761"/>
      <c r="AK23" s="762"/>
      <c r="AL23" s="762"/>
    </row>
    <row r="24" spans="2:48" x14ac:dyDescent="0.2">
      <c r="AC24" s="653"/>
      <c r="AG24" s="653"/>
      <c r="AH24" s="653"/>
      <c r="AI24" s="653"/>
      <c r="AJ24" s="762"/>
      <c r="AK24" s="762"/>
      <c r="AL24" s="762"/>
      <c r="AM24" s="653"/>
      <c r="AN24" s="653"/>
      <c r="AO24" s="653"/>
      <c r="AP24" s="653"/>
      <c r="AQ24" s="653"/>
      <c r="AR24" s="653"/>
      <c r="AT24" s="653"/>
      <c r="AU24" s="653"/>
      <c r="AV24" s="653"/>
    </row>
    <row r="25" spans="2:48" x14ac:dyDescent="0.2">
      <c r="AB25" s="756"/>
      <c r="AC25" s="653"/>
      <c r="AD25" s="5"/>
      <c r="AE25" s="8"/>
      <c r="AF25" s="652"/>
      <c r="AG25" s="653"/>
      <c r="AH25" s="653"/>
      <c r="AI25" s="653"/>
      <c r="AJ25" s="762"/>
      <c r="AK25" s="762"/>
      <c r="AL25" s="762"/>
      <c r="AM25" s="653"/>
      <c r="AN25" s="653"/>
      <c r="AO25" s="653"/>
      <c r="AP25" s="653"/>
      <c r="AQ25" s="653"/>
      <c r="AR25" s="653"/>
      <c r="AT25" s="653"/>
      <c r="AU25" s="653"/>
      <c r="AV25" s="653"/>
    </row>
    <row r="26" spans="2:48" x14ac:dyDescent="0.2">
      <c r="B26" s="1061" t="s">
        <v>127</v>
      </c>
      <c r="C26" s="1061"/>
      <c r="D26" s="1061" t="s">
        <v>74</v>
      </c>
      <c r="E26" s="1061"/>
      <c r="F26" s="1061"/>
      <c r="G26" s="1056"/>
      <c r="H26" s="661" t="s">
        <v>150</v>
      </c>
      <c r="I26" s="1062" t="s">
        <v>295</v>
      </c>
      <c r="J26" s="1063"/>
      <c r="K26" s="656"/>
      <c r="L26" s="1062" t="s">
        <v>283</v>
      </c>
      <c r="M26" s="1063"/>
      <c r="N26" s="656"/>
      <c r="O26" s="1062" t="s">
        <v>188</v>
      </c>
      <c r="P26" s="1063"/>
      <c r="Q26" s="656"/>
      <c r="R26" s="1062" t="s">
        <v>189</v>
      </c>
      <c r="S26" s="1063"/>
      <c r="T26" s="656"/>
      <c r="U26" s="1062" t="s">
        <v>191</v>
      </c>
      <c r="V26" s="1063"/>
      <c r="W26" s="738"/>
      <c r="X26" s="57" t="s">
        <v>139</v>
      </c>
      <c r="AB26" s="756"/>
      <c r="AC26" s="653"/>
      <c r="AD26" s="5"/>
      <c r="AE26" s="8"/>
      <c r="AG26" s="653"/>
      <c r="AH26" s="653"/>
      <c r="AI26" s="653"/>
      <c r="AJ26" s="653"/>
      <c r="AK26" s="653"/>
      <c r="AL26" s="653"/>
      <c r="AM26" s="653"/>
      <c r="AN26" s="653"/>
      <c r="AO26" s="653"/>
      <c r="AP26" s="653"/>
      <c r="AQ26" s="653"/>
      <c r="AR26" s="653"/>
      <c r="AT26" s="653"/>
      <c r="AU26" s="653"/>
      <c r="AV26" s="653"/>
    </row>
    <row r="27" spans="2:48" x14ac:dyDescent="0.2">
      <c r="B27" s="662" t="s">
        <v>197</v>
      </c>
      <c r="C27" s="655" t="s">
        <v>19</v>
      </c>
      <c r="D27" s="653" t="s">
        <v>198</v>
      </c>
      <c r="E27" s="750" t="s">
        <v>296</v>
      </c>
      <c r="F27" s="750" t="s">
        <v>297</v>
      </c>
      <c r="G27" s="750" t="s">
        <v>200</v>
      </c>
      <c r="H27" s="740" t="s">
        <v>73</v>
      </c>
      <c r="I27" s="737" t="s">
        <v>145</v>
      </c>
      <c r="J27" s="658" t="s">
        <v>151</v>
      </c>
      <c r="K27" s="653"/>
      <c r="L27" s="737" t="s">
        <v>145</v>
      </c>
      <c r="M27" s="658" t="s">
        <v>151</v>
      </c>
      <c r="N27" s="653"/>
      <c r="O27" s="737" t="s">
        <v>145</v>
      </c>
      <c r="P27" s="658" t="s">
        <v>151</v>
      </c>
      <c r="Q27" s="653" t="s">
        <v>7</v>
      </c>
      <c r="R27" s="737" t="s">
        <v>145</v>
      </c>
      <c r="S27" s="658" t="s">
        <v>151</v>
      </c>
      <c r="T27" s="653"/>
      <c r="U27" s="737" t="s">
        <v>145</v>
      </c>
      <c r="V27" s="658" t="s">
        <v>151</v>
      </c>
      <c r="W27" s="737"/>
      <c r="X27" s="27"/>
      <c r="Y27" s="653"/>
      <c r="AB27" s="756"/>
      <c r="AC27" s="653"/>
      <c r="AD27" s="5"/>
      <c r="AE27" s="8"/>
      <c r="AG27" s="653"/>
      <c r="AH27" s="653"/>
      <c r="AI27" s="653"/>
      <c r="AJ27" s="653"/>
      <c r="AK27" s="653"/>
      <c r="AL27" s="653"/>
      <c r="AM27" s="653"/>
      <c r="AN27" s="653"/>
      <c r="AO27" s="653"/>
      <c r="AP27" s="653"/>
      <c r="AQ27" s="653"/>
      <c r="AR27" s="653"/>
      <c r="AT27" s="653"/>
      <c r="AU27" s="653"/>
      <c r="AV27" s="653"/>
    </row>
    <row r="28" spans="2:48" x14ac:dyDescent="0.2">
      <c r="B28" s="663">
        <v>1</v>
      </c>
      <c r="C28" s="654">
        <v>42842</v>
      </c>
      <c r="D28" s="656">
        <v>62.5</v>
      </c>
      <c r="E28" s="753">
        <f>D28/24</f>
        <v>2.6041666666666665</v>
      </c>
      <c r="F28" s="753">
        <f>(O28/E28)/1000</f>
        <v>1.2345600000000001</v>
      </c>
      <c r="G28" s="750">
        <v>50</v>
      </c>
      <c r="H28" s="741">
        <v>5</v>
      </c>
      <c r="I28" s="738">
        <v>481</v>
      </c>
      <c r="J28" s="657">
        <v>798</v>
      </c>
      <c r="K28" s="656"/>
      <c r="L28" s="738">
        <v>535</v>
      </c>
      <c r="M28" s="657">
        <v>77</v>
      </c>
      <c r="N28" s="656"/>
      <c r="O28" s="738">
        <v>3215</v>
      </c>
      <c r="P28" s="657">
        <v>105</v>
      </c>
      <c r="Q28" s="664">
        <f>((O28-P28)/O28)*100</f>
        <v>96.734059097978232</v>
      </c>
      <c r="R28" s="738">
        <v>1950</v>
      </c>
      <c r="S28" s="657">
        <v>20</v>
      </c>
      <c r="T28" s="664">
        <f>((R28-S28)/R28)*100</f>
        <v>98.974358974358978</v>
      </c>
      <c r="U28" s="738">
        <v>514</v>
      </c>
      <c r="V28" s="657">
        <v>62</v>
      </c>
      <c r="W28" s="801">
        <f>((U28-V28)/U28)*100</f>
        <v>87.937743190661479</v>
      </c>
      <c r="X28" s="798">
        <f>M28/J28</f>
        <v>9.6491228070175433E-2</v>
      </c>
      <c r="AB28" s="756"/>
      <c r="AC28" s="653"/>
      <c r="AD28" s="5"/>
      <c r="AE28" s="8"/>
      <c r="AG28" s="653"/>
      <c r="AH28" s="653"/>
      <c r="AI28" s="653"/>
      <c r="AJ28" s="653"/>
      <c r="AK28" s="653"/>
      <c r="AL28" s="653"/>
      <c r="AM28" s="653"/>
      <c r="AN28" s="653"/>
      <c r="AO28" s="653"/>
      <c r="AP28" s="653"/>
      <c r="AQ28" s="653"/>
      <c r="AR28" s="653"/>
      <c r="AT28" s="653"/>
      <c r="AU28" s="653"/>
      <c r="AV28" s="653"/>
    </row>
    <row r="29" spans="2:48" x14ac:dyDescent="0.2">
      <c r="B29" s="666">
        <v>2</v>
      </c>
      <c r="C29" s="654">
        <v>42849</v>
      </c>
      <c r="D29" s="653">
        <v>62.5</v>
      </c>
      <c r="E29" s="754">
        <f t="shared" ref="E29:E51" si="6">D29/24</f>
        <v>2.6041666666666665</v>
      </c>
      <c r="F29" s="754">
        <f t="shared" ref="F29:F51" si="7">(O29/E29)/1000</f>
        <v>1.2345600000000001</v>
      </c>
      <c r="G29" s="751">
        <v>50</v>
      </c>
      <c r="H29" s="742">
        <v>12</v>
      </c>
      <c r="I29" s="737">
        <v>481</v>
      </c>
      <c r="J29" s="658">
        <v>527</v>
      </c>
      <c r="K29" s="653"/>
      <c r="L29" s="737">
        <v>535</v>
      </c>
      <c r="M29" s="658">
        <v>720</v>
      </c>
      <c r="N29" s="653"/>
      <c r="O29" s="737">
        <v>3215</v>
      </c>
      <c r="P29" s="658">
        <v>158</v>
      </c>
      <c r="Q29" s="664">
        <f t="shared" ref="Q29:Q51" si="8">((O29-P29)/O29)*100</f>
        <v>95.085536547433904</v>
      </c>
      <c r="R29" s="737">
        <v>1950</v>
      </c>
      <c r="S29" s="658">
        <v>25</v>
      </c>
      <c r="T29" s="664">
        <f t="shared" ref="T29:T51" si="9">((R29-S29)/R29)*100</f>
        <v>98.71794871794873</v>
      </c>
      <c r="U29" s="737">
        <v>514</v>
      </c>
      <c r="V29" s="658">
        <v>45</v>
      </c>
      <c r="W29" s="801">
        <f t="shared" ref="W29:W51" si="10">((U29-V29)/U29)*100</f>
        <v>91.245136186770424</v>
      </c>
      <c r="X29" s="798">
        <f t="shared" ref="X29:X49" si="11">M29/J29</f>
        <v>1.3662239089184061</v>
      </c>
      <c r="AB29" s="756"/>
      <c r="AC29" s="653"/>
      <c r="AD29" s="5"/>
      <c r="AE29" s="8"/>
      <c r="AG29" s="653"/>
      <c r="AH29" s="653"/>
      <c r="AI29" s="653"/>
      <c r="AJ29" s="653"/>
      <c r="AK29" s="653"/>
      <c r="AL29" s="653"/>
      <c r="AM29" s="653"/>
      <c r="AN29" s="653"/>
      <c r="AO29" s="653"/>
      <c r="AP29" s="653"/>
      <c r="AQ29" s="653"/>
      <c r="AR29" s="653"/>
      <c r="AT29" s="653"/>
      <c r="AU29" s="653"/>
      <c r="AV29" s="653"/>
    </row>
    <row r="30" spans="2:48" x14ac:dyDescent="0.2">
      <c r="B30" s="666">
        <v>3</v>
      </c>
      <c r="C30" s="654">
        <v>42856</v>
      </c>
      <c r="D30" s="653">
        <v>62.5</v>
      </c>
      <c r="E30" s="754">
        <f t="shared" si="6"/>
        <v>2.6041666666666665</v>
      </c>
      <c r="F30" s="754">
        <f t="shared" si="7"/>
        <v>1.2345600000000001</v>
      </c>
      <c r="G30" s="751">
        <v>50</v>
      </c>
      <c r="H30" s="742">
        <v>19</v>
      </c>
      <c r="I30" s="737">
        <v>481</v>
      </c>
      <c r="J30" s="658">
        <v>288</v>
      </c>
      <c r="K30" s="653"/>
      <c r="L30" s="737">
        <v>535</v>
      </c>
      <c r="M30" s="658">
        <v>794</v>
      </c>
      <c r="N30" s="653"/>
      <c r="O30" s="737">
        <v>3215</v>
      </c>
      <c r="P30" s="658">
        <v>119</v>
      </c>
      <c r="Q30" s="664">
        <f t="shared" si="8"/>
        <v>96.298600311041994</v>
      </c>
      <c r="R30" s="737">
        <v>1950</v>
      </c>
      <c r="S30" s="658">
        <v>75</v>
      </c>
      <c r="T30" s="664">
        <f t="shared" si="9"/>
        <v>96.15384615384616</v>
      </c>
      <c r="U30" s="737">
        <v>514</v>
      </c>
      <c r="V30" s="658">
        <v>49</v>
      </c>
      <c r="W30" s="801">
        <f t="shared" si="10"/>
        <v>90.466926070038909</v>
      </c>
      <c r="X30" s="798">
        <f t="shared" si="11"/>
        <v>2.7569444444444446</v>
      </c>
      <c r="AB30" s="756"/>
      <c r="AC30" s="653"/>
      <c r="AD30" s="5"/>
      <c r="AE30" s="8"/>
      <c r="AG30" s="653"/>
      <c r="AH30" s="653"/>
      <c r="AI30" s="653"/>
      <c r="AJ30" s="653"/>
      <c r="AK30" s="653"/>
      <c r="AL30" s="653"/>
      <c r="AM30" s="653"/>
      <c r="AN30" s="653"/>
      <c r="AO30" s="653"/>
      <c r="AP30" s="653"/>
      <c r="AQ30" s="653"/>
      <c r="AR30" s="653"/>
      <c r="AT30" s="653"/>
      <c r="AU30" s="653"/>
      <c r="AV30" s="653"/>
    </row>
    <row r="31" spans="2:48" x14ac:dyDescent="0.2">
      <c r="B31" s="668">
        <v>4</v>
      </c>
      <c r="C31" s="654">
        <v>42863</v>
      </c>
      <c r="D31" s="659">
        <v>62.5</v>
      </c>
      <c r="E31" s="755">
        <f t="shared" si="6"/>
        <v>2.6041666666666665</v>
      </c>
      <c r="F31" s="755">
        <f t="shared" si="7"/>
        <v>1.2345600000000001</v>
      </c>
      <c r="G31" s="752">
        <v>50</v>
      </c>
      <c r="H31" s="743">
        <v>26</v>
      </c>
      <c r="I31" s="739">
        <v>481</v>
      </c>
      <c r="J31" s="660">
        <v>266</v>
      </c>
      <c r="K31" s="659"/>
      <c r="L31" s="739">
        <v>535</v>
      </c>
      <c r="M31" s="660">
        <v>808</v>
      </c>
      <c r="N31" s="659"/>
      <c r="O31" s="739">
        <v>3215</v>
      </c>
      <c r="P31" s="660">
        <v>190</v>
      </c>
      <c r="Q31" s="664">
        <f t="shared" si="8"/>
        <v>94.090202177293932</v>
      </c>
      <c r="R31" s="739">
        <v>1950</v>
      </c>
      <c r="S31" s="660">
        <v>35</v>
      </c>
      <c r="T31" s="664">
        <f t="shared" si="9"/>
        <v>98.205128205128204</v>
      </c>
      <c r="U31" s="739">
        <v>514</v>
      </c>
      <c r="V31" s="660">
        <v>43</v>
      </c>
      <c r="W31" s="801">
        <f t="shared" si="10"/>
        <v>91.634241245136181</v>
      </c>
      <c r="X31" s="798">
        <f t="shared" si="11"/>
        <v>3.0375939849624061</v>
      </c>
      <c r="AB31" s="756"/>
      <c r="AC31" s="653"/>
      <c r="AD31" s="5"/>
      <c r="AE31" s="8"/>
      <c r="AG31" s="653"/>
      <c r="AH31" s="653"/>
      <c r="AI31" s="653"/>
      <c r="AJ31" s="653"/>
      <c r="AK31" s="653"/>
      <c r="AL31" s="653"/>
      <c r="AM31" s="653"/>
      <c r="AN31" s="653"/>
      <c r="AO31" s="653"/>
      <c r="AP31" s="653"/>
      <c r="AQ31" s="653"/>
      <c r="AR31" s="653"/>
      <c r="AT31" s="653"/>
      <c r="AU31" s="653"/>
      <c r="AV31" s="653"/>
    </row>
    <row r="32" spans="2:48" x14ac:dyDescent="0.2">
      <c r="B32" s="663">
        <v>5</v>
      </c>
      <c r="C32" s="654">
        <v>42868</v>
      </c>
      <c r="D32" s="656">
        <v>62.5</v>
      </c>
      <c r="E32" s="753">
        <f t="shared" si="6"/>
        <v>2.6041666666666665</v>
      </c>
      <c r="F32" s="753">
        <f t="shared" si="7"/>
        <v>1.2345600000000001</v>
      </c>
      <c r="G32" s="750">
        <v>50</v>
      </c>
      <c r="H32" s="741">
        <v>33</v>
      </c>
      <c r="I32" s="738">
        <v>481</v>
      </c>
      <c r="J32" s="657">
        <v>252</v>
      </c>
      <c r="K32" s="656"/>
      <c r="L32" s="738">
        <v>535</v>
      </c>
      <c r="M32" s="657">
        <v>109</v>
      </c>
      <c r="N32" s="656"/>
      <c r="O32" s="738">
        <v>3215</v>
      </c>
      <c r="P32" s="657">
        <v>99</v>
      </c>
      <c r="Q32" s="664">
        <f t="shared" si="8"/>
        <v>96.920684292379462</v>
      </c>
      <c r="R32" s="738">
        <v>1950</v>
      </c>
      <c r="S32" s="657">
        <v>10</v>
      </c>
      <c r="T32" s="664">
        <f t="shared" si="9"/>
        <v>99.487179487179489</v>
      </c>
      <c r="U32" s="738">
        <v>514</v>
      </c>
      <c r="V32" s="657">
        <v>61</v>
      </c>
      <c r="W32" s="801">
        <f t="shared" si="10"/>
        <v>88.13229571984435</v>
      </c>
      <c r="X32" s="798">
        <f t="shared" si="11"/>
        <v>0.43253968253968256</v>
      </c>
      <c r="AB32" s="756"/>
      <c r="AC32" s="653"/>
      <c r="AD32" s="5"/>
      <c r="AE32" s="8"/>
      <c r="AG32" s="653"/>
      <c r="AH32" s="653"/>
      <c r="AI32" s="653"/>
      <c r="AJ32" s="653"/>
      <c r="AK32" s="653"/>
      <c r="AL32" s="653"/>
      <c r="AM32" s="653"/>
      <c r="AN32" s="653"/>
      <c r="AO32" s="653"/>
      <c r="AP32" s="653"/>
      <c r="AQ32" s="653"/>
      <c r="AR32" s="653"/>
      <c r="AT32" s="653"/>
      <c r="AU32" s="653"/>
      <c r="AV32" s="653"/>
    </row>
    <row r="33" spans="2:48" x14ac:dyDescent="0.2">
      <c r="B33" s="666">
        <v>6</v>
      </c>
      <c r="C33" s="654">
        <v>42879</v>
      </c>
      <c r="D33" s="653">
        <v>62.5</v>
      </c>
      <c r="E33" s="754">
        <f t="shared" si="6"/>
        <v>2.6041666666666665</v>
      </c>
      <c r="F33" s="754">
        <f t="shared" si="7"/>
        <v>1.2345600000000001</v>
      </c>
      <c r="G33" s="751">
        <v>50</v>
      </c>
      <c r="H33" s="742">
        <v>40</v>
      </c>
      <c r="I33" s="737">
        <v>481</v>
      </c>
      <c r="J33" s="658">
        <v>527</v>
      </c>
      <c r="K33" s="653"/>
      <c r="L33" s="737">
        <v>535</v>
      </c>
      <c r="M33" s="658">
        <v>720</v>
      </c>
      <c r="N33" s="653"/>
      <c r="O33" s="737">
        <v>3215</v>
      </c>
      <c r="P33" s="658">
        <v>158</v>
      </c>
      <c r="Q33" s="664">
        <f t="shared" si="8"/>
        <v>95.085536547433904</v>
      </c>
      <c r="R33" s="737">
        <v>1950</v>
      </c>
      <c r="S33" s="658">
        <v>25</v>
      </c>
      <c r="T33" s="664">
        <f t="shared" si="9"/>
        <v>98.71794871794873</v>
      </c>
      <c r="U33" s="737">
        <v>514</v>
      </c>
      <c r="V33" s="658">
        <v>45</v>
      </c>
      <c r="W33" s="801">
        <f t="shared" si="10"/>
        <v>91.245136186770424</v>
      </c>
      <c r="X33" s="798">
        <f t="shared" si="11"/>
        <v>1.3662239089184061</v>
      </c>
      <c r="AB33" s="756"/>
      <c r="AC33" s="653"/>
      <c r="AD33" s="5"/>
      <c r="AE33" s="8"/>
      <c r="AG33" s="653"/>
      <c r="AH33" s="653"/>
      <c r="AI33" s="653"/>
      <c r="AJ33" s="653"/>
      <c r="AK33" s="653"/>
      <c r="AL33" s="653"/>
      <c r="AM33" s="653"/>
      <c r="AN33" s="653"/>
      <c r="AO33" s="653"/>
      <c r="AP33" s="653"/>
      <c r="AQ33" s="653"/>
      <c r="AR33" s="653"/>
      <c r="AT33" s="653"/>
      <c r="AU33" s="653"/>
      <c r="AV33" s="653"/>
    </row>
    <row r="34" spans="2:48" x14ac:dyDescent="0.2">
      <c r="B34" s="666">
        <v>7</v>
      </c>
      <c r="C34" s="654">
        <v>42884</v>
      </c>
      <c r="D34" s="653">
        <v>57.5</v>
      </c>
      <c r="E34" s="754">
        <f t="shared" si="6"/>
        <v>2.3958333333333335</v>
      </c>
      <c r="F34" s="754">
        <f t="shared" si="7"/>
        <v>0.89864347826086954</v>
      </c>
      <c r="G34" s="751">
        <v>30</v>
      </c>
      <c r="H34" s="742">
        <v>47</v>
      </c>
      <c r="I34" s="737">
        <v>415</v>
      </c>
      <c r="J34" s="658">
        <v>243</v>
      </c>
      <c r="K34" s="653"/>
      <c r="L34" s="737">
        <v>71</v>
      </c>
      <c r="M34" s="658">
        <v>837</v>
      </c>
      <c r="N34" s="653"/>
      <c r="O34" s="737">
        <v>2153</v>
      </c>
      <c r="P34" s="658">
        <v>280</v>
      </c>
      <c r="Q34" s="664">
        <f t="shared" si="8"/>
        <v>86.994890849976784</v>
      </c>
      <c r="R34" s="737">
        <v>850</v>
      </c>
      <c r="S34" s="658">
        <v>75</v>
      </c>
      <c r="T34" s="664">
        <f t="shared" si="9"/>
        <v>91.17647058823529</v>
      </c>
      <c r="U34" s="737">
        <v>312</v>
      </c>
      <c r="V34" s="658">
        <v>49</v>
      </c>
      <c r="W34" s="801">
        <f t="shared" si="10"/>
        <v>84.294871794871796</v>
      </c>
      <c r="X34" s="798">
        <f t="shared" si="11"/>
        <v>3.4444444444444446</v>
      </c>
      <c r="AB34" s="756"/>
      <c r="AC34" s="653"/>
      <c r="AD34" s="5"/>
      <c r="AE34" s="8"/>
      <c r="AG34" s="653"/>
      <c r="AH34" s="653"/>
      <c r="AI34" s="653"/>
      <c r="AJ34" s="653"/>
      <c r="AK34" s="653"/>
      <c r="AL34" s="653"/>
      <c r="AM34" s="653"/>
      <c r="AN34" s="653"/>
      <c r="AO34" s="653"/>
      <c r="AP34" s="653"/>
      <c r="AQ34" s="653"/>
      <c r="AR34" s="653"/>
      <c r="AT34" s="653"/>
      <c r="AU34" s="653"/>
      <c r="AV34" s="653"/>
    </row>
    <row r="35" spans="2:48" x14ac:dyDescent="0.2">
      <c r="B35" s="668">
        <v>8</v>
      </c>
      <c r="C35" s="654">
        <v>42891</v>
      </c>
      <c r="D35" s="659">
        <v>57.5</v>
      </c>
      <c r="E35" s="755">
        <f t="shared" si="6"/>
        <v>2.3958333333333335</v>
      </c>
      <c r="F35" s="755">
        <f t="shared" si="7"/>
        <v>0.89864347826086954</v>
      </c>
      <c r="G35" s="752">
        <v>30</v>
      </c>
      <c r="H35" s="744">
        <v>54</v>
      </c>
      <c r="I35" s="739">
        <v>415</v>
      </c>
      <c r="J35" s="660">
        <v>276</v>
      </c>
      <c r="K35" s="659"/>
      <c r="L35" s="739">
        <v>71</v>
      </c>
      <c r="M35" s="660">
        <v>115</v>
      </c>
      <c r="N35" s="659"/>
      <c r="O35" s="739">
        <v>2153</v>
      </c>
      <c r="P35" s="660">
        <v>90</v>
      </c>
      <c r="Q35" s="664">
        <f t="shared" si="8"/>
        <v>95.819786344635389</v>
      </c>
      <c r="R35" s="739">
        <v>850</v>
      </c>
      <c r="S35" s="660">
        <v>95</v>
      </c>
      <c r="T35" s="664">
        <f t="shared" si="9"/>
        <v>88.823529411764696</v>
      </c>
      <c r="U35" s="739">
        <v>312</v>
      </c>
      <c r="V35" s="660">
        <v>71</v>
      </c>
      <c r="W35" s="801">
        <f t="shared" si="10"/>
        <v>77.243589743589752</v>
      </c>
      <c r="X35" s="798">
        <f t="shared" si="11"/>
        <v>0.41666666666666669</v>
      </c>
      <c r="AB35" s="756"/>
      <c r="AC35" s="653"/>
      <c r="AD35" s="5"/>
      <c r="AE35" s="8"/>
      <c r="AG35" s="653"/>
      <c r="AH35" s="653"/>
      <c r="AI35" s="653"/>
      <c r="AJ35" s="653"/>
      <c r="AK35" s="653"/>
      <c r="AL35" s="653"/>
      <c r="AM35" s="653"/>
      <c r="AN35" s="653"/>
      <c r="AO35" s="653"/>
      <c r="AP35" s="653"/>
      <c r="AQ35" s="653"/>
      <c r="AR35" s="653"/>
      <c r="AT35" s="653"/>
      <c r="AU35" s="653"/>
      <c r="AV35" s="653"/>
    </row>
    <row r="36" spans="2:48" x14ac:dyDescent="0.2">
      <c r="B36" s="663">
        <v>9</v>
      </c>
      <c r="C36" s="654">
        <v>42898</v>
      </c>
      <c r="D36" s="656">
        <v>57.5</v>
      </c>
      <c r="E36" s="753">
        <f t="shared" si="6"/>
        <v>2.3958333333333335</v>
      </c>
      <c r="F36" s="753">
        <f t="shared" si="7"/>
        <v>0.89864347826086954</v>
      </c>
      <c r="G36" s="750">
        <v>30</v>
      </c>
      <c r="H36" s="745">
        <v>61</v>
      </c>
      <c r="I36" s="738">
        <v>415</v>
      </c>
      <c r="J36" s="657">
        <v>387</v>
      </c>
      <c r="K36" s="656"/>
      <c r="L36" s="738">
        <v>71</v>
      </c>
      <c r="M36" s="657">
        <v>98</v>
      </c>
      <c r="N36" s="656"/>
      <c r="O36" s="738">
        <v>2153</v>
      </c>
      <c r="P36" s="657">
        <v>33</v>
      </c>
      <c r="Q36" s="664">
        <f t="shared" si="8"/>
        <v>98.467254993032981</v>
      </c>
      <c r="R36" s="738">
        <v>850</v>
      </c>
      <c r="S36" s="657">
        <v>40</v>
      </c>
      <c r="T36" s="664">
        <f t="shared" si="9"/>
        <v>95.294117647058812</v>
      </c>
      <c r="U36" s="738">
        <v>312</v>
      </c>
      <c r="V36" s="657">
        <v>66</v>
      </c>
      <c r="W36" s="801">
        <f t="shared" si="10"/>
        <v>78.84615384615384</v>
      </c>
      <c r="X36" s="798">
        <f t="shared" si="11"/>
        <v>0.25322997416020671</v>
      </c>
      <c r="AB36" s="756"/>
      <c r="AC36" s="653"/>
      <c r="AD36" s="5"/>
      <c r="AE36" s="8"/>
      <c r="AG36" s="653"/>
      <c r="AH36" s="653"/>
      <c r="AI36" s="653"/>
      <c r="AJ36" s="653"/>
      <c r="AK36" s="653"/>
      <c r="AL36" s="653"/>
      <c r="AM36" s="653"/>
      <c r="AN36" s="653"/>
      <c r="AO36" s="653"/>
      <c r="AP36" s="653"/>
      <c r="AQ36" s="653"/>
      <c r="AR36" s="653"/>
      <c r="AT36" s="653"/>
      <c r="AU36" s="653"/>
      <c r="AV36" s="653"/>
    </row>
    <row r="37" spans="2:48" x14ac:dyDescent="0.2">
      <c r="B37" s="666">
        <v>10</v>
      </c>
      <c r="C37" s="654">
        <v>42905</v>
      </c>
      <c r="D37" s="653">
        <v>57.5</v>
      </c>
      <c r="E37" s="754">
        <f t="shared" si="6"/>
        <v>2.3958333333333335</v>
      </c>
      <c r="F37" s="754">
        <f t="shared" si="7"/>
        <v>0.89864347826086954</v>
      </c>
      <c r="G37" s="751">
        <v>30</v>
      </c>
      <c r="H37" s="746">
        <v>68</v>
      </c>
      <c r="I37" s="737">
        <v>415</v>
      </c>
      <c r="J37" s="658">
        <v>417</v>
      </c>
      <c r="K37" s="653"/>
      <c r="L37" s="737">
        <v>71</v>
      </c>
      <c r="M37" s="658">
        <v>81</v>
      </c>
      <c r="N37" s="653"/>
      <c r="O37" s="737">
        <v>2153</v>
      </c>
      <c r="P37" s="658">
        <v>162</v>
      </c>
      <c r="Q37" s="664">
        <f t="shared" si="8"/>
        <v>92.475615420343701</v>
      </c>
      <c r="R37" s="737">
        <v>850</v>
      </c>
      <c r="S37" s="658">
        <v>19</v>
      </c>
      <c r="T37" s="664">
        <f t="shared" si="9"/>
        <v>97.764705882352942</v>
      </c>
      <c r="U37" s="737">
        <v>312</v>
      </c>
      <c r="V37" s="658">
        <v>98</v>
      </c>
      <c r="W37" s="801">
        <f t="shared" si="10"/>
        <v>68.589743589743591</v>
      </c>
      <c r="X37" s="798">
        <f t="shared" si="11"/>
        <v>0.19424460431654678</v>
      </c>
      <c r="AB37" s="756"/>
      <c r="AC37" s="653"/>
      <c r="AD37" s="5"/>
      <c r="AE37" s="8"/>
      <c r="AG37" s="653"/>
      <c r="AH37" s="653"/>
      <c r="AI37" s="653"/>
      <c r="AJ37" s="653"/>
      <c r="AK37" s="653"/>
      <c r="AL37" s="653"/>
      <c r="AM37" s="653"/>
      <c r="AN37" s="653"/>
      <c r="AO37" s="653"/>
      <c r="AP37" s="653"/>
      <c r="AQ37" s="653"/>
      <c r="AR37" s="653"/>
      <c r="AT37" s="653"/>
      <c r="AU37" s="653"/>
      <c r="AV37" s="653"/>
    </row>
    <row r="38" spans="2:48" x14ac:dyDescent="0.2">
      <c r="B38" s="666">
        <v>11</v>
      </c>
      <c r="C38" s="654">
        <v>42912</v>
      </c>
      <c r="D38" s="653">
        <v>57.5</v>
      </c>
      <c r="E38" s="754">
        <f t="shared" si="6"/>
        <v>2.3958333333333335</v>
      </c>
      <c r="F38" s="754">
        <f t="shared" si="7"/>
        <v>0.89864347826086954</v>
      </c>
      <c r="G38" s="751">
        <v>30</v>
      </c>
      <c r="H38" s="747">
        <v>75</v>
      </c>
      <c r="I38" s="737">
        <v>415</v>
      </c>
      <c r="J38" s="658">
        <v>366</v>
      </c>
      <c r="K38" s="653"/>
      <c r="L38" s="737">
        <v>71</v>
      </c>
      <c r="M38" s="658">
        <v>78</v>
      </c>
      <c r="N38" s="653"/>
      <c r="O38" s="737">
        <v>2153</v>
      </c>
      <c r="P38" s="658">
        <v>20</v>
      </c>
      <c r="Q38" s="664">
        <f t="shared" si="8"/>
        <v>99.071063632141204</v>
      </c>
      <c r="R38" s="737">
        <v>850</v>
      </c>
      <c r="S38" s="658">
        <v>140</v>
      </c>
      <c r="T38" s="664">
        <f t="shared" si="9"/>
        <v>83.529411764705884</v>
      </c>
      <c r="U38" s="737">
        <v>312</v>
      </c>
      <c r="V38" s="658">
        <v>46</v>
      </c>
      <c r="W38" s="801">
        <f t="shared" si="10"/>
        <v>85.256410256410248</v>
      </c>
      <c r="X38" s="798">
        <f t="shared" si="11"/>
        <v>0.21311475409836064</v>
      </c>
      <c r="AB38" s="756"/>
      <c r="AC38" s="653"/>
      <c r="AD38" s="5"/>
      <c r="AE38" s="8"/>
      <c r="AG38" s="653"/>
      <c r="AH38" s="653"/>
      <c r="AI38" s="653"/>
      <c r="AJ38" s="653"/>
      <c r="AK38" s="653"/>
      <c r="AL38" s="653"/>
      <c r="AM38" s="653"/>
      <c r="AN38" s="653"/>
      <c r="AO38" s="653"/>
      <c r="AP38" s="653"/>
      <c r="AQ38" s="653"/>
      <c r="AR38" s="653"/>
      <c r="AT38" s="653"/>
      <c r="AU38" s="653"/>
      <c r="AV38" s="653"/>
    </row>
    <row r="39" spans="2:48" x14ac:dyDescent="0.2">
      <c r="B39" s="668">
        <v>12</v>
      </c>
      <c r="C39" s="654">
        <v>42919</v>
      </c>
      <c r="D39" s="659">
        <v>49.8</v>
      </c>
      <c r="E39" s="755">
        <f t="shared" si="6"/>
        <v>2.0749999999999997</v>
      </c>
      <c r="F39" s="755">
        <f t="shared" si="7"/>
        <v>1.7084337349397591</v>
      </c>
      <c r="G39" s="752">
        <v>100</v>
      </c>
      <c r="H39" s="748">
        <v>82</v>
      </c>
      <c r="I39" s="739">
        <v>487</v>
      </c>
      <c r="J39" s="660">
        <v>372</v>
      </c>
      <c r="K39" s="659"/>
      <c r="L39" s="739">
        <v>721</v>
      </c>
      <c r="M39" s="660">
        <v>88</v>
      </c>
      <c r="N39" s="659"/>
      <c r="O39" s="739">
        <v>3545</v>
      </c>
      <c r="P39" s="660">
        <v>335</v>
      </c>
      <c r="Q39" s="664">
        <f t="shared" si="8"/>
        <v>90.550070521861784</v>
      </c>
      <c r="R39" s="739">
        <v>2500</v>
      </c>
      <c r="S39" s="660">
        <v>192</v>
      </c>
      <c r="T39" s="664">
        <f t="shared" si="9"/>
        <v>92.320000000000007</v>
      </c>
      <c r="U39" s="739">
        <v>348</v>
      </c>
      <c r="V39" s="660">
        <v>48</v>
      </c>
      <c r="W39" s="801">
        <f t="shared" si="10"/>
        <v>86.206896551724128</v>
      </c>
      <c r="X39" s="798">
        <f t="shared" si="11"/>
        <v>0.23655913978494625</v>
      </c>
      <c r="AB39" s="756"/>
      <c r="AC39" s="653"/>
      <c r="AD39" s="5"/>
      <c r="AE39" s="8"/>
      <c r="AG39" s="653"/>
      <c r="AH39" s="653"/>
      <c r="AI39" s="653"/>
      <c r="AJ39" s="653"/>
      <c r="AK39" s="653"/>
      <c r="AL39" s="653"/>
      <c r="AM39" s="653"/>
      <c r="AN39" s="653"/>
      <c r="AO39" s="653"/>
      <c r="AP39" s="653"/>
      <c r="AQ39" s="653"/>
      <c r="AR39" s="653"/>
      <c r="AT39" s="653"/>
      <c r="AU39" s="653"/>
      <c r="AV39" s="653"/>
    </row>
    <row r="40" spans="2:48" x14ac:dyDescent="0.2">
      <c r="B40" s="663">
        <v>13</v>
      </c>
      <c r="C40" s="654">
        <v>42926</v>
      </c>
      <c r="D40" s="656">
        <v>49.8</v>
      </c>
      <c r="E40" s="753">
        <f t="shared" si="6"/>
        <v>2.0749999999999997</v>
      </c>
      <c r="F40" s="753">
        <f t="shared" si="7"/>
        <v>1.9995180722891568</v>
      </c>
      <c r="G40" s="750">
        <v>100</v>
      </c>
      <c r="H40" s="749">
        <v>89</v>
      </c>
      <c r="I40" s="738">
        <v>477</v>
      </c>
      <c r="J40" s="657">
        <v>495</v>
      </c>
      <c r="K40" s="656"/>
      <c r="L40" s="738">
        <v>667</v>
      </c>
      <c r="M40" s="657">
        <v>49</v>
      </c>
      <c r="N40" s="656"/>
      <c r="O40" s="738">
        <v>4149</v>
      </c>
      <c r="P40" s="657">
        <v>165</v>
      </c>
      <c r="Q40" s="664">
        <f t="shared" si="8"/>
        <v>96.023138105567611</v>
      </c>
      <c r="R40" s="738">
        <v>2400</v>
      </c>
      <c r="S40" s="657">
        <v>210</v>
      </c>
      <c r="T40" s="664">
        <f t="shared" si="9"/>
        <v>91.25</v>
      </c>
      <c r="U40" s="738">
        <v>836</v>
      </c>
      <c r="V40" s="657">
        <v>34</v>
      </c>
      <c r="W40" s="801">
        <f t="shared" si="10"/>
        <v>95.933014354066984</v>
      </c>
      <c r="X40" s="798">
        <f t="shared" si="11"/>
        <v>9.8989898989898989E-2</v>
      </c>
    </row>
    <row r="41" spans="2:48" x14ac:dyDescent="0.2">
      <c r="B41" s="666">
        <v>14</v>
      </c>
      <c r="C41" s="654">
        <v>42933</v>
      </c>
      <c r="D41" s="653">
        <v>49.8</v>
      </c>
      <c r="E41" s="754">
        <f t="shared" si="6"/>
        <v>2.0749999999999997</v>
      </c>
      <c r="F41" s="754">
        <f t="shared" si="7"/>
        <v>3.3156626506024098</v>
      </c>
      <c r="G41" s="751">
        <v>100</v>
      </c>
      <c r="H41" s="747">
        <v>96</v>
      </c>
      <c r="I41" s="737">
        <v>641</v>
      </c>
      <c r="J41" s="658">
        <v>641</v>
      </c>
      <c r="K41" s="653"/>
      <c r="L41" s="737">
        <v>417</v>
      </c>
      <c r="M41" s="658">
        <v>149</v>
      </c>
      <c r="N41" s="653"/>
      <c r="O41" s="737">
        <v>6880</v>
      </c>
      <c r="P41" s="658">
        <v>290</v>
      </c>
      <c r="Q41" s="664">
        <f t="shared" si="8"/>
        <v>95.784883720930239</v>
      </c>
      <c r="R41" s="737">
        <v>4875</v>
      </c>
      <c r="S41" s="658">
        <v>250</v>
      </c>
      <c r="T41" s="664">
        <f t="shared" si="9"/>
        <v>94.871794871794862</v>
      </c>
      <c r="U41" s="737">
        <v>1542</v>
      </c>
      <c r="V41" s="658">
        <v>50</v>
      </c>
      <c r="W41" s="801">
        <f t="shared" si="10"/>
        <v>96.757457846952008</v>
      </c>
      <c r="X41" s="798">
        <f t="shared" si="11"/>
        <v>0.23244929797191888</v>
      </c>
    </row>
    <row r="42" spans="2:48" x14ac:dyDescent="0.2">
      <c r="B42" s="666">
        <v>15</v>
      </c>
      <c r="C42" s="654">
        <v>42940</v>
      </c>
      <c r="D42" s="653">
        <v>49.8</v>
      </c>
      <c r="E42" s="754">
        <f t="shared" si="6"/>
        <v>2.0749999999999997</v>
      </c>
      <c r="F42" s="754">
        <f t="shared" si="7"/>
        <v>1.4453012048192773</v>
      </c>
      <c r="G42" s="751">
        <v>100</v>
      </c>
      <c r="H42" s="747">
        <v>103</v>
      </c>
      <c r="I42" s="737">
        <v>488</v>
      </c>
      <c r="J42" s="658">
        <v>497</v>
      </c>
      <c r="K42" s="653"/>
      <c r="L42" s="737">
        <v>262</v>
      </c>
      <c r="M42" s="658">
        <v>135</v>
      </c>
      <c r="N42" s="653"/>
      <c r="O42" s="737">
        <v>2999</v>
      </c>
      <c r="P42" s="658">
        <v>185</v>
      </c>
      <c r="Q42" s="664">
        <f t="shared" si="8"/>
        <v>93.831277092364118</v>
      </c>
      <c r="R42" s="737">
        <v>1650</v>
      </c>
      <c r="S42" s="658">
        <v>130</v>
      </c>
      <c r="T42" s="664">
        <f t="shared" si="9"/>
        <v>92.121212121212125</v>
      </c>
      <c r="U42" s="737">
        <v>402</v>
      </c>
      <c r="V42" s="658">
        <v>50</v>
      </c>
      <c r="W42" s="801">
        <f t="shared" si="10"/>
        <v>87.562189054726375</v>
      </c>
      <c r="X42" s="798">
        <f t="shared" si="11"/>
        <v>0.2716297786720322</v>
      </c>
    </row>
    <row r="43" spans="2:48" x14ac:dyDescent="0.2">
      <c r="B43" s="668">
        <v>16</v>
      </c>
      <c r="C43" s="654">
        <v>42947</v>
      </c>
      <c r="D43" s="659">
        <v>49.8</v>
      </c>
      <c r="E43" s="755">
        <f t="shared" si="6"/>
        <v>2.0749999999999997</v>
      </c>
      <c r="F43" s="755">
        <f t="shared" si="7"/>
        <v>1.6453012048192772</v>
      </c>
      <c r="G43" s="752">
        <v>100</v>
      </c>
      <c r="H43" s="748">
        <v>110</v>
      </c>
      <c r="I43" s="739">
        <v>492</v>
      </c>
      <c r="J43" s="660">
        <v>465</v>
      </c>
      <c r="K43" s="659"/>
      <c r="L43" s="739">
        <v>124</v>
      </c>
      <c r="M43" s="660">
        <v>121</v>
      </c>
      <c r="N43" s="659"/>
      <c r="O43" s="739">
        <v>3414</v>
      </c>
      <c r="P43" s="660">
        <v>158</v>
      </c>
      <c r="Q43" s="664">
        <f t="shared" si="8"/>
        <v>95.371997656707677</v>
      </c>
      <c r="R43" s="739">
        <v>1625</v>
      </c>
      <c r="S43" s="660">
        <v>95</v>
      </c>
      <c r="T43" s="664">
        <f t="shared" si="9"/>
        <v>94.15384615384616</v>
      </c>
      <c r="U43" s="739">
        <v>520</v>
      </c>
      <c r="V43" s="660">
        <v>48</v>
      </c>
      <c r="W43" s="801">
        <f t="shared" si="10"/>
        <v>90.769230769230774</v>
      </c>
      <c r="X43" s="798">
        <f t="shared" si="11"/>
        <v>0.26021505376344084</v>
      </c>
    </row>
    <row r="44" spans="2:48" x14ac:dyDescent="0.2">
      <c r="B44" s="663">
        <v>17</v>
      </c>
      <c r="C44" s="654">
        <v>42954</v>
      </c>
      <c r="D44" s="656">
        <v>49.8</v>
      </c>
      <c r="E44" s="753">
        <f t="shared" si="6"/>
        <v>2.0749999999999997</v>
      </c>
      <c r="F44" s="753">
        <f t="shared" si="7"/>
        <v>2.354698795180723</v>
      </c>
      <c r="G44" s="750">
        <v>100</v>
      </c>
      <c r="H44" s="749">
        <v>117</v>
      </c>
      <c r="I44" s="738">
        <v>1022</v>
      </c>
      <c r="J44" s="657">
        <v>714</v>
      </c>
      <c r="K44" s="656"/>
      <c r="L44" s="738">
        <v>366</v>
      </c>
      <c r="M44" s="657">
        <v>27</v>
      </c>
      <c r="N44" s="656"/>
      <c r="O44" s="738">
        <v>4886</v>
      </c>
      <c r="P44" s="657">
        <v>314</v>
      </c>
      <c r="Q44" s="664">
        <f t="shared" si="8"/>
        <v>93.573475235366359</v>
      </c>
      <c r="R44" s="738">
        <v>1875</v>
      </c>
      <c r="S44" s="657">
        <v>240</v>
      </c>
      <c r="T44" s="664">
        <f t="shared" si="9"/>
        <v>87.2</v>
      </c>
      <c r="U44" s="738">
        <v>366</v>
      </c>
      <c r="V44" s="657">
        <v>84</v>
      </c>
      <c r="W44" s="801">
        <f t="shared" si="10"/>
        <v>77.049180327868854</v>
      </c>
      <c r="X44" s="798">
        <f t="shared" si="11"/>
        <v>3.7815126050420166E-2</v>
      </c>
    </row>
    <row r="45" spans="2:48" x14ac:dyDescent="0.2">
      <c r="B45" s="666">
        <v>18</v>
      </c>
      <c r="C45" s="654">
        <v>42961</v>
      </c>
      <c r="D45" s="653">
        <v>49.8</v>
      </c>
      <c r="E45" s="754">
        <f t="shared" si="6"/>
        <v>2.0749999999999997</v>
      </c>
      <c r="F45" s="754">
        <f t="shared" si="7"/>
        <v>2.475180722891567</v>
      </c>
      <c r="G45" s="751">
        <v>100</v>
      </c>
      <c r="H45" s="747">
        <v>124</v>
      </c>
      <c r="I45" s="737">
        <v>669</v>
      </c>
      <c r="J45" s="658">
        <v>891</v>
      </c>
      <c r="K45" s="653"/>
      <c r="L45" s="737">
        <v>353</v>
      </c>
      <c r="M45" s="658">
        <v>71</v>
      </c>
      <c r="N45" s="653"/>
      <c r="O45" s="737">
        <v>5136</v>
      </c>
      <c r="P45" s="658">
        <v>520</v>
      </c>
      <c r="Q45" s="664">
        <f t="shared" si="8"/>
        <v>89.875389408099693</v>
      </c>
      <c r="R45" s="737">
        <v>2750</v>
      </c>
      <c r="S45" s="658">
        <v>275</v>
      </c>
      <c r="T45" s="664">
        <f t="shared" si="9"/>
        <v>90</v>
      </c>
      <c r="U45" s="737">
        <v>790</v>
      </c>
      <c r="V45" s="658">
        <v>65</v>
      </c>
      <c r="W45" s="801">
        <f t="shared" si="10"/>
        <v>91.77215189873418</v>
      </c>
      <c r="X45" s="798">
        <f t="shared" si="11"/>
        <v>7.9685746352413017E-2</v>
      </c>
    </row>
    <row r="46" spans="2:48" x14ac:dyDescent="0.2">
      <c r="B46" s="666">
        <v>19</v>
      </c>
      <c r="C46" s="654">
        <v>42968</v>
      </c>
      <c r="D46" s="653">
        <v>49.8</v>
      </c>
      <c r="E46" s="754">
        <f t="shared" si="6"/>
        <v>2.0749999999999997</v>
      </c>
      <c r="F46" s="754">
        <f t="shared" si="7"/>
        <v>2.902650602409639</v>
      </c>
      <c r="G46" s="751">
        <v>100</v>
      </c>
      <c r="H46" s="747">
        <v>131</v>
      </c>
      <c r="I46" s="737">
        <v>713</v>
      </c>
      <c r="J46" s="658">
        <v>688</v>
      </c>
      <c r="K46" s="653"/>
      <c r="L46" s="737">
        <v>673</v>
      </c>
      <c r="M46" s="658">
        <v>73</v>
      </c>
      <c r="N46" s="653"/>
      <c r="O46" s="737">
        <v>6023</v>
      </c>
      <c r="P46" s="658">
        <v>317</v>
      </c>
      <c r="Q46" s="664">
        <f t="shared" si="8"/>
        <v>94.73684210526315</v>
      </c>
      <c r="R46" s="737">
        <v>4125</v>
      </c>
      <c r="S46" s="658">
        <v>220</v>
      </c>
      <c r="T46" s="664">
        <f t="shared" si="9"/>
        <v>94.666666666666671</v>
      </c>
      <c r="U46" s="737">
        <v>1186</v>
      </c>
      <c r="V46" s="658">
        <v>189</v>
      </c>
      <c r="W46" s="801">
        <f t="shared" si="10"/>
        <v>84.064080944350764</v>
      </c>
      <c r="X46" s="798">
        <f t="shared" si="11"/>
        <v>0.10610465116279069</v>
      </c>
    </row>
    <row r="47" spans="2:48" x14ac:dyDescent="0.2">
      <c r="B47" s="668">
        <v>20</v>
      </c>
      <c r="C47" s="654">
        <v>42975</v>
      </c>
      <c r="D47" s="659">
        <v>49.8</v>
      </c>
      <c r="E47" s="755">
        <f t="shared" si="6"/>
        <v>2.0749999999999997</v>
      </c>
      <c r="F47" s="755">
        <f t="shared" si="7"/>
        <v>2.7855421686746991</v>
      </c>
      <c r="G47" s="752">
        <v>100</v>
      </c>
      <c r="H47" s="748">
        <v>138</v>
      </c>
      <c r="I47" s="739">
        <v>466</v>
      </c>
      <c r="J47" s="660">
        <v>651</v>
      </c>
      <c r="K47" s="659"/>
      <c r="L47" s="739">
        <v>515</v>
      </c>
      <c r="M47" s="660">
        <v>59</v>
      </c>
      <c r="N47" s="659"/>
      <c r="O47" s="739">
        <v>5780</v>
      </c>
      <c r="P47" s="660">
        <v>155</v>
      </c>
      <c r="Q47" s="664">
        <f t="shared" si="8"/>
        <v>97.318339100346023</v>
      </c>
      <c r="R47" s="739">
        <v>3375</v>
      </c>
      <c r="S47" s="660">
        <v>130</v>
      </c>
      <c r="T47" s="664">
        <f t="shared" si="9"/>
        <v>96.148148148148152</v>
      </c>
      <c r="U47" s="739">
        <v>1000</v>
      </c>
      <c r="V47" s="660">
        <v>45</v>
      </c>
      <c r="W47" s="801">
        <f t="shared" si="10"/>
        <v>95.5</v>
      </c>
      <c r="X47" s="798">
        <f t="shared" si="11"/>
        <v>9.0629800307219663E-2</v>
      </c>
    </row>
    <row r="48" spans="2:48" x14ac:dyDescent="0.2">
      <c r="B48" s="663">
        <v>21</v>
      </c>
      <c r="C48" s="654">
        <v>42982</v>
      </c>
      <c r="D48" s="656">
        <v>36</v>
      </c>
      <c r="E48" s="753">
        <f t="shared" si="6"/>
        <v>1.5</v>
      </c>
      <c r="F48" s="753">
        <f t="shared" si="7"/>
        <v>3.5733333333333337</v>
      </c>
      <c r="G48" s="750">
        <v>100</v>
      </c>
      <c r="H48" s="749">
        <v>145</v>
      </c>
      <c r="I48" s="738"/>
      <c r="J48" s="657">
        <v>632</v>
      </c>
      <c r="K48" s="656"/>
      <c r="L48" s="738"/>
      <c r="M48" s="657">
        <v>54</v>
      </c>
      <c r="N48" s="656"/>
      <c r="O48" s="738">
        <v>5360</v>
      </c>
      <c r="P48" s="657">
        <v>190</v>
      </c>
      <c r="Q48" s="664">
        <f t="shared" si="8"/>
        <v>96.455223880597018</v>
      </c>
      <c r="R48" s="738">
        <v>3250</v>
      </c>
      <c r="S48" s="657">
        <v>125</v>
      </c>
      <c r="T48" s="664">
        <f t="shared" si="9"/>
        <v>96.15384615384616</v>
      </c>
      <c r="U48" s="738">
        <v>1238</v>
      </c>
      <c r="V48" s="657">
        <v>62</v>
      </c>
      <c r="W48" s="801">
        <f t="shared" si="10"/>
        <v>94.991922455573501</v>
      </c>
      <c r="X48" s="798">
        <f t="shared" si="11"/>
        <v>8.5443037974683542E-2</v>
      </c>
    </row>
    <row r="49" spans="2:25" x14ac:dyDescent="0.2">
      <c r="B49" s="666">
        <v>22</v>
      </c>
      <c r="C49" s="654">
        <v>42989</v>
      </c>
      <c r="D49" s="653">
        <v>36</v>
      </c>
      <c r="E49" s="754">
        <f t="shared" si="6"/>
        <v>1.5</v>
      </c>
      <c r="F49" s="754">
        <f t="shared" si="7"/>
        <v>5.6319999999999997</v>
      </c>
      <c r="G49" s="751">
        <v>100</v>
      </c>
      <c r="H49" s="747">
        <v>152</v>
      </c>
      <c r="I49" s="737"/>
      <c r="J49" s="658">
        <v>589</v>
      </c>
      <c r="K49" s="653"/>
      <c r="L49" s="737"/>
      <c r="M49" s="658">
        <v>73</v>
      </c>
      <c r="N49" s="653"/>
      <c r="O49" s="737">
        <v>8448</v>
      </c>
      <c r="P49" s="658">
        <v>206</v>
      </c>
      <c r="Q49" s="664">
        <f t="shared" si="8"/>
        <v>97.561553030303031</v>
      </c>
      <c r="R49" s="737">
        <v>4000</v>
      </c>
      <c r="S49" s="658">
        <v>145</v>
      </c>
      <c r="T49" s="664">
        <f t="shared" si="9"/>
        <v>96.375</v>
      </c>
      <c r="U49" s="737">
        <v>1382</v>
      </c>
      <c r="V49" s="658">
        <v>41</v>
      </c>
      <c r="W49" s="801">
        <f t="shared" si="10"/>
        <v>97.033285094066571</v>
      </c>
      <c r="X49" s="798">
        <f t="shared" si="11"/>
        <v>0.12393887945670629</v>
      </c>
    </row>
    <row r="50" spans="2:25" x14ac:dyDescent="0.2">
      <c r="B50" s="666">
        <v>24</v>
      </c>
      <c r="C50" s="654">
        <v>42996</v>
      </c>
      <c r="D50" s="653">
        <v>36</v>
      </c>
      <c r="E50" s="754">
        <f t="shared" si="6"/>
        <v>1.5</v>
      </c>
      <c r="F50" s="754">
        <f t="shared" si="7"/>
        <v>4.9753333333333334</v>
      </c>
      <c r="G50" s="751">
        <v>100</v>
      </c>
      <c r="H50" s="747">
        <v>159</v>
      </c>
      <c r="I50" s="737"/>
      <c r="J50" s="658"/>
      <c r="K50" s="653"/>
      <c r="L50" s="737"/>
      <c r="M50" s="658"/>
      <c r="N50" s="653"/>
      <c r="O50" s="737">
        <v>7463</v>
      </c>
      <c r="P50" s="658">
        <v>193</v>
      </c>
      <c r="Q50" s="664">
        <f t="shared" si="8"/>
        <v>97.413908615838125</v>
      </c>
      <c r="R50" s="737">
        <v>6125</v>
      </c>
      <c r="S50" s="658">
        <v>50</v>
      </c>
      <c r="T50" s="664">
        <f t="shared" si="9"/>
        <v>99.183673469387756</v>
      </c>
      <c r="U50" s="737">
        <v>757</v>
      </c>
      <c r="V50" s="658">
        <v>54</v>
      </c>
      <c r="W50" s="801">
        <f t="shared" si="10"/>
        <v>92.866578599735789</v>
      </c>
      <c r="X50" s="798"/>
    </row>
    <row r="51" spans="2:25" x14ac:dyDescent="0.2">
      <c r="B51" s="668">
        <v>25</v>
      </c>
      <c r="C51" s="654">
        <v>43003</v>
      </c>
      <c r="D51" s="659">
        <v>36</v>
      </c>
      <c r="E51" s="755">
        <f t="shared" si="6"/>
        <v>1.5</v>
      </c>
      <c r="F51" s="755">
        <f t="shared" si="7"/>
        <v>4.0633333333333335</v>
      </c>
      <c r="G51" s="752">
        <v>100</v>
      </c>
      <c r="H51" s="748">
        <v>166</v>
      </c>
      <c r="I51" s="739"/>
      <c r="J51" s="660"/>
      <c r="K51" s="659"/>
      <c r="L51" s="739"/>
      <c r="M51" s="660"/>
      <c r="N51" s="659"/>
      <c r="O51" s="739">
        <v>6095</v>
      </c>
      <c r="P51" s="660">
        <v>194</v>
      </c>
      <c r="Q51" s="664">
        <f t="shared" si="8"/>
        <v>96.817063166529934</v>
      </c>
      <c r="R51" s="739">
        <v>5000</v>
      </c>
      <c r="S51" s="660">
        <v>75</v>
      </c>
      <c r="T51" s="664">
        <f t="shared" si="9"/>
        <v>98.5</v>
      </c>
      <c r="U51" s="739">
        <v>734</v>
      </c>
      <c r="V51" s="660">
        <v>30</v>
      </c>
      <c r="W51" s="802">
        <f t="shared" si="10"/>
        <v>95.912806539509532</v>
      </c>
      <c r="X51" s="800"/>
    </row>
    <row r="52" spans="2:25" x14ac:dyDescent="0.2">
      <c r="B52" s="793"/>
      <c r="C52" s="794"/>
      <c r="D52" s="653"/>
      <c r="E52" s="795"/>
      <c r="F52" s="795"/>
      <c r="J52" s="653"/>
      <c r="K52" s="653"/>
      <c r="L52" s="653"/>
      <c r="M52" s="653"/>
      <c r="N52" s="653"/>
      <c r="O52" s="653"/>
      <c r="P52" s="653"/>
      <c r="Q52" s="795"/>
      <c r="R52" s="653"/>
      <c r="S52" s="653"/>
      <c r="T52" s="795"/>
      <c r="U52" s="653"/>
      <c r="V52" s="653"/>
      <c r="W52" s="795"/>
      <c r="X52" s="761"/>
    </row>
    <row r="53" spans="2:25" x14ac:dyDescent="0.2">
      <c r="B53" s="793"/>
      <c r="C53" s="794"/>
      <c r="D53" s="653"/>
      <c r="E53" s="795"/>
      <c r="F53" s="795"/>
      <c r="J53" s="653"/>
      <c r="K53" s="653"/>
      <c r="L53" s="653"/>
      <c r="M53" s="653"/>
      <c r="N53" s="653"/>
      <c r="O53" s="653"/>
      <c r="P53" s="653"/>
      <c r="Q53" s="795"/>
      <c r="R53" s="653"/>
      <c r="S53" s="653"/>
      <c r="T53" s="795"/>
      <c r="U53" s="653"/>
      <c r="V53" s="653"/>
      <c r="W53" s="795"/>
      <c r="X53" s="761"/>
    </row>
    <row r="56" spans="2:25" x14ac:dyDescent="0.2">
      <c r="B56" s="1056" t="s">
        <v>298</v>
      </c>
      <c r="C56" s="1057"/>
      <c r="D56" s="1065" t="s">
        <v>74</v>
      </c>
      <c r="E56" s="1065"/>
      <c r="F56" s="1065"/>
      <c r="G56" s="1066"/>
      <c r="H56" s="763" t="s">
        <v>150</v>
      </c>
      <c r="I56" s="1064" t="s">
        <v>100</v>
      </c>
      <c r="J56" s="1065"/>
      <c r="K56" s="1066"/>
      <c r="L56" s="1064" t="s">
        <v>119</v>
      </c>
      <c r="M56" s="1065"/>
      <c r="N56" s="1066"/>
      <c r="O56" s="1064" t="s">
        <v>120</v>
      </c>
      <c r="P56" s="1065"/>
      <c r="Q56" s="1066"/>
      <c r="R56" s="1060" t="s">
        <v>117</v>
      </c>
      <c r="S56" s="1060"/>
      <c r="T56" s="1060" t="s">
        <v>118</v>
      </c>
      <c r="U56" s="1060"/>
      <c r="V56" s="1074" t="s">
        <v>139</v>
      </c>
      <c r="W56" s="1072" t="s">
        <v>300</v>
      </c>
    </row>
    <row r="57" spans="2:25" x14ac:dyDescent="0.2">
      <c r="B57" s="750" t="s">
        <v>197</v>
      </c>
      <c r="C57" s="750" t="s">
        <v>19</v>
      </c>
      <c r="D57" s="750" t="s">
        <v>198</v>
      </c>
      <c r="E57" s="750" t="s">
        <v>296</v>
      </c>
      <c r="F57" s="750" t="s">
        <v>168</v>
      </c>
      <c r="G57" s="750" t="s">
        <v>200</v>
      </c>
      <c r="H57" s="750" t="s">
        <v>128</v>
      </c>
      <c r="I57" s="737" t="s">
        <v>145</v>
      </c>
      <c r="J57" s="653" t="s">
        <v>151</v>
      </c>
      <c r="K57" s="658" t="s">
        <v>7</v>
      </c>
      <c r="L57" s="737" t="s">
        <v>145</v>
      </c>
      <c r="M57" s="653" t="s">
        <v>151</v>
      </c>
      <c r="N57" s="658" t="s">
        <v>7</v>
      </c>
      <c r="O57" s="737" t="s">
        <v>145</v>
      </c>
      <c r="P57" s="653" t="s">
        <v>151</v>
      </c>
      <c r="Q57" s="658" t="s">
        <v>7</v>
      </c>
      <c r="R57" s="737" t="s">
        <v>145</v>
      </c>
      <c r="S57" s="658" t="s">
        <v>151</v>
      </c>
      <c r="T57" s="737" t="s">
        <v>145</v>
      </c>
      <c r="U57" s="658" t="s">
        <v>151</v>
      </c>
      <c r="V57" s="1075"/>
      <c r="W57" s="1073"/>
      <c r="X57" s="653" t="s">
        <v>301</v>
      </c>
      <c r="Y57" s="653" t="s">
        <v>302</v>
      </c>
    </row>
    <row r="58" spans="2:25" x14ac:dyDescent="0.2">
      <c r="B58" s="750">
        <v>1</v>
      </c>
      <c r="C58" s="774" t="s">
        <v>30</v>
      </c>
      <c r="D58" s="750">
        <v>35</v>
      </c>
      <c r="E58" s="776">
        <f>D58/24</f>
        <v>1.4583333333333333</v>
      </c>
      <c r="F58" s="753">
        <f>I58/(E58*1000)</f>
        <v>1.1410285714285715</v>
      </c>
      <c r="G58" s="750">
        <v>50</v>
      </c>
      <c r="H58" s="750">
        <v>7</v>
      </c>
      <c r="I58" s="738">
        <v>1664</v>
      </c>
      <c r="J58" s="656">
        <v>449</v>
      </c>
      <c r="K58" s="775">
        <f>((I58-J58)/I58)*100</f>
        <v>73.016826923076934</v>
      </c>
      <c r="L58" s="738">
        <v>850</v>
      </c>
      <c r="M58" s="656">
        <v>130</v>
      </c>
      <c r="N58" s="775">
        <f>((L58-M58)/L58)*100</f>
        <v>84.705882352941174</v>
      </c>
      <c r="O58" s="738">
        <v>280</v>
      </c>
      <c r="P58" s="656">
        <v>36</v>
      </c>
      <c r="Q58" s="775">
        <f>((O58-P58)/O58)*100</f>
        <v>87.142857142857139</v>
      </c>
      <c r="R58" s="738">
        <v>74</v>
      </c>
      <c r="S58" s="657">
        <v>49</v>
      </c>
      <c r="T58" s="738">
        <v>360</v>
      </c>
      <c r="U58" s="657">
        <v>1113</v>
      </c>
      <c r="V58" s="776">
        <v>4.40251572327044E-2</v>
      </c>
      <c r="W58" s="750">
        <v>226</v>
      </c>
      <c r="X58">
        <f>I58-J58</f>
        <v>1215</v>
      </c>
      <c r="Y58">
        <f>X58</f>
        <v>1215</v>
      </c>
    </row>
    <row r="59" spans="2:25" x14ac:dyDescent="0.2">
      <c r="B59" s="751">
        <v>2</v>
      </c>
      <c r="C59" s="768">
        <v>42923</v>
      </c>
      <c r="D59" s="751">
        <v>35</v>
      </c>
      <c r="E59" s="772">
        <f t="shared" ref="E59:E72" si="12">D59/24</f>
        <v>1.4583333333333333</v>
      </c>
      <c r="F59" s="754">
        <f t="shared" ref="F59:F72" si="13">I59/(E59*1000)</f>
        <v>2.9588571428571431</v>
      </c>
      <c r="G59" s="751">
        <v>50</v>
      </c>
      <c r="H59" s="751">
        <v>14</v>
      </c>
      <c r="I59" s="737">
        <v>4315</v>
      </c>
      <c r="J59" s="653">
        <v>128</v>
      </c>
      <c r="K59" s="770">
        <f t="shared" ref="K59:K72" si="14">((I59-J59)/I59)*100</f>
        <v>97.033603707995368</v>
      </c>
      <c r="L59" s="737">
        <v>2125</v>
      </c>
      <c r="M59" s="653">
        <v>30</v>
      </c>
      <c r="N59" s="770">
        <f t="shared" ref="N59:N72" si="15">((L59-M59)/L59)*100</f>
        <v>98.588235294117638</v>
      </c>
      <c r="O59" s="737">
        <v>762</v>
      </c>
      <c r="P59" s="653">
        <v>34</v>
      </c>
      <c r="Q59" s="770">
        <f t="shared" ref="Q59:Q72" si="16">((O59-P59)/O59)*100</f>
        <v>95.538057742782158</v>
      </c>
      <c r="R59" s="737">
        <v>107</v>
      </c>
      <c r="S59" s="658">
        <v>34</v>
      </c>
      <c r="T59" s="737">
        <v>421</v>
      </c>
      <c r="U59" s="658">
        <v>447</v>
      </c>
      <c r="V59" s="772">
        <v>7.6062639821029079E-2</v>
      </c>
      <c r="W59" s="751">
        <v>319</v>
      </c>
      <c r="X59">
        <f t="shared" ref="X59:X72" si="17">I59-J59</f>
        <v>4187</v>
      </c>
      <c r="Y59">
        <f>Y58+X59</f>
        <v>5402</v>
      </c>
    </row>
    <row r="60" spans="2:25" x14ac:dyDescent="0.2">
      <c r="B60" s="751">
        <v>3</v>
      </c>
      <c r="C60" s="768" t="s">
        <v>33</v>
      </c>
      <c r="D60" s="751">
        <v>35</v>
      </c>
      <c r="E60" s="772">
        <f t="shared" si="12"/>
        <v>1.4583333333333333</v>
      </c>
      <c r="F60" s="754">
        <f t="shared" si="13"/>
        <v>3.5705142857142858</v>
      </c>
      <c r="G60" s="751">
        <v>100</v>
      </c>
      <c r="H60" s="751">
        <v>21</v>
      </c>
      <c r="I60" s="737">
        <v>5207</v>
      </c>
      <c r="J60" s="653">
        <v>128</v>
      </c>
      <c r="K60" s="770">
        <f t="shared" si="14"/>
        <v>97.54177069329748</v>
      </c>
      <c r="L60" s="737">
        <v>2750</v>
      </c>
      <c r="M60" s="653">
        <v>30</v>
      </c>
      <c r="N60" s="770">
        <f t="shared" si="15"/>
        <v>98.909090909090907</v>
      </c>
      <c r="O60" s="737">
        <v>696</v>
      </c>
      <c r="P60" s="653">
        <v>37</v>
      </c>
      <c r="Q60" s="770">
        <f t="shared" si="16"/>
        <v>94.68390804597702</v>
      </c>
      <c r="R60" s="737">
        <v>141</v>
      </c>
      <c r="S60" s="658">
        <v>57</v>
      </c>
      <c r="T60" s="737">
        <v>602</v>
      </c>
      <c r="U60" s="658">
        <v>498</v>
      </c>
      <c r="V60" s="772">
        <v>0.1144578313253012</v>
      </c>
      <c r="W60" s="751">
        <v>473</v>
      </c>
      <c r="X60">
        <f t="shared" si="17"/>
        <v>5079</v>
      </c>
      <c r="Y60">
        <f t="shared" ref="Y60:Y72" si="18">Y59+X60</f>
        <v>10481</v>
      </c>
    </row>
    <row r="61" spans="2:25" x14ac:dyDescent="0.2">
      <c r="B61" s="752">
        <v>4</v>
      </c>
      <c r="C61" s="769" t="s">
        <v>38</v>
      </c>
      <c r="D61" s="752">
        <v>35</v>
      </c>
      <c r="E61" s="773">
        <f t="shared" si="12"/>
        <v>1.4583333333333333</v>
      </c>
      <c r="F61" s="755">
        <f t="shared" si="13"/>
        <v>3.717257142857143</v>
      </c>
      <c r="G61" s="752">
        <v>100</v>
      </c>
      <c r="H61" s="752">
        <v>28</v>
      </c>
      <c r="I61" s="739">
        <v>5421</v>
      </c>
      <c r="J61" s="659">
        <v>371</v>
      </c>
      <c r="K61" s="771">
        <f t="shared" si="14"/>
        <v>93.156244235380925</v>
      </c>
      <c r="L61" s="739">
        <v>3000</v>
      </c>
      <c r="M61" s="659">
        <v>160</v>
      </c>
      <c r="N61" s="771">
        <f t="shared" si="15"/>
        <v>94.666666666666671</v>
      </c>
      <c r="O61" s="739">
        <v>940</v>
      </c>
      <c r="P61" s="659">
        <v>72</v>
      </c>
      <c r="Q61" s="771">
        <f t="shared" si="16"/>
        <v>92.340425531914889</v>
      </c>
      <c r="R61" s="739">
        <v>350</v>
      </c>
      <c r="S61" s="660">
        <v>51</v>
      </c>
      <c r="T61" s="739">
        <v>926</v>
      </c>
      <c r="U61" s="660">
        <v>973</v>
      </c>
      <c r="V61" s="773">
        <v>5.2415210688591986E-2</v>
      </c>
      <c r="W61" s="752">
        <v>572</v>
      </c>
      <c r="X61">
        <f t="shared" si="17"/>
        <v>5050</v>
      </c>
      <c r="Y61">
        <f t="shared" si="18"/>
        <v>15531</v>
      </c>
    </row>
    <row r="62" spans="2:25" x14ac:dyDescent="0.2">
      <c r="B62" s="750">
        <v>5</v>
      </c>
      <c r="C62" s="774" t="s">
        <v>43</v>
      </c>
      <c r="D62" s="750">
        <v>40</v>
      </c>
      <c r="E62" s="776">
        <f t="shared" si="12"/>
        <v>1.6666666666666667</v>
      </c>
      <c r="F62" s="753">
        <f t="shared" si="13"/>
        <v>2.7869999999999999</v>
      </c>
      <c r="G62" s="750">
        <v>100</v>
      </c>
      <c r="H62" s="750">
        <v>35</v>
      </c>
      <c r="I62" s="738">
        <v>4645</v>
      </c>
      <c r="J62" s="656">
        <v>262</v>
      </c>
      <c r="K62" s="775">
        <f t="shared" si="14"/>
        <v>94.359526372443497</v>
      </c>
      <c r="L62" s="738">
        <v>2625</v>
      </c>
      <c r="M62" s="656">
        <v>45</v>
      </c>
      <c r="N62" s="775">
        <f t="shared" si="15"/>
        <v>98.285714285714292</v>
      </c>
      <c r="O62" s="738">
        <v>656</v>
      </c>
      <c r="P62" s="656">
        <v>58</v>
      </c>
      <c r="Q62" s="775">
        <f t="shared" si="16"/>
        <v>91.158536585365852</v>
      </c>
      <c r="R62" s="738">
        <v>280</v>
      </c>
      <c r="S62" s="657">
        <v>56</v>
      </c>
      <c r="T62" s="738">
        <v>476</v>
      </c>
      <c r="U62" s="657">
        <v>1148</v>
      </c>
      <c r="V62" s="776">
        <v>4.878048780487805E-2</v>
      </c>
      <c r="W62" s="750">
        <v>590</v>
      </c>
      <c r="X62">
        <f t="shared" si="17"/>
        <v>4383</v>
      </c>
      <c r="Y62">
        <f t="shared" si="18"/>
        <v>19914</v>
      </c>
    </row>
    <row r="63" spans="2:25" x14ac:dyDescent="0.2">
      <c r="B63" s="751">
        <v>6</v>
      </c>
      <c r="C63" s="768">
        <v>42833</v>
      </c>
      <c r="D63" s="751">
        <v>40</v>
      </c>
      <c r="E63" s="772">
        <f t="shared" si="12"/>
        <v>1.6666666666666667</v>
      </c>
      <c r="F63" s="754">
        <f t="shared" si="13"/>
        <v>3.0846</v>
      </c>
      <c r="G63" s="751">
        <v>100</v>
      </c>
      <c r="H63" s="751">
        <v>42</v>
      </c>
      <c r="I63" s="737">
        <v>5141</v>
      </c>
      <c r="J63" s="653">
        <v>149</v>
      </c>
      <c r="K63" s="770">
        <f t="shared" si="14"/>
        <v>97.101731180704149</v>
      </c>
      <c r="L63" s="737">
        <v>3875</v>
      </c>
      <c r="M63" s="653">
        <v>30</v>
      </c>
      <c r="N63" s="770">
        <f t="shared" si="15"/>
        <v>99.225806451612911</v>
      </c>
      <c r="O63" s="737">
        <v>738</v>
      </c>
      <c r="P63" s="653">
        <v>46</v>
      </c>
      <c r="Q63" s="770">
        <f t="shared" si="16"/>
        <v>93.766937669376688</v>
      </c>
      <c r="R63" s="737">
        <v>465</v>
      </c>
      <c r="S63" s="658">
        <v>82</v>
      </c>
      <c r="T63" s="737">
        <v>446</v>
      </c>
      <c r="U63" s="658">
        <v>678</v>
      </c>
      <c r="V63" s="772">
        <v>0.12094395280235988</v>
      </c>
      <c r="W63" s="751">
        <v>665</v>
      </c>
      <c r="X63">
        <f t="shared" si="17"/>
        <v>4992</v>
      </c>
      <c r="Y63">
        <f t="shared" si="18"/>
        <v>24906</v>
      </c>
    </row>
    <row r="64" spans="2:25" x14ac:dyDescent="0.2">
      <c r="B64" s="751">
        <v>7</v>
      </c>
      <c r="C64" s="768">
        <v>43047</v>
      </c>
      <c r="D64" s="751">
        <v>40</v>
      </c>
      <c r="E64" s="772">
        <f t="shared" si="12"/>
        <v>1.6666666666666667</v>
      </c>
      <c r="F64" s="754">
        <f t="shared" si="13"/>
        <v>3.1133999999999999</v>
      </c>
      <c r="G64" s="751">
        <v>100</v>
      </c>
      <c r="H64" s="751">
        <v>49</v>
      </c>
      <c r="I64" s="737">
        <v>5189</v>
      </c>
      <c r="J64" s="653">
        <v>133</v>
      </c>
      <c r="K64" s="770">
        <f t="shared" si="14"/>
        <v>97.43688571979186</v>
      </c>
      <c r="L64" s="737">
        <v>3625</v>
      </c>
      <c r="M64" s="653">
        <v>45</v>
      </c>
      <c r="N64" s="770">
        <f t="shared" si="15"/>
        <v>98.758620689655174</v>
      </c>
      <c r="O64" s="737">
        <v>1160</v>
      </c>
      <c r="P64" s="653">
        <v>60</v>
      </c>
      <c r="Q64" s="770">
        <f t="shared" si="16"/>
        <v>94.827586206896555</v>
      </c>
      <c r="R64" s="737">
        <v>448</v>
      </c>
      <c r="S64" s="658">
        <v>83</v>
      </c>
      <c r="T64" s="737">
        <v>862</v>
      </c>
      <c r="U64" s="658">
        <v>722</v>
      </c>
      <c r="V64" s="772">
        <v>0.1149584487534626</v>
      </c>
      <c r="W64" s="751">
        <v>768</v>
      </c>
      <c r="X64">
        <f t="shared" si="17"/>
        <v>5056</v>
      </c>
      <c r="Y64">
        <f t="shared" si="18"/>
        <v>29962</v>
      </c>
    </row>
    <row r="65" spans="2:25" x14ac:dyDescent="0.2">
      <c r="B65" s="752">
        <v>8</v>
      </c>
      <c r="C65" s="769" t="s">
        <v>49</v>
      </c>
      <c r="D65" s="752">
        <v>30</v>
      </c>
      <c r="E65" s="773">
        <f t="shared" si="12"/>
        <v>1.25</v>
      </c>
      <c r="F65" s="755">
        <f t="shared" si="13"/>
        <v>4.0111999999999997</v>
      </c>
      <c r="G65" s="752">
        <v>100</v>
      </c>
      <c r="H65" s="752">
        <v>56</v>
      </c>
      <c r="I65" s="739">
        <v>5014</v>
      </c>
      <c r="J65" s="659">
        <v>234</v>
      </c>
      <c r="K65" s="771">
        <f t="shared" si="14"/>
        <v>95.333067411248507</v>
      </c>
      <c r="L65" s="739">
        <v>3125</v>
      </c>
      <c r="M65" s="659">
        <v>225</v>
      </c>
      <c r="N65" s="771">
        <f t="shared" si="15"/>
        <v>92.800000000000011</v>
      </c>
      <c r="O65" s="739">
        <v>564</v>
      </c>
      <c r="P65" s="659">
        <v>82</v>
      </c>
      <c r="Q65" s="771">
        <f t="shared" si="16"/>
        <v>85.460992907801412</v>
      </c>
      <c r="R65" s="739">
        <v>472</v>
      </c>
      <c r="S65" s="660">
        <v>75</v>
      </c>
      <c r="T65" s="739">
        <v>856</v>
      </c>
      <c r="U65" s="660">
        <v>871</v>
      </c>
      <c r="V65" s="773">
        <v>8.6107921928817457E-2</v>
      </c>
      <c r="W65" s="752">
        <v>927</v>
      </c>
      <c r="X65">
        <f t="shared" si="17"/>
        <v>4780</v>
      </c>
      <c r="Y65">
        <f t="shared" si="18"/>
        <v>34742</v>
      </c>
    </row>
    <row r="66" spans="2:25" x14ac:dyDescent="0.2">
      <c r="B66" s="750">
        <v>9</v>
      </c>
      <c r="C66" s="774" t="s">
        <v>54</v>
      </c>
      <c r="D66" s="750">
        <v>24</v>
      </c>
      <c r="E66" s="776">
        <f t="shared" si="12"/>
        <v>1</v>
      </c>
      <c r="F66" s="753">
        <f t="shared" si="13"/>
        <v>6.8170000000000002</v>
      </c>
      <c r="G66" s="750">
        <v>100</v>
      </c>
      <c r="H66" s="750">
        <v>63</v>
      </c>
      <c r="I66" s="738">
        <v>6817</v>
      </c>
      <c r="J66" s="656">
        <v>181</v>
      </c>
      <c r="K66" s="775">
        <f t="shared" si="14"/>
        <v>97.344873111339297</v>
      </c>
      <c r="L66" s="738">
        <v>4250</v>
      </c>
      <c r="M66" s="656">
        <v>50</v>
      </c>
      <c r="N66" s="775">
        <f t="shared" si="15"/>
        <v>98.82352941176471</v>
      </c>
      <c r="O66" s="738">
        <v>1668</v>
      </c>
      <c r="P66" s="656">
        <v>62</v>
      </c>
      <c r="Q66" s="775">
        <f t="shared" si="16"/>
        <v>96.282973621103125</v>
      </c>
      <c r="R66" s="738">
        <v>548</v>
      </c>
      <c r="S66" s="657">
        <v>78</v>
      </c>
      <c r="T66" s="738">
        <v>788</v>
      </c>
      <c r="U66" s="657">
        <v>906</v>
      </c>
      <c r="V66" s="776">
        <v>8.6092715231788075E-2</v>
      </c>
      <c r="W66" s="750">
        <v>1151</v>
      </c>
      <c r="X66">
        <f t="shared" si="17"/>
        <v>6636</v>
      </c>
      <c r="Y66">
        <f t="shared" si="18"/>
        <v>41378</v>
      </c>
    </row>
    <row r="67" spans="2:25" x14ac:dyDescent="0.2">
      <c r="B67" s="751">
        <v>10</v>
      </c>
      <c r="C67" s="768">
        <v>42744</v>
      </c>
      <c r="D67" s="751">
        <v>24</v>
      </c>
      <c r="E67" s="772">
        <f t="shared" si="12"/>
        <v>1</v>
      </c>
      <c r="F67" s="754">
        <f t="shared" si="13"/>
        <v>6.1369999999999996</v>
      </c>
      <c r="G67" s="751">
        <v>100</v>
      </c>
      <c r="H67" s="751">
        <v>70</v>
      </c>
      <c r="I67" s="737">
        <v>6137</v>
      </c>
      <c r="J67" s="653">
        <v>310</v>
      </c>
      <c r="K67" s="770">
        <f t="shared" si="14"/>
        <v>94.948671989571451</v>
      </c>
      <c r="L67" s="737">
        <v>5250</v>
      </c>
      <c r="M67" s="653">
        <v>80</v>
      </c>
      <c r="N67" s="770">
        <f t="shared" si="15"/>
        <v>98.476190476190467</v>
      </c>
      <c r="O67" s="737">
        <v>1974</v>
      </c>
      <c r="P67" s="653">
        <v>38</v>
      </c>
      <c r="Q67" s="770">
        <f t="shared" si="16"/>
        <v>98.074974670719357</v>
      </c>
      <c r="R67" s="737">
        <v>560</v>
      </c>
      <c r="S67" s="658">
        <v>38</v>
      </c>
      <c r="T67" s="737">
        <v>0</v>
      </c>
      <c r="U67" s="658">
        <v>653</v>
      </c>
      <c r="V67" s="772">
        <v>5.8192955589586523E-2</v>
      </c>
      <c r="W67" s="751">
        <v>1313</v>
      </c>
      <c r="X67">
        <f t="shared" si="17"/>
        <v>5827</v>
      </c>
      <c r="Y67">
        <f t="shared" si="18"/>
        <v>47205</v>
      </c>
    </row>
    <row r="68" spans="2:25" x14ac:dyDescent="0.2">
      <c r="B68" s="751">
        <v>11</v>
      </c>
      <c r="C68" s="768">
        <v>42956</v>
      </c>
      <c r="D68" s="751">
        <v>24</v>
      </c>
      <c r="E68" s="772">
        <f t="shared" si="12"/>
        <v>1</v>
      </c>
      <c r="F68" s="754">
        <f t="shared" si="13"/>
        <v>8.8290000000000006</v>
      </c>
      <c r="G68" s="751">
        <v>100</v>
      </c>
      <c r="H68" s="751">
        <v>77</v>
      </c>
      <c r="I68" s="737">
        <v>8829</v>
      </c>
      <c r="J68" s="653">
        <v>319</v>
      </c>
      <c r="K68" s="770">
        <f t="shared" si="14"/>
        <v>96.386906784460308</v>
      </c>
      <c r="L68" s="737">
        <v>6000</v>
      </c>
      <c r="M68" s="653">
        <v>70</v>
      </c>
      <c r="N68" s="770">
        <f t="shared" si="15"/>
        <v>98.833333333333329</v>
      </c>
      <c r="O68" s="737">
        <v>2560</v>
      </c>
      <c r="P68" s="653">
        <v>86</v>
      </c>
      <c r="Q68" s="770">
        <f t="shared" si="16"/>
        <v>96.640625</v>
      </c>
      <c r="R68" s="737">
        <v>480</v>
      </c>
      <c r="S68" s="658">
        <v>43</v>
      </c>
      <c r="T68" s="737">
        <v>0</v>
      </c>
      <c r="U68" s="658">
        <v>677</v>
      </c>
      <c r="V68" s="772">
        <v>6.3515509601181686E-2</v>
      </c>
      <c r="W68" s="751">
        <v>1452</v>
      </c>
      <c r="X68">
        <f t="shared" si="17"/>
        <v>8510</v>
      </c>
      <c r="Y68">
        <f t="shared" si="18"/>
        <v>55715</v>
      </c>
    </row>
    <row r="69" spans="2:25" x14ac:dyDescent="0.2">
      <c r="B69" s="752">
        <v>12</v>
      </c>
      <c r="C69" s="769" t="s">
        <v>61</v>
      </c>
      <c r="D69" s="752">
        <v>20</v>
      </c>
      <c r="E69" s="773">
        <f t="shared" si="12"/>
        <v>0.83333333333333337</v>
      </c>
      <c r="F69" s="755">
        <f t="shared" si="13"/>
        <v>9.8843999999999994</v>
      </c>
      <c r="G69" s="752">
        <v>100</v>
      </c>
      <c r="H69" s="752">
        <v>84</v>
      </c>
      <c r="I69" s="739">
        <v>8237</v>
      </c>
      <c r="J69" s="659">
        <v>168</v>
      </c>
      <c r="K69" s="771">
        <f t="shared" si="14"/>
        <v>97.960422483914044</v>
      </c>
      <c r="L69" s="739">
        <v>6250</v>
      </c>
      <c r="M69" s="659">
        <v>135</v>
      </c>
      <c r="N69" s="771">
        <f t="shared" si="15"/>
        <v>97.84</v>
      </c>
      <c r="O69" s="739">
        <v>1394</v>
      </c>
      <c r="P69" s="659">
        <v>42</v>
      </c>
      <c r="Q69" s="771">
        <f t="shared" si="16"/>
        <v>96.987087517934</v>
      </c>
      <c r="R69" s="739">
        <v>219</v>
      </c>
      <c r="S69" s="660">
        <v>55</v>
      </c>
      <c r="T69" s="739">
        <v>832</v>
      </c>
      <c r="U69" s="660">
        <v>774</v>
      </c>
      <c r="V69" s="773">
        <v>7.10594315245478E-2</v>
      </c>
      <c r="W69" s="752">
        <v>1582</v>
      </c>
      <c r="X69">
        <f t="shared" si="17"/>
        <v>8069</v>
      </c>
      <c r="Y69">
        <f t="shared" si="18"/>
        <v>63784</v>
      </c>
    </row>
    <row r="70" spans="2:25" x14ac:dyDescent="0.2">
      <c r="B70" s="751">
        <v>13</v>
      </c>
      <c r="C70" s="768" t="s">
        <v>66</v>
      </c>
      <c r="D70" s="751">
        <v>20</v>
      </c>
      <c r="E70" s="772">
        <f t="shared" si="12"/>
        <v>0.83333333333333337</v>
      </c>
      <c r="F70" s="754">
        <f t="shared" si="13"/>
        <v>38.85</v>
      </c>
      <c r="G70" s="751">
        <v>100</v>
      </c>
      <c r="H70" s="751">
        <v>91</v>
      </c>
      <c r="I70" s="737">
        <v>32375</v>
      </c>
      <c r="J70" s="653">
        <v>125</v>
      </c>
      <c r="K70" s="770">
        <f t="shared" si="14"/>
        <v>99.613899613899619</v>
      </c>
      <c r="L70" s="737">
        <v>20500</v>
      </c>
      <c r="M70" s="653">
        <v>25</v>
      </c>
      <c r="N70" s="770">
        <f t="shared" si="15"/>
        <v>99.878048780487802</v>
      </c>
      <c r="O70" s="737">
        <v>8228</v>
      </c>
      <c r="P70" s="653">
        <v>48</v>
      </c>
      <c r="Q70" s="770">
        <f t="shared" si="16"/>
        <v>99.41662615459407</v>
      </c>
      <c r="R70" s="737">
        <v>638</v>
      </c>
      <c r="S70" s="658">
        <v>29</v>
      </c>
      <c r="T70" s="737">
        <v>914</v>
      </c>
      <c r="U70" s="658">
        <v>736</v>
      </c>
      <c r="V70" s="772">
        <v>3.940217391304348E-2</v>
      </c>
      <c r="W70" s="751">
        <v>1701</v>
      </c>
      <c r="X70">
        <f t="shared" si="17"/>
        <v>32250</v>
      </c>
      <c r="Y70">
        <f t="shared" si="18"/>
        <v>96034</v>
      </c>
    </row>
    <row r="71" spans="2:25" x14ac:dyDescent="0.2">
      <c r="B71" s="751">
        <v>14</v>
      </c>
      <c r="C71" s="768" t="s">
        <v>71</v>
      </c>
      <c r="D71" s="751">
        <v>15</v>
      </c>
      <c r="E71" s="772">
        <f t="shared" si="12"/>
        <v>0.625</v>
      </c>
      <c r="F71" s="754">
        <f t="shared" si="13"/>
        <v>28.6448</v>
      </c>
      <c r="G71" s="751">
        <v>100</v>
      </c>
      <c r="H71" s="751">
        <v>98</v>
      </c>
      <c r="I71" s="737">
        <v>17903</v>
      </c>
      <c r="J71" s="653">
        <v>168</v>
      </c>
      <c r="K71" s="770">
        <f t="shared" si="14"/>
        <v>99.061609786069369</v>
      </c>
      <c r="L71" s="737">
        <v>9250</v>
      </c>
      <c r="M71" s="653">
        <v>45</v>
      </c>
      <c r="N71" s="770">
        <f t="shared" si="15"/>
        <v>99.513513513513516</v>
      </c>
      <c r="O71" s="737">
        <v>2458</v>
      </c>
      <c r="P71" s="653">
        <v>45</v>
      </c>
      <c r="Q71" s="770">
        <f t="shared" si="16"/>
        <v>98.169243287225385</v>
      </c>
      <c r="R71" s="737">
        <v>1006</v>
      </c>
      <c r="S71" s="658">
        <v>37</v>
      </c>
      <c r="T71" s="737">
        <v>1387</v>
      </c>
      <c r="U71" s="658">
        <v>928</v>
      </c>
      <c r="V71" s="772">
        <v>3.9870689655172417E-2</v>
      </c>
      <c r="W71" s="751">
        <v>1826</v>
      </c>
      <c r="X71">
        <f t="shared" si="17"/>
        <v>17735</v>
      </c>
      <c r="Y71">
        <f t="shared" si="18"/>
        <v>113769</v>
      </c>
    </row>
    <row r="72" spans="2:25" x14ac:dyDescent="0.2">
      <c r="B72" s="752">
        <v>15</v>
      </c>
      <c r="C72" s="769">
        <v>42896</v>
      </c>
      <c r="D72" s="752">
        <v>15</v>
      </c>
      <c r="E72" s="773">
        <f t="shared" si="12"/>
        <v>0.625</v>
      </c>
      <c r="F72" s="755">
        <f t="shared" si="13"/>
        <v>11.798400000000001</v>
      </c>
      <c r="G72" s="752">
        <v>100</v>
      </c>
      <c r="H72" s="752">
        <v>105</v>
      </c>
      <c r="I72" s="739">
        <v>7374</v>
      </c>
      <c r="J72" s="659">
        <v>205</v>
      </c>
      <c r="K72" s="771">
        <f t="shared" si="14"/>
        <v>97.219962028749663</v>
      </c>
      <c r="L72" s="739">
        <v>3500</v>
      </c>
      <c r="M72" s="659">
        <v>60</v>
      </c>
      <c r="N72" s="771">
        <f t="shared" si="15"/>
        <v>98.285714285714292</v>
      </c>
      <c r="O72" s="739">
        <v>752</v>
      </c>
      <c r="P72" s="659">
        <v>116</v>
      </c>
      <c r="Q72" s="771">
        <f t="shared" si="16"/>
        <v>84.574468085106375</v>
      </c>
      <c r="R72" s="739">
        <v>165</v>
      </c>
      <c r="S72" s="660">
        <v>165</v>
      </c>
      <c r="T72" s="739">
        <v>1280</v>
      </c>
      <c r="U72" s="660">
        <v>1221</v>
      </c>
      <c r="V72" s="773">
        <v>0.13513513513513514</v>
      </c>
      <c r="W72" s="752">
        <v>2041</v>
      </c>
      <c r="X72">
        <f t="shared" si="17"/>
        <v>7169</v>
      </c>
      <c r="Y72">
        <f t="shared" si="18"/>
        <v>120938</v>
      </c>
    </row>
    <row r="74" spans="2:25" x14ac:dyDescent="0.2">
      <c r="B74" s="653"/>
      <c r="G74" s="653"/>
      <c r="H74" s="653"/>
      <c r="I74" s="653"/>
    </row>
    <row r="75" spans="2:25" x14ac:dyDescent="0.2">
      <c r="B75" s="653"/>
      <c r="C75" s="653"/>
      <c r="D75" s="653"/>
      <c r="E75" s="653"/>
      <c r="F75" s="778"/>
      <c r="G75" s="653"/>
      <c r="H75" s="653"/>
      <c r="I75" s="653"/>
    </row>
    <row r="76" spans="2:25" ht="68" x14ac:dyDescent="0.2">
      <c r="B76" s="653"/>
      <c r="C76" s="653"/>
      <c r="D76" s="653"/>
      <c r="E76" s="653"/>
      <c r="F76" s="653"/>
      <c r="G76" s="653"/>
      <c r="H76" s="653"/>
      <c r="I76" s="653"/>
      <c r="J76" s="653"/>
      <c r="K76" s="653"/>
      <c r="L76" s="653"/>
      <c r="M76" s="653"/>
      <c r="N76" s="653"/>
      <c r="O76" s="653"/>
      <c r="P76" s="653"/>
      <c r="Q76" s="653"/>
      <c r="R76" s="653"/>
      <c r="T76" s="750" t="s">
        <v>128</v>
      </c>
      <c r="U76" s="808" t="s">
        <v>303</v>
      </c>
      <c r="V76" s="803" t="s">
        <v>302</v>
      </c>
      <c r="W76" s="803" t="s">
        <v>168</v>
      </c>
      <c r="X76" s="803" t="s">
        <v>304</v>
      </c>
      <c r="Y76" s="809" t="s">
        <v>305</v>
      </c>
    </row>
    <row r="77" spans="2:25" x14ac:dyDescent="0.2">
      <c r="B77" s="653"/>
      <c r="C77" s="653"/>
      <c r="D77" s="653"/>
      <c r="E77" s="653"/>
      <c r="G77" s="653"/>
      <c r="H77" s="653"/>
      <c r="I77" s="653"/>
      <c r="T77" s="750">
        <v>7</v>
      </c>
      <c r="U77" s="805">
        <v>226</v>
      </c>
      <c r="V77" s="806">
        <v>1215</v>
      </c>
      <c r="W77" s="807">
        <v>1.1410285714285715</v>
      </c>
      <c r="X77" s="20">
        <f>V77/1000</f>
        <v>1.2150000000000001</v>
      </c>
      <c r="Y77" s="57">
        <f>U77*0.408</f>
        <v>92.207999999999998</v>
      </c>
    </row>
    <row r="78" spans="2:25" x14ac:dyDescent="0.2">
      <c r="B78" s="653"/>
      <c r="C78" s="653"/>
      <c r="D78" s="653"/>
      <c r="E78" s="653"/>
      <c r="G78" s="653"/>
      <c r="H78" s="653"/>
      <c r="I78" s="653"/>
      <c r="T78" s="751">
        <v>14</v>
      </c>
      <c r="U78" s="788">
        <v>319</v>
      </c>
      <c r="V78" s="652">
        <v>5402</v>
      </c>
      <c r="W78" s="761">
        <v>2.9588571428571431</v>
      </c>
      <c r="X78">
        <f t="shared" ref="X78:X91" si="19">V78/1000</f>
        <v>5.4020000000000001</v>
      </c>
      <c r="Y78" s="27">
        <f t="shared" ref="Y78:Y91" si="20">U78*0.408</f>
        <v>130.15199999999999</v>
      </c>
    </row>
    <row r="79" spans="2:25" x14ac:dyDescent="0.2">
      <c r="B79" s="653"/>
      <c r="C79" s="653"/>
      <c r="D79" s="653"/>
      <c r="E79" s="653"/>
      <c r="J79" s="653"/>
      <c r="T79" s="751">
        <v>21</v>
      </c>
      <c r="U79" s="788">
        <v>473</v>
      </c>
      <c r="V79" s="652">
        <v>10481</v>
      </c>
      <c r="W79" s="761">
        <v>3.5705142857142858</v>
      </c>
      <c r="X79">
        <f t="shared" si="19"/>
        <v>10.481</v>
      </c>
      <c r="Y79" s="27">
        <f t="shared" si="20"/>
        <v>192.98399999999998</v>
      </c>
    </row>
    <row r="80" spans="2:25" x14ac:dyDescent="0.2">
      <c r="B80" s="653"/>
      <c r="C80" s="653"/>
      <c r="D80" s="653"/>
      <c r="E80" s="653"/>
      <c r="T80" s="752">
        <v>28</v>
      </c>
      <c r="U80" s="790">
        <v>572</v>
      </c>
      <c r="V80" s="791">
        <v>15531</v>
      </c>
      <c r="W80" s="804">
        <v>3.717257142857143</v>
      </c>
      <c r="X80" s="19">
        <f t="shared" si="19"/>
        <v>15.531000000000001</v>
      </c>
      <c r="Y80" s="48">
        <f t="shared" si="20"/>
        <v>233.37599999999998</v>
      </c>
    </row>
    <row r="81" spans="2:25" x14ac:dyDescent="0.2">
      <c r="B81" s="653"/>
      <c r="C81" s="653"/>
      <c r="D81" s="653"/>
      <c r="E81" s="653"/>
      <c r="T81" s="750">
        <v>35</v>
      </c>
      <c r="U81" s="805">
        <v>590</v>
      </c>
      <c r="V81" s="806">
        <v>19914</v>
      </c>
      <c r="W81" s="807">
        <v>2.7869999999999999</v>
      </c>
      <c r="X81" s="20">
        <f t="shared" si="19"/>
        <v>19.914000000000001</v>
      </c>
      <c r="Y81" s="57">
        <f t="shared" si="20"/>
        <v>240.71999999999997</v>
      </c>
    </row>
    <row r="82" spans="2:25" x14ac:dyDescent="0.2">
      <c r="B82" s="653"/>
      <c r="C82" s="653"/>
      <c r="D82" s="653"/>
      <c r="E82" s="653"/>
      <c r="T82" s="751">
        <v>42</v>
      </c>
      <c r="U82" s="788">
        <v>665</v>
      </c>
      <c r="V82" s="652">
        <v>24906</v>
      </c>
      <c r="W82" s="761">
        <v>3.0846</v>
      </c>
      <c r="X82">
        <f t="shared" si="19"/>
        <v>24.905999999999999</v>
      </c>
      <c r="Y82" s="27">
        <f t="shared" si="20"/>
        <v>271.32</v>
      </c>
    </row>
    <row r="83" spans="2:25" x14ac:dyDescent="0.2">
      <c r="B83" s="653"/>
      <c r="C83" s="653"/>
      <c r="D83" s="653"/>
      <c r="E83" s="653"/>
      <c r="T83" s="751">
        <v>49</v>
      </c>
      <c r="U83" s="788">
        <v>768</v>
      </c>
      <c r="V83" s="652">
        <v>29962</v>
      </c>
      <c r="W83" s="761">
        <v>3.1133999999999999</v>
      </c>
      <c r="X83">
        <f t="shared" si="19"/>
        <v>29.962</v>
      </c>
      <c r="Y83" s="27">
        <f t="shared" si="20"/>
        <v>313.34399999999999</v>
      </c>
    </row>
    <row r="84" spans="2:25" x14ac:dyDescent="0.2">
      <c r="B84" s="653"/>
      <c r="C84" s="653"/>
      <c r="D84" s="653"/>
      <c r="E84" s="653"/>
      <c r="T84" s="752">
        <v>56</v>
      </c>
      <c r="U84" s="790">
        <v>927</v>
      </c>
      <c r="V84" s="791">
        <v>34742</v>
      </c>
      <c r="W84" s="804">
        <v>4.0111999999999997</v>
      </c>
      <c r="X84" s="19">
        <f t="shared" si="19"/>
        <v>34.741999999999997</v>
      </c>
      <c r="Y84" s="48">
        <f t="shared" si="20"/>
        <v>378.21599999999995</v>
      </c>
    </row>
    <row r="85" spans="2:25" x14ac:dyDescent="0.2">
      <c r="B85" s="653"/>
      <c r="C85" s="653"/>
      <c r="D85" s="653"/>
      <c r="E85" s="653"/>
      <c r="T85" s="750">
        <v>63</v>
      </c>
      <c r="U85" s="805">
        <v>1151</v>
      </c>
      <c r="V85" s="806">
        <v>41378</v>
      </c>
      <c r="W85" s="807">
        <v>6.8170000000000002</v>
      </c>
      <c r="X85" s="20">
        <f t="shared" si="19"/>
        <v>41.378</v>
      </c>
      <c r="Y85" s="57">
        <f t="shared" si="20"/>
        <v>469.60799999999995</v>
      </c>
    </row>
    <row r="86" spans="2:25" x14ac:dyDescent="0.2">
      <c r="B86" s="653"/>
      <c r="C86" s="653"/>
      <c r="D86" s="653"/>
      <c r="E86" s="653"/>
      <c r="T86" s="751">
        <v>70</v>
      </c>
      <c r="U86" s="788">
        <v>1313</v>
      </c>
      <c r="V86" s="652">
        <v>47205</v>
      </c>
      <c r="W86" s="761">
        <v>6.1369999999999996</v>
      </c>
      <c r="X86">
        <f t="shared" si="19"/>
        <v>47.204999999999998</v>
      </c>
      <c r="Y86" s="27">
        <f t="shared" si="20"/>
        <v>535.70399999999995</v>
      </c>
    </row>
    <row r="87" spans="2:25" x14ac:dyDescent="0.2">
      <c r="B87" s="653"/>
      <c r="C87" s="653"/>
      <c r="D87" s="653"/>
      <c r="E87" s="653"/>
      <c r="T87" s="751">
        <v>77</v>
      </c>
      <c r="U87" s="788">
        <v>1452</v>
      </c>
      <c r="V87" s="652">
        <v>55715</v>
      </c>
      <c r="W87" s="761">
        <v>8.8290000000000006</v>
      </c>
      <c r="X87">
        <f t="shared" si="19"/>
        <v>55.715000000000003</v>
      </c>
      <c r="Y87" s="27">
        <f t="shared" si="20"/>
        <v>592.41599999999994</v>
      </c>
    </row>
    <row r="88" spans="2:25" x14ac:dyDescent="0.2">
      <c r="B88" s="653"/>
      <c r="C88" s="653"/>
      <c r="D88" s="653"/>
      <c r="E88" s="653"/>
      <c r="T88" s="752">
        <v>84</v>
      </c>
      <c r="U88" s="790">
        <v>1582</v>
      </c>
      <c r="V88" s="791">
        <v>63784</v>
      </c>
      <c r="W88" s="804">
        <v>9.8843999999999994</v>
      </c>
      <c r="X88" s="19">
        <f t="shared" si="19"/>
        <v>63.783999999999999</v>
      </c>
      <c r="Y88" s="48">
        <f t="shared" si="20"/>
        <v>645.4559999999999</v>
      </c>
    </row>
    <row r="89" spans="2:25" x14ac:dyDescent="0.2">
      <c r="B89" s="653"/>
      <c r="C89" s="653"/>
      <c r="D89" s="653"/>
      <c r="E89" s="653"/>
      <c r="T89" s="750">
        <v>91</v>
      </c>
      <c r="U89" s="805">
        <v>1701</v>
      </c>
      <c r="V89" s="806">
        <v>96034</v>
      </c>
      <c r="W89" s="807">
        <v>38.85</v>
      </c>
      <c r="X89" s="20">
        <f t="shared" si="19"/>
        <v>96.034000000000006</v>
      </c>
      <c r="Y89" s="57">
        <f t="shared" si="20"/>
        <v>694.00799999999992</v>
      </c>
    </row>
    <row r="90" spans="2:25" x14ac:dyDescent="0.2">
      <c r="B90" s="653"/>
      <c r="C90" s="653"/>
      <c r="D90" s="653"/>
      <c r="E90" s="653"/>
      <c r="T90" s="751">
        <v>98</v>
      </c>
      <c r="U90" s="788">
        <v>1826</v>
      </c>
      <c r="V90" s="652">
        <v>113769</v>
      </c>
      <c r="W90" s="761">
        <v>28.6448</v>
      </c>
      <c r="X90">
        <f t="shared" si="19"/>
        <v>113.76900000000001</v>
      </c>
      <c r="Y90" s="27">
        <f t="shared" si="20"/>
        <v>745.00799999999992</v>
      </c>
    </row>
    <row r="91" spans="2:25" x14ac:dyDescent="0.2">
      <c r="B91" s="653"/>
      <c r="C91" s="653"/>
      <c r="D91" s="653"/>
      <c r="E91" s="653"/>
      <c r="T91" s="752">
        <v>105</v>
      </c>
      <c r="U91" s="790">
        <v>2041</v>
      </c>
      <c r="V91" s="791">
        <v>120938</v>
      </c>
      <c r="W91" s="804">
        <v>11.798400000000001</v>
      </c>
      <c r="X91" s="19">
        <f t="shared" si="19"/>
        <v>120.938</v>
      </c>
      <c r="Y91" s="48">
        <f t="shared" si="20"/>
        <v>832.72799999999995</v>
      </c>
    </row>
    <row r="92" spans="2:25" x14ac:dyDescent="0.2">
      <c r="B92" s="653"/>
      <c r="C92" s="653"/>
      <c r="D92" s="653"/>
      <c r="E92" s="653"/>
    </row>
    <row r="93" spans="2:25" x14ac:dyDescent="0.2">
      <c r="B93" s="653"/>
      <c r="C93" s="653"/>
      <c r="D93" s="653"/>
      <c r="E93" s="653"/>
    </row>
    <row r="94" spans="2:25" x14ac:dyDescent="0.2">
      <c r="B94" s="653"/>
      <c r="C94" s="653"/>
      <c r="D94" s="653"/>
      <c r="E94" s="653"/>
    </row>
    <row r="95" spans="2:25" x14ac:dyDescent="0.2">
      <c r="B95" s="653"/>
      <c r="C95" s="653"/>
      <c r="D95" s="653"/>
      <c r="E95" s="653"/>
    </row>
    <row r="96" spans="2:25" x14ac:dyDescent="0.2">
      <c r="B96" s="653"/>
      <c r="C96" s="653"/>
      <c r="D96" s="653"/>
      <c r="E96" s="653"/>
    </row>
    <row r="97" spans="2:5" x14ac:dyDescent="0.2">
      <c r="B97" s="653"/>
      <c r="C97" s="653"/>
      <c r="D97" s="653"/>
      <c r="E97" s="653"/>
    </row>
    <row r="98" spans="2:5" x14ac:dyDescent="0.2">
      <c r="B98" s="653"/>
      <c r="C98" s="653"/>
      <c r="D98" s="653"/>
      <c r="E98" s="653"/>
    </row>
    <row r="99" spans="2:5" x14ac:dyDescent="0.2">
      <c r="B99" s="653"/>
      <c r="C99" s="653"/>
      <c r="D99" s="653"/>
      <c r="E99" s="653"/>
    </row>
    <row r="100" spans="2:5" x14ac:dyDescent="0.2">
      <c r="B100" s="653"/>
      <c r="C100" s="653"/>
      <c r="D100" s="653"/>
      <c r="E100" s="653"/>
    </row>
    <row r="101" spans="2:5" x14ac:dyDescent="0.2">
      <c r="B101" s="653"/>
      <c r="C101" s="653"/>
      <c r="D101" s="653"/>
      <c r="E101" s="653"/>
    </row>
    <row r="102" spans="2:5" x14ac:dyDescent="0.2">
      <c r="B102" s="653"/>
      <c r="C102" s="653"/>
      <c r="D102" s="653"/>
      <c r="E102" s="653"/>
    </row>
    <row r="103" spans="2:5" x14ac:dyDescent="0.2">
      <c r="B103" s="653"/>
      <c r="C103" s="653"/>
      <c r="D103" s="653"/>
      <c r="E103" s="653"/>
    </row>
    <row r="104" spans="2:5" x14ac:dyDescent="0.2">
      <c r="B104" s="653"/>
      <c r="C104" s="653"/>
      <c r="D104" s="653"/>
      <c r="E104" s="653"/>
    </row>
    <row r="105" spans="2:5" x14ac:dyDescent="0.2">
      <c r="B105" s="653"/>
      <c r="C105" s="653"/>
      <c r="D105" s="653"/>
      <c r="E105" s="653"/>
    </row>
    <row r="106" spans="2:5" x14ac:dyDescent="0.2">
      <c r="B106" s="653"/>
      <c r="C106" s="653"/>
      <c r="D106" s="653"/>
      <c r="E106" s="653"/>
    </row>
    <row r="107" spans="2:5" x14ac:dyDescent="0.2">
      <c r="B107" s="653"/>
      <c r="C107" s="653"/>
      <c r="D107" s="653"/>
      <c r="E107" s="653"/>
    </row>
    <row r="108" spans="2:5" x14ac:dyDescent="0.2">
      <c r="B108" s="653"/>
      <c r="C108" s="653"/>
      <c r="D108" s="653"/>
      <c r="E108" s="653"/>
    </row>
    <row r="109" spans="2:5" x14ac:dyDescent="0.2">
      <c r="B109" s="653"/>
      <c r="C109" s="653"/>
      <c r="D109" s="653"/>
      <c r="E109" s="653"/>
    </row>
    <row r="110" spans="2:5" x14ac:dyDescent="0.2">
      <c r="B110" s="653"/>
      <c r="C110" s="653"/>
      <c r="D110" s="653"/>
      <c r="E110" s="653"/>
    </row>
    <row r="111" spans="2:5" x14ac:dyDescent="0.2">
      <c r="B111" s="653"/>
      <c r="C111" s="653"/>
      <c r="D111" s="653"/>
      <c r="E111" s="653"/>
    </row>
    <row r="112" spans="2:5" x14ac:dyDescent="0.2">
      <c r="B112" s="653"/>
      <c r="C112" s="653"/>
      <c r="D112" s="653"/>
      <c r="E112" s="653"/>
    </row>
    <row r="113" spans="2:5" x14ac:dyDescent="0.2">
      <c r="B113" s="653"/>
      <c r="C113" s="653"/>
      <c r="D113" s="653"/>
      <c r="E113" s="653"/>
    </row>
    <row r="114" spans="2:5" x14ac:dyDescent="0.2">
      <c r="B114" s="653"/>
      <c r="C114" s="653"/>
      <c r="D114" s="653"/>
      <c r="E114" s="653"/>
    </row>
    <row r="115" spans="2:5" x14ac:dyDescent="0.2">
      <c r="B115" s="653"/>
      <c r="C115" s="653"/>
      <c r="D115" s="653"/>
      <c r="E115" s="653"/>
    </row>
    <row r="116" spans="2:5" x14ac:dyDescent="0.2">
      <c r="B116" s="653"/>
      <c r="C116" s="653"/>
      <c r="D116" s="653"/>
      <c r="E116" s="653"/>
    </row>
    <row r="117" spans="2:5" x14ac:dyDescent="0.2">
      <c r="B117" s="653"/>
      <c r="C117" s="653"/>
      <c r="D117" s="653"/>
      <c r="E117" s="653"/>
    </row>
    <row r="118" spans="2:5" x14ac:dyDescent="0.2">
      <c r="B118" s="653"/>
      <c r="C118" s="653"/>
      <c r="D118" s="653"/>
      <c r="E118" s="653"/>
    </row>
    <row r="119" spans="2:5" x14ac:dyDescent="0.2">
      <c r="B119" s="653"/>
      <c r="C119" s="653"/>
      <c r="D119" s="653"/>
      <c r="E119" s="653"/>
    </row>
    <row r="120" spans="2:5" x14ac:dyDescent="0.2">
      <c r="B120" s="653"/>
      <c r="C120" s="653"/>
      <c r="D120" s="653"/>
      <c r="E120" s="653"/>
    </row>
    <row r="121" spans="2:5" x14ac:dyDescent="0.2">
      <c r="B121" s="653"/>
      <c r="C121" s="653"/>
      <c r="D121" s="653"/>
      <c r="E121" s="653"/>
    </row>
    <row r="122" spans="2:5" x14ac:dyDescent="0.2">
      <c r="B122" s="653"/>
      <c r="C122" s="653"/>
      <c r="D122" s="653"/>
      <c r="E122" s="653"/>
    </row>
    <row r="123" spans="2:5" x14ac:dyDescent="0.2">
      <c r="B123" s="653"/>
      <c r="C123" s="653"/>
      <c r="D123" s="653"/>
      <c r="E123" s="653"/>
    </row>
    <row r="124" spans="2:5" x14ac:dyDescent="0.2">
      <c r="B124" s="653"/>
      <c r="C124" s="653"/>
      <c r="D124" s="653"/>
      <c r="E124" s="653"/>
    </row>
    <row r="125" spans="2:5" x14ac:dyDescent="0.2">
      <c r="B125" s="653"/>
      <c r="C125" s="653"/>
      <c r="D125" s="653"/>
      <c r="E125" s="653"/>
    </row>
    <row r="126" spans="2:5" x14ac:dyDescent="0.2">
      <c r="B126" s="653"/>
      <c r="C126" s="653"/>
      <c r="D126" s="653"/>
      <c r="E126" s="653"/>
    </row>
    <row r="127" spans="2:5" x14ac:dyDescent="0.2">
      <c r="B127" s="653"/>
      <c r="C127" s="653"/>
      <c r="D127" s="653"/>
      <c r="E127" s="653"/>
    </row>
    <row r="128" spans="2:5" x14ac:dyDescent="0.2">
      <c r="B128" s="653"/>
      <c r="C128" s="653"/>
      <c r="D128" s="653"/>
      <c r="E128" s="653"/>
    </row>
    <row r="129" spans="2:5" x14ac:dyDescent="0.2">
      <c r="B129" s="653"/>
      <c r="C129" s="653"/>
      <c r="D129" s="653"/>
      <c r="E129" s="653"/>
    </row>
    <row r="130" spans="2:5" x14ac:dyDescent="0.2">
      <c r="B130" s="653"/>
      <c r="C130" s="653"/>
      <c r="D130" s="653"/>
      <c r="E130" s="653"/>
    </row>
    <row r="131" spans="2:5" x14ac:dyDescent="0.2">
      <c r="B131" s="653"/>
      <c r="C131" s="653"/>
      <c r="D131" s="653"/>
      <c r="E131" s="653"/>
    </row>
    <row r="132" spans="2:5" x14ac:dyDescent="0.2">
      <c r="B132" s="653"/>
      <c r="C132" s="653"/>
      <c r="D132" s="653"/>
      <c r="E132" s="653"/>
    </row>
    <row r="133" spans="2:5" x14ac:dyDescent="0.2">
      <c r="B133" s="653"/>
      <c r="C133" s="653"/>
      <c r="D133" s="653"/>
      <c r="E133" s="653"/>
    </row>
    <row r="134" spans="2:5" x14ac:dyDescent="0.2">
      <c r="B134" s="653"/>
      <c r="C134" s="653"/>
      <c r="D134" s="653"/>
      <c r="E134" s="653"/>
    </row>
    <row r="135" spans="2:5" x14ac:dyDescent="0.2">
      <c r="B135" s="653"/>
      <c r="C135" s="653"/>
      <c r="D135" s="653"/>
      <c r="E135" s="653"/>
    </row>
    <row r="136" spans="2:5" x14ac:dyDescent="0.2">
      <c r="B136" s="653"/>
      <c r="C136" s="653"/>
      <c r="D136" s="653"/>
      <c r="E136" s="653"/>
    </row>
    <row r="137" spans="2:5" x14ac:dyDescent="0.2">
      <c r="B137" s="653"/>
      <c r="C137" s="653"/>
      <c r="D137" s="653"/>
      <c r="E137" s="653"/>
    </row>
    <row r="138" spans="2:5" x14ac:dyDescent="0.2">
      <c r="B138" s="653"/>
      <c r="C138" s="653"/>
      <c r="D138" s="653"/>
      <c r="E138" s="653"/>
    </row>
    <row r="139" spans="2:5" x14ac:dyDescent="0.2">
      <c r="B139" s="653"/>
      <c r="C139" s="653"/>
      <c r="D139" s="653"/>
      <c r="E139" s="653"/>
    </row>
    <row r="140" spans="2:5" x14ac:dyDescent="0.2">
      <c r="B140" s="653"/>
      <c r="C140" s="653"/>
      <c r="D140" s="653"/>
      <c r="E140" s="653"/>
    </row>
    <row r="141" spans="2:5" x14ac:dyDescent="0.2">
      <c r="B141" s="653"/>
      <c r="C141" s="653"/>
      <c r="D141" s="653"/>
      <c r="E141" s="653"/>
    </row>
    <row r="142" spans="2:5" x14ac:dyDescent="0.2">
      <c r="B142" s="653"/>
      <c r="C142" s="653"/>
      <c r="D142" s="653"/>
      <c r="E142" s="653"/>
    </row>
    <row r="143" spans="2:5" x14ac:dyDescent="0.2">
      <c r="B143" s="653"/>
      <c r="C143" s="653"/>
      <c r="D143" s="653"/>
      <c r="E143" s="653"/>
    </row>
    <row r="144" spans="2:5" x14ac:dyDescent="0.2">
      <c r="B144" s="653"/>
      <c r="C144" s="653"/>
      <c r="D144" s="653"/>
      <c r="E144" s="653"/>
    </row>
    <row r="145" spans="2:5" x14ac:dyDescent="0.2">
      <c r="B145" s="653"/>
      <c r="C145" s="653"/>
      <c r="D145" s="653"/>
      <c r="E145" s="653"/>
    </row>
    <row r="146" spans="2:5" x14ac:dyDescent="0.2">
      <c r="B146" s="653"/>
      <c r="C146" s="653"/>
      <c r="D146" s="653"/>
      <c r="E146" s="653"/>
    </row>
    <row r="147" spans="2:5" x14ac:dyDescent="0.2">
      <c r="B147" s="653"/>
      <c r="C147" s="653"/>
      <c r="D147" s="653"/>
      <c r="E147" s="653"/>
    </row>
    <row r="148" spans="2:5" x14ac:dyDescent="0.2">
      <c r="B148" s="653"/>
      <c r="C148" s="653"/>
      <c r="D148" s="653"/>
      <c r="E148" s="653"/>
    </row>
    <row r="149" spans="2:5" x14ac:dyDescent="0.2">
      <c r="B149" s="653"/>
      <c r="C149" s="653"/>
      <c r="D149" s="653"/>
      <c r="E149" s="653"/>
    </row>
    <row r="150" spans="2:5" x14ac:dyDescent="0.2">
      <c r="B150" s="653"/>
      <c r="C150" s="653"/>
      <c r="D150" s="653"/>
      <c r="E150" s="653"/>
    </row>
    <row r="151" spans="2:5" x14ac:dyDescent="0.2">
      <c r="B151" s="653"/>
      <c r="C151" s="653"/>
      <c r="D151" s="653"/>
      <c r="E151" s="653"/>
    </row>
    <row r="152" spans="2:5" x14ac:dyDescent="0.2">
      <c r="B152" s="653"/>
      <c r="C152" s="653"/>
      <c r="D152" s="653"/>
      <c r="E152" s="653"/>
    </row>
    <row r="153" spans="2:5" x14ac:dyDescent="0.2">
      <c r="B153" s="653"/>
      <c r="C153" s="653"/>
      <c r="D153" s="653"/>
      <c r="E153" s="653"/>
    </row>
    <row r="154" spans="2:5" x14ac:dyDescent="0.2">
      <c r="B154" s="653"/>
      <c r="C154" s="653"/>
      <c r="D154" s="653"/>
      <c r="E154" s="653"/>
    </row>
    <row r="155" spans="2:5" x14ac:dyDescent="0.2">
      <c r="B155" s="653"/>
      <c r="C155" s="653"/>
      <c r="D155" s="653"/>
      <c r="E155" s="653"/>
    </row>
    <row r="156" spans="2:5" x14ac:dyDescent="0.2">
      <c r="B156" s="653"/>
      <c r="C156" s="653"/>
      <c r="D156" s="653"/>
      <c r="E156" s="653"/>
    </row>
    <row r="157" spans="2:5" x14ac:dyDescent="0.2">
      <c r="B157" s="653"/>
      <c r="C157" s="653"/>
      <c r="D157" s="653"/>
      <c r="E157" s="653"/>
    </row>
    <row r="158" spans="2:5" x14ac:dyDescent="0.2">
      <c r="B158" s="653"/>
      <c r="C158" s="653"/>
      <c r="D158" s="653"/>
      <c r="E158" s="653"/>
    </row>
    <row r="159" spans="2:5" x14ac:dyDescent="0.2">
      <c r="B159" s="653"/>
      <c r="C159" s="653"/>
      <c r="D159" s="653"/>
      <c r="E159" s="653"/>
    </row>
    <row r="160" spans="2:5" x14ac:dyDescent="0.2">
      <c r="B160" s="653"/>
      <c r="C160" s="653"/>
      <c r="D160" s="653"/>
      <c r="E160" s="653"/>
    </row>
    <row r="161" spans="2:5" x14ac:dyDescent="0.2">
      <c r="B161" s="653"/>
      <c r="C161" s="653"/>
      <c r="D161" s="653"/>
      <c r="E161" s="653"/>
    </row>
    <row r="162" spans="2:5" x14ac:dyDescent="0.2">
      <c r="B162" s="653"/>
      <c r="C162" s="653"/>
      <c r="D162" s="653"/>
      <c r="E162" s="653"/>
    </row>
    <row r="163" spans="2:5" x14ac:dyDescent="0.2">
      <c r="B163" s="653"/>
      <c r="C163" s="653"/>
      <c r="D163" s="653"/>
      <c r="E163" s="653"/>
    </row>
    <row r="164" spans="2:5" x14ac:dyDescent="0.2">
      <c r="B164" s="653"/>
      <c r="C164" s="653"/>
      <c r="D164" s="653"/>
      <c r="E164" s="653"/>
    </row>
    <row r="165" spans="2:5" x14ac:dyDescent="0.2">
      <c r="B165" s="653"/>
      <c r="C165" s="653"/>
      <c r="D165" s="653"/>
      <c r="E165" s="653"/>
    </row>
    <row r="166" spans="2:5" x14ac:dyDescent="0.2">
      <c r="B166" s="653"/>
      <c r="C166" s="653"/>
      <c r="D166" s="653"/>
      <c r="E166" s="653"/>
    </row>
    <row r="167" spans="2:5" x14ac:dyDescent="0.2">
      <c r="B167" s="653"/>
      <c r="C167" s="653"/>
      <c r="D167" s="653"/>
      <c r="E167" s="653"/>
    </row>
    <row r="168" spans="2:5" x14ac:dyDescent="0.2">
      <c r="B168" s="653"/>
      <c r="C168" s="653"/>
      <c r="D168" s="653"/>
      <c r="E168" s="653"/>
    </row>
    <row r="169" spans="2:5" x14ac:dyDescent="0.2">
      <c r="B169" s="653"/>
      <c r="C169" s="653"/>
      <c r="D169" s="653"/>
      <c r="E169" s="653"/>
    </row>
    <row r="170" spans="2:5" x14ac:dyDescent="0.2">
      <c r="B170" s="653"/>
      <c r="C170" s="653"/>
      <c r="D170" s="653"/>
      <c r="E170" s="653"/>
    </row>
    <row r="171" spans="2:5" x14ac:dyDescent="0.2">
      <c r="B171" s="653"/>
      <c r="C171" s="653"/>
      <c r="D171" s="653"/>
      <c r="E171" s="653"/>
    </row>
    <row r="172" spans="2:5" x14ac:dyDescent="0.2">
      <c r="B172" s="653"/>
      <c r="C172" s="653"/>
      <c r="D172" s="653"/>
      <c r="E172" s="653"/>
    </row>
    <row r="173" spans="2:5" x14ac:dyDescent="0.2">
      <c r="B173" s="653"/>
      <c r="C173" s="653"/>
      <c r="D173" s="653"/>
      <c r="E173" s="653"/>
    </row>
    <row r="174" spans="2:5" x14ac:dyDescent="0.2">
      <c r="B174" s="653"/>
      <c r="C174" s="653"/>
      <c r="D174" s="653"/>
      <c r="E174" s="653"/>
    </row>
    <row r="175" spans="2:5" x14ac:dyDescent="0.2">
      <c r="B175" s="653"/>
      <c r="C175" s="653"/>
      <c r="D175" s="653"/>
      <c r="E175" s="653"/>
    </row>
    <row r="176" spans="2:5" x14ac:dyDescent="0.2">
      <c r="B176" s="653"/>
      <c r="C176" s="653"/>
      <c r="D176" s="653"/>
      <c r="E176" s="653"/>
    </row>
  </sheetData>
  <mergeCells count="24">
    <mergeCell ref="W56:W57"/>
    <mergeCell ref="V56:V57"/>
    <mergeCell ref="O56:Q56"/>
    <mergeCell ref="X2:Y2"/>
    <mergeCell ref="D56:G56"/>
    <mergeCell ref="T56:U56"/>
    <mergeCell ref="U26:V26"/>
    <mergeCell ref="U2:V2"/>
    <mergeCell ref="B56:C56"/>
    <mergeCell ref="L2:M2"/>
    <mergeCell ref="O2:P2"/>
    <mergeCell ref="I2:J2"/>
    <mergeCell ref="R56:S56"/>
    <mergeCell ref="B2:C2"/>
    <mergeCell ref="B26:C26"/>
    <mergeCell ref="O26:P26"/>
    <mergeCell ref="I56:K56"/>
    <mergeCell ref="L56:N56"/>
    <mergeCell ref="R26:S26"/>
    <mergeCell ref="D2:G2"/>
    <mergeCell ref="I26:J26"/>
    <mergeCell ref="L26:M26"/>
    <mergeCell ref="D26:G26"/>
    <mergeCell ref="R2:S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C27B3-DF9F-C043-8F43-D550479937AC}">
  <dimension ref="B2:AV176"/>
  <sheetViews>
    <sheetView topLeftCell="U29" workbookViewId="0">
      <selection activeCell="AP38" sqref="AP38"/>
    </sheetView>
  </sheetViews>
  <sheetFormatPr baseColWidth="10" defaultColWidth="11" defaultRowHeight="16" x14ac:dyDescent="0.2"/>
  <cols>
    <col min="3" max="3" width="19.1640625" bestFit="1" customWidth="1"/>
    <col min="6" max="6" width="16.5" bestFit="1" customWidth="1"/>
    <col min="9" max="9" width="15" bestFit="1" customWidth="1"/>
    <col min="10" max="10" width="8.5" bestFit="1" customWidth="1"/>
    <col min="11" max="11" width="8.5" customWidth="1"/>
    <col min="12" max="12" width="13.5" bestFit="1" customWidth="1"/>
    <col min="13" max="13" width="8.5" bestFit="1" customWidth="1"/>
    <col min="14" max="14" width="8.5" customWidth="1"/>
    <col min="15" max="15" width="10.6640625" bestFit="1" customWidth="1"/>
    <col min="16" max="16" width="8.5" bestFit="1" customWidth="1"/>
    <col min="17" max="17" width="8.5" customWidth="1"/>
    <col min="18" max="18" width="10.83203125" bestFit="1" customWidth="1"/>
    <col min="19" max="19" width="8.5" bestFit="1" customWidth="1"/>
    <col min="20" max="20" width="8.5" customWidth="1"/>
    <col min="21" max="21" width="9.6640625" bestFit="1" customWidth="1"/>
    <col min="22" max="24" width="12.83203125" bestFit="1" customWidth="1"/>
    <col min="25" max="25" width="16" bestFit="1" customWidth="1"/>
    <col min="27" max="27" width="12.83203125" bestFit="1" customWidth="1"/>
    <col min="31" max="31" width="15.83203125" bestFit="1" customWidth="1"/>
    <col min="32" max="32" width="15.1640625" bestFit="1" customWidth="1"/>
    <col min="34" max="34" width="15" bestFit="1" customWidth="1"/>
    <col min="35" max="35" width="15.5" bestFit="1" customWidth="1"/>
    <col min="36" max="36" width="15.1640625" bestFit="1" customWidth="1"/>
    <col min="37" max="37" width="16.5" bestFit="1" customWidth="1"/>
    <col min="38" max="38" width="15.1640625" bestFit="1" customWidth="1"/>
    <col min="39" max="39" width="16.5" bestFit="1" customWidth="1"/>
    <col min="40" max="40" width="14.83203125" bestFit="1" customWidth="1"/>
    <col min="41" max="41" width="16" bestFit="1" customWidth="1"/>
    <col min="42" max="42" width="12.83203125" bestFit="1" customWidth="1"/>
    <col min="43" max="43" width="14" bestFit="1" customWidth="1"/>
    <col min="44" max="44" width="12.83203125" bestFit="1" customWidth="1"/>
  </cols>
  <sheetData>
    <row r="2" spans="2:38" x14ac:dyDescent="0.2">
      <c r="B2" s="1061" t="s">
        <v>294</v>
      </c>
      <c r="C2" s="1061"/>
      <c r="D2" s="1067" t="s">
        <v>74</v>
      </c>
      <c r="E2" s="1068"/>
      <c r="F2" s="1068"/>
      <c r="G2" s="1069"/>
      <c r="H2" s="661" t="s">
        <v>150</v>
      </c>
      <c r="I2" s="1058" t="s">
        <v>117</v>
      </c>
      <c r="J2" s="1059"/>
      <c r="K2" s="757"/>
      <c r="L2" s="1058" t="s">
        <v>186</v>
      </c>
      <c r="M2" s="1059"/>
      <c r="N2" s="757"/>
      <c r="O2" s="1058" t="s">
        <v>100</v>
      </c>
      <c r="P2" s="1059"/>
      <c r="Q2" s="757"/>
      <c r="R2" s="1070" t="s">
        <v>119</v>
      </c>
      <c r="S2" s="1071"/>
      <c r="T2" s="758"/>
      <c r="U2" s="1070" t="s">
        <v>120</v>
      </c>
      <c r="V2" s="1071"/>
      <c r="W2" s="758"/>
      <c r="X2" s="1076" t="s">
        <v>184</v>
      </c>
      <c r="Y2" s="1077"/>
      <c r="Z2" s="20"/>
      <c r="AA2" s="57" t="s">
        <v>139</v>
      </c>
    </row>
    <row r="3" spans="2:38" x14ac:dyDescent="0.2">
      <c r="B3" s="676" t="s">
        <v>197</v>
      </c>
      <c r="C3" s="677" t="s">
        <v>19</v>
      </c>
      <c r="D3" s="764" t="s">
        <v>198</v>
      </c>
      <c r="E3" s="678" t="s">
        <v>199</v>
      </c>
      <c r="F3" s="678" t="s">
        <v>138</v>
      </c>
      <c r="G3" s="766" t="s">
        <v>200</v>
      </c>
      <c r="H3" s="766" t="s">
        <v>73</v>
      </c>
      <c r="I3" s="764" t="s">
        <v>81</v>
      </c>
      <c r="J3" s="679" t="s">
        <v>82</v>
      </c>
      <c r="K3" s="679" t="s">
        <v>299</v>
      </c>
      <c r="L3" s="764" t="s">
        <v>81</v>
      </c>
      <c r="M3" s="680" t="s">
        <v>82</v>
      </c>
      <c r="N3" s="679"/>
      <c r="O3" s="764" t="s">
        <v>81</v>
      </c>
      <c r="P3" s="679" t="s">
        <v>82</v>
      </c>
      <c r="Q3" s="679" t="s">
        <v>7</v>
      </c>
      <c r="R3" s="764" t="s">
        <v>81</v>
      </c>
      <c r="S3" s="681" t="s">
        <v>82</v>
      </c>
      <c r="T3" s="682" t="s">
        <v>7</v>
      </c>
      <c r="U3" s="765" t="s">
        <v>81</v>
      </c>
      <c r="V3" s="681" t="s">
        <v>82</v>
      </c>
      <c r="W3" s="682" t="s">
        <v>7</v>
      </c>
      <c r="X3" s="765" t="s">
        <v>81</v>
      </c>
      <c r="Y3" s="682" t="s">
        <v>82</v>
      </c>
      <c r="Z3" s="760" t="s">
        <v>7</v>
      </c>
      <c r="AA3" s="27"/>
    </row>
    <row r="4" spans="2:38" x14ac:dyDescent="0.2">
      <c r="B4" s="663">
        <v>1</v>
      </c>
      <c r="C4" s="683">
        <v>42772</v>
      </c>
      <c r="D4" s="684">
        <v>55</v>
      </c>
      <c r="E4" s="685">
        <f>D4/24</f>
        <v>2.2916666666666665</v>
      </c>
      <c r="F4" s="686">
        <v>1.1399999999999999</v>
      </c>
      <c r="G4" s="665">
        <v>50</v>
      </c>
      <c r="H4" s="665">
        <v>5</v>
      </c>
      <c r="I4" s="684">
        <v>105</v>
      </c>
      <c r="J4" s="687">
        <v>82</v>
      </c>
      <c r="K4" s="687"/>
      <c r="L4" s="684">
        <v>322</v>
      </c>
      <c r="M4" s="688">
        <v>933</v>
      </c>
      <c r="N4" s="687"/>
      <c r="O4" s="684">
        <v>543</v>
      </c>
      <c r="P4" s="689">
        <v>163</v>
      </c>
      <c r="Q4" s="759">
        <f>((O4-P4)/O4)*100</f>
        <v>69.981583793738494</v>
      </c>
      <c r="R4" s="684">
        <v>325</v>
      </c>
      <c r="S4" s="665">
        <v>50</v>
      </c>
      <c r="T4" s="759">
        <f>((R4-S4)/R4)*100</f>
        <v>84.615384615384613</v>
      </c>
      <c r="U4" s="689">
        <v>122</v>
      </c>
      <c r="V4" s="665">
        <v>98</v>
      </c>
      <c r="W4" s="759">
        <f>((U4-V4)/U4)*100</f>
        <v>19.672131147540984</v>
      </c>
      <c r="X4" s="690">
        <v>17.55</v>
      </c>
      <c r="Y4" s="691">
        <v>19.866666666666667</v>
      </c>
      <c r="Z4" s="759">
        <f>((X4-Y4)/X4)*100</f>
        <v>-13.200379867046532</v>
      </c>
      <c r="AA4" s="798">
        <f>J4/M4</f>
        <v>8.7888531618435156E-2</v>
      </c>
    </row>
    <row r="5" spans="2:38" x14ac:dyDescent="0.2">
      <c r="B5" s="666">
        <v>2</v>
      </c>
      <c r="C5" s="692">
        <v>42984</v>
      </c>
      <c r="D5" s="693">
        <v>55</v>
      </c>
      <c r="E5" s="685">
        <f t="shared" ref="E5:E23" si="0">D5/24</f>
        <v>2.2916666666666665</v>
      </c>
      <c r="F5" s="694">
        <v>1.1100000000000001</v>
      </c>
      <c r="G5" s="667">
        <v>50</v>
      </c>
      <c r="H5" s="667">
        <v>12</v>
      </c>
      <c r="I5" s="693">
        <v>196</v>
      </c>
      <c r="J5" s="695">
        <v>91</v>
      </c>
      <c r="K5" s="695"/>
      <c r="L5" s="693">
        <v>420</v>
      </c>
      <c r="M5" s="696">
        <v>538</v>
      </c>
      <c r="N5" s="695"/>
      <c r="O5" s="693">
        <v>1125</v>
      </c>
      <c r="P5" s="697">
        <v>77</v>
      </c>
      <c r="Q5" s="759">
        <f t="shared" ref="Q5:Q23" si="1">((O5-P5)/O5)*100</f>
        <v>93.155555555555551</v>
      </c>
      <c r="R5" s="693">
        <v>450</v>
      </c>
      <c r="S5" s="667">
        <v>10</v>
      </c>
      <c r="T5" s="759">
        <f t="shared" ref="T5:T23" si="2">((R5-S5)/R5)*100</f>
        <v>97.777777777777771</v>
      </c>
      <c r="U5" s="697">
        <v>144</v>
      </c>
      <c r="V5" s="667">
        <v>78</v>
      </c>
      <c r="W5" s="759">
        <f t="shared" ref="W5:W23" si="3">((U5-V5)/U5)*100</f>
        <v>45.833333333333329</v>
      </c>
      <c r="X5" s="698">
        <v>19.166666666666664</v>
      </c>
      <c r="Y5" s="699">
        <v>18.133333333333336</v>
      </c>
      <c r="Z5" s="759">
        <f t="shared" ref="Z5:Z23" si="4">((X5-Y5)/X5)*100</f>
        <v>5.3913043478260594</v>
      </c>
      <c r="AA5" s="798">
        <f t="shared" ref="AA5:AA23" si="5">J5/M5</f>
        <v>0.16914498141263939</v>
      </c>
    </row>
    <row r="6" spans="2:38" x14ac:dyDescent="0.2">
      <c r="B6" s="666">
        <v>3</v>
      </c>
      <c r="C6" s="692" t="s">
        <v>216</v>
      </c>
      <c r="D6" s="693">
        <v>55</v>
      </c>
      <c r="E6" s="685">
        <f t="shared" si="0"/>
        <v>2.2916666666666665</v>
      </c>
      <c r="F6" s="694">
        <v>1.1100000000000001</v>
      </c>
      <c r="G6" s="667">
        <v>50</v>
      </c>
      <c r="H6" s="667">
        <v>19</v>
      </c>
      <c r="I6" s="693">
        <v>229</v>
      </c>
      <c r="J6" s="695">
        <v>77</v>
      </c>
      <c r="K6" s="695"/>
      <c r="L6" s="693">
        <v>397</v>
      </c>
      <c r="M6" s="696">
        <v>722</v>
      </c>
      <c r="N6" s="695"/>
      <c r="O6" s="693">
        <v>1212</v>
      </c>
      <c r="P6" s="697">
        <v>91</v>
      </c>
      <c r="Q6" s="759">
        <f t="shared" si="1"/>
        <v>92.491749174917487</v>
      </c>
      <c r="R6" s="693">
        <v>525</v>
      </c>
      <c r="S6" s="667">
        <v>35</v>
      </c>
      <c r="T6" s="759">
        <f t="shared" si="2"/>
        <v>93.333333333333329</v>
      </c>
      <c r="U6" s="697">
        <v>194</v>
      </c>
      <c r="V6" s="667">
        <v>100</v>
      </c>
      <c r="W6" s="759">
        <f t="shared" si="3"/>
        <v>48.453608247422679</v>
      </c>
      <c r="X6" s="698">
        <v>21.1</v>
      </c>
      <c r="Y6" s="699">
        <v>22.56666666666667</v>
      </c>
      <c r="Z6" s="759">
        <f t="shared" si="4"/>
        <v>-6.9510268562401345</v>
      </c>
      <c r="AA6" s="798">
        <f t="shared" si="5"/>
        <v>0.10664819944598337</v>
      </c>
    </row>
    <row r="7" spans="2:38" x14ac:dyDescent="0.2">
      <c r="B7" s="668">
        <v>4</v>
      </c>
      <c r="C7" s="700" t="s">
        <v>217</v>
      </c>
      <c r="D7" s="701">
        <v>55</v>
      </c>
      <c r="E7" s="685">
        <f t="shared" si="0"/>
        <v>2.2916666666666665</v>
      </c>
      <c r="F7" s="702">
        <v>1.36</v>
      </c>
      <c r="G7" s="669">
        <v>50</v>
      </c>
      <c r="H7" s="669">
        <v>26</v>
      </c>
      <c r="I7" s="701">
        <v>112</v>
      </c>
      <c r="J7" s="703">
        <v>81</v>
      </c>
      <c r="K7" s="703"/>
      <c r="L7" s="701">
        <v>408</v>
      </c>
      <c r="M7" s="704">
        <v>550</v>
      </c>
      <c r="N7" s="703"/>
      <c r="O7" s="701">
        <v>1804</v>
      </c>
      <c r="P7" s="705">
        <v>77</v>
      </c>
      <c r="Q7" s="759">
        <f t="shared" si="1"/>
        <v>95.731707317073173</v>
      </c>
      <c r="R7" s="701">
        <v>875</v>
      </c>
      <c r="S7" s="669">
        <v>20</v>
      </c>
      <c r="T7" s="759">
        <f t="shared" si="2"/>
        <v>97.714285714285708</v>
      </c>
      <c r="U7" s="705">
        <v>238</v>
      </c>
      <c r="V7" s="669">
        <v>78</v>
      </c>
      <c r="W7" s="759">
        <f t="shared" si="3"/>
        <v>67.226890756302524</v>
      </c>
      <c r="X7" s="706">
        <v>21.150000000000002</v>
      </c>
      <c r="Y7" s="707">
        <v>20.299999999999997</v>
      </c>
      <c r="Z7" s="759">
        <f t="shared" si="4"/>
        <v>4.0189125295508505</v>
      </c>
      <c r="AA7" s="798">
        <f t="shared" si="5"/>
        <v>0.14727272727272728</v>
      </c>
    </row>
    <row r="8" spans="2:38" x14ac:dyDescent="0.2">
      <c r="B8" s="663">
        <v>5</v>
      </c>
      <c r="C8" s="683" t="s">
        <v>30</v>
      </c>
      <c r="D8" s="684">
        <v>96</v>
      </c>
      <c r="E8" s="708">
        <f t="shared" si="0"/>
        <v>4</v>
      </c>
      <c r="F8" s="686">
        <v>0.7</v>
      </c>
      <c r="G8" s="665">
        <v>50</v>
      </c>
      <c r="H8" s="665">
        <v>33</v>
      </c>
      <c r="I8" s="684">
        <v>481</v>
      </c>
      <c r="J8" s="687">
        <v>104</v>
      </c>
      <c r="K8" s="687"/>
      <c r="L8" s="684">
        <v>467</v>
      </c>
      <c r="M8" s="688">
        <v>449</v>
      </c>
      <c r="N8" s="687"/>
      <c r="O8" s="684">
        <v>1497</v>
      </c>
      <c r="P8" s="689">
        <v>114</v>
      </c>
      <c r="Q8" s="759">
        <f t="shared" si="1"/>
        <v>92.384769539078164</v>
      </c>
      <c r="R8" s="684">
        <v>1000</v>
      </c>
      <c r="S8" s="665">
        <v>170</v>
      </c>
      <c r="T8" s="759">
        <f t="shared" si="2"/>
        <v>83</v>
      </c>
      <c r="U8" s="689">
        <v>254</v>
      </c>
      <c r="V8" s="665">
        <v>68</v>
      </c>
      <c r="W8" s="759">
        <f t="shared" si="3"/>
        <v>73.228346456692918</v>
      </c>
      <c r="X8" s="709">
        <v>20.25</v>
      </c>
      <c r="Y8" s="709">
        <v>19.633333333333333</v>
      </c>
      <c r="Z8" s="759">
        <f t="shared" si="4"/>
        <v>3.0452674897119363</v>
      </c>
      <c r="AA8" s="798">
        <f t="shared" si="5"/>
        <v>0.23162583518930957</v>
      </c>
    </row>
    <row r="9" spans="2:38" x14ac:dyDescent="0.2">
      <c r="B9" s="666">
        <v>6</v>
      </c>
      <c r="C9" s="692">
        <v>42923</v>
      </c>
      <c r="D9" s="693">
        <v>96</v>
      </c>
      <c r="E9" s="685">
        <f t="shared" si="0"/>
        <v>4</v>
      </c>
      <c r="F9" s="694">
        <v>0.77</v>
      </c>
      <c r="G9" s="667">
        <v>50</v>
      </c>
      <c r="H9" s="667">
        <v>40</v>
      </c>
      <c r="I9" s="693">
        <v>351</v>
      </c>
      <c r="J9" s="695">
        <v>142</v>
      </c>
      <c r="K9" s="695"/>
      <c r="L9" s="693">
        <v>479</v>
      </c>
      <c r="M9" s="696">
        <v>430</v>
      </c>
      <c r="N9" s="695"/>
      <c r="O9" s="693">
        <v>1364</v>
      </c>
      <c r="P9" s="697">
        <v>100</v>
      </c>
      <c r="Q9" s="759">
        <f t="shared" si="1"/>
        <v>92.668621700879754</v>
      </c>
      <c r="R9" s="693">
        <v>750</v>
      </c>
      <c r="S9" s="667">
        <v>10</v>
      </c>
      <c r="T9" s="759">
        <f t="shared" si="2"/>
        <v>98.666666666666671</v>
      </c>
      <c r="U9" s="697">
        <v>286</v>
      </c>
      <c r="V9" s="667">
        <v>46</v>
      </c>
      <c r="W9" s="759">
        <f t="shared" si="3"/>
        <v>83.91608391608392</v>
      </c>
      <c r="X9" s="709">
        <v>20.666666666666668</v>
      </c>
      <c r="Y9" s="709">
        <v>21</v>
      </c>
      <c r="Z9" s="759">
        <f t="shared" si="4"/>
        <v>-1.6129032258064457</v>
      </c>
      <c r="AA9" s="798">
        <f t="shared" si="5"/>
        <v>0.33023255813953489</v>
      </c>
    </row>
    <row r="10" spans="2:38" x14ac:dyDescent="0.2">
      <c r="B10" s="666">
        <v>7</v>
      </c>
      <c r="C10" s="692" t="s">
        <v>33</v>
      </c>
      <c r="D10" s="693">
        <v>96</v>
      </c>
      <c r="E10" s="685">
        <f t="shared" si="0"/>
        <v>4</v>
      </c>
      <c r="F10" s="694">
        <v>0.84</v>
      </c>
      <c r="G10" s="667">
        <v>50</v>
      </c>
      <c r="H10" s="667">
        <v>47</v>
      </c>
      <c r="I10" s="693">
        <v>311</v>
      </c>
      <c r="J10" s="695">
        <v>134</v>
      </c>
      <c r="K10" s="695"/>
      <c r="L10" s="693">
        <v>533</v>
      </c>
      <c r="M10" s="696">
        <v>639</v>
      </c>
      <c r="N10" s="695"/>
      <c r="O10" s="693">
        <v>1724</v>
      </c>
      <c r="P10" s="697">
        <v>129</v>
      </c>
      <c r="Q10" s="759">
        <f t="shared" si="1"/>
        <v>92.517401392111367</v>
      </c>
      <c r="R10" s="693">
        <v>1050</v>
      </c>
      <c r="S10" s="667">
        <v>60</v>
      </c>
      <c r="T10" s="759">
        <f t="shared" si="2"/>
        <v>94.285714285714278</v>
      </c>
      <c r="U10" s="697">
        <v>202</v>
      </c>
      <c r="V10" s="667">
        <v>24</v>
      </c>
      <c r="W10" s="759">
        <f t="shared" si="3"/>
        <v>88.118811881188122</v>
      </c>
      <c r="X10" s="698"/>
      <c r="Y10" s="709"/>
      <c r="Z10" s="759" t="e">
        <f t="shared" si="4"/>
        <v>#DIV/0!</v>
      </c>
      <c r="AA10" s="798">
        <f t="shared" si="5"/>
        <v>0.20970266040688576</v>
      </c>
    </row>
    <row r="11" spans="2:38" x14ac:dyDescent="0.2">
      <c r="B11" s="668">
        <v>8</v>
      </c>
      <c r="C11" s="700" t="s">
        <v>38</v>
      </c>
      <c r="D11" s="710">
        <v>96</v>
      </c>
      <c r="E11" s="711">
        <f t="shared" si="0"/>
        <v>4</v>
      </c>
      <c r="F11" s="712">
        <v>0.8</v>
      </c>
      <c r="G11" s="713">
        <v>75</v>
      </c>
      <c r="H11" s="670">
        <v>54</v>
      </c>
      <c r="I11" s="714">
        <v>898</v>
      </c>
      <c r="J11" s="715">
        <v>379</v>
      </c>
      <c r="K11" s="715"/>
      <c r="L11" s="714">
        <v>773</v>
      </c>
      <c r="M11" s="716">
        <v>743</v>
      </c>
      <c r="N11" s="715"/>
      <c r="O11" s="710">
        <v>2043</v>
      </c>
      <c r="P11" s="717">
        <v>135</v>
      </c>
      <c r="Q11" s="759">
        <f t="shared" si="1"/>
        <v>93.392070484581495</v>
      </c>
      <c r="R11" s="710">
        <v>1200</v>
      </c>
      <c r="S11" s="713">
        <v>10</v>
      </c>
      <c r="T11" s="759">
        <f t="shared" si="2"/>
        <v>99.166666666666671</v>
      </c>
      <c r="U11" s="705">
        <v>258</v>
      </c>
      <c r="V11" s="669">
        <v>62</v>
      </c>
      <c r="W11" s="759">
        <f t="shared" si="3"/>
        <v>75.968992248062023</v>
      </c>
      <c r="X11" s="706">
        <v>42</v>
      </c>
      <c r="Y11" s="718" t="e">
        <v>#DIV/0!</v>
      </c>
      <c r="Z11" s="759" t="e">
        <f t="shared" si="4"/>
        <v>#DIV/0!</v>
      </c>
      <c r="AA11" s="798">
        <f t="shared" si="5"/>
        <v>0.51009421265141319</v>
      </c>
      <c r="AI11" s="653"/>
      <c r="AJ11" s="761"/>
      <c r="AK11" s="762"/>
      <c r="AL11" s="762"/>
    </row>
    <row r="12" spans="2:38" x14ac:dyDescent="0.2">
      <c r="B12" s="663">
        <v>9</v>
      </c>
      <c r="C12" s="683" t="s">
        <v>43</v>
      </c>
      <c r="D12" s="719">
        <v>48</v>
      </c>
      <c r="E12" s="720">
        <f t="shared" si="0"/>
        <v>2</v>
      </c>
      <c r="F12" s="721">
        <v>1.92</v>
      </c>
      <c r="G12" s="722">
        <v>100</v>
      </c>
      <c r="H12" s="671">
        <v>61</v>
      </c>
      <c r="I12" s="723">
        <v>672</v>
      </c>
      <c r="J12" s="724">
        <v>387</v>
      </c>
      <c r="K12" s="724"/>
      <c r="L12" s="723">
        <v>923</v>
      </c>
      <c r="M12" s="725">
        <v>781</v>
      </c>
      <c r="N12" s="724"/>
      <c r="O12" s="719">
        <v>3286</v>
      </c>
      <c r="P12" s="726">
        <v>173</v>
      </c>
      <c r="Q12" s="759">
        <f t="shared" si="1"/>
        <v>94.735240413877051</v>
      </c>
      <c r="R12" s="719">
        <v>1700</v>
      </c>
      <c r="S12" s="722">
        <v>175</v>
      </c>
      <c r="T12" s="759">
        <f t="shared" si="2"/>
        <v>89.705882352941174</v>
      </c>
      <c r="U12" s="689">
        <v>406</v>
      </c>
      <c r="V12" s="665">
        <v>30</v>
      </c>
      <c r="W12" s="759">
        <f t="shared" si="3"/>
        <v>92.610837438423644</v>
      </c>
      <c r="X12" s="690">
        <v>38</v>
      </c>
      <c r="Y12" s="727">
        <v>27.333333333333332</v>
      </c>
      <c r="Z12" s="759">
        <f t="shared" si="4"/>
        <v>28.070175438596497</v>
      </c>
      <c r="AA12" s="798">
        <f t="shared" si="5"/>
        <v>0.49551856594110116</v>
      </c>
      <c r="AI12" s="653"/>
      <c r="AJ12" s="761"/>
      <c r="AK12" s="762"/>
      <c r="AL12" s="762"/>
    </row>
    <row r="13" spans="2:38" x14ac:dyDescent="0.2">
      <c r="B13" s="666">
        <v>10</v>
      </c>
      <c r="C13" s="692">
        <v>42833</v>
      </c>
      <c r="D13" s="728">
        <v>48</v>
      </c>
      <c r="E13" s="711">
        <f t="shared" si="0"/>
        <v>2</v>
      </c>
      <c r="F13" s="729">
        <v>1.76</v>
      </c>
      <c r="G13" s="730">
        <v>100</v>
      </c>
      <c r="H13" s="672">
        <v>68</v>
      </c>
      <c r="I13" s="731">
        <v>474</v>
      </c>
      <c r="J13" s="732">
        <v>402</v>
      </c>
      <c r="K13" s="732"/>
      <c r="L13" s="731">
        <v>473</v>
      </c>
      <c r="M13" s="733">
        <v>408</v>
      </c>
      <c r="N13" s="732"/>
      <c r="O13" s="728">
        <v>2329</v>
      </c>
      <c r="P13" s="734">
        <v>172</v>
      </c>
      <c r="Q13" s="759">
        <f t="shared" si="1"/>
        <v>92.614856161442688</v>
      </c>
      <c r="R13" s="728">
        <v>1500</v>
      </c>
      <c r="S13" s="730">
        <v>165</v>
      </c>
      <c r="T13" s="759">
        <f t="shared" si="2"/>
        <v>89</v>
      </c>
      <c r="U13" s="697">
        <v>494</v>
      </c>
      <c r="V13" s="667">
        <v>32</v>
      </c>
      <c r="W13" s="759">
        <f t="shared" si="3"/>
        <v>93.522267206477736</v>
      </c>
      <c r="X13" s="698">
        <v>29.333333333333332</v>
      </c>
      <c r="Y13" s="709">
        <v>21.333333333333332</v>
      </c>
      <c r="Z13" s="759">
        <f t="shared" si="4"/>
        <v>27.272727272727277</v>
      </c>
      <c r="AA13" s="798">
        <f t="shared" si="5"/>
        <v>0.98529411764705888</v>
      </c>
      <c r="AI13" s="653"/>
      <c r="AJ13" s="761"/>
      <c r="AK13" s="762"/>
      <c r="AL13" s="762"/>
    </row>
    <row r="14" spans="2:38" x14ac:dyDescent="0.2">
      <c r="B14" s="666">
        <v>11</v>
      </c>
      <c r="C14" s="692">
        <v>43047</v>
      </c>
      <c r="D14" s="693">
        <v>48</v>
      </c>
      <c r="E14" s="685">
        <f t="shared" si="0"/>
        <v>2</v>
      </c>
      <c r="F14" s="694">
        <v>2.1800000000000002</v>
      </c>
      <c r="G14" s="667">
        <v>100</v>
      </c>
      <c r="H14" s="673">
        <v>75</v>
      </c>
      <c r="I14" s="693">
        <v>366</v>
      </c>
      <c r="J14" s="695">
        <v>88</v>
      </c>
      <c r="K14" s="695"/>
      <c r="L14" s="693">
        <v>443</v>
      </c>
      <c r="M14" s="696">
        <v>395</v>
      </c>
      <c r="N14" s="695"/>
      <c r="O14" s="693">
        <v>4241</v>
      </c>
      <c r="P14" s="697">
        <v>148</v>
      </c>
      <c r="Q14" s="759">
        <f t="shared" si="1"/>
        <v>96.510257014854986</v>
      </c>
      <c r="R14" s="693">
        <v>2125</v>
      </c>
      <c r="S14" s="667">
        <v>60</v>
      </c>
      <c r="T14" s="759">
        <f t="shared" si="2"/>
        <v>97.176470588235304</v>
      </c>
      <c r="U14" s="697">
        <v>584</v>
      </c>
      <c r="V14" s="667">
        <v>35</v>
      </c>
      <c r="W14" s="759">
        <f t="shared" si="3"/>
        <v>94.006849315068493</v>
      </c>
      <c r="X14" s="698">
        <v>42.333333333333336</v>
      </c>
      <c r="Y14" s="709">
        <v>25</v>
      </c>
      <c r="Z14" s="759">
        <f t="shared" si="4"/>
        <v>40.944881889763785</v>
      </c>
      <c r="AA14" s="798">
        <f t="shared" si="5"/>
        <v>0.22278481012658227</v>
      </c>
      <c r="AI14" s="653"/>
      <c r="AJ14" s="761"/>
      <c r="AK14" s="762"/>
      <c r="AL14" s="762"/>
    </row>
    <row r="15" spans="2:38" x14ac:dyDescent="0.2">
      <c r="B15" s="668">
        <v>12</v>
      </c>
      <c r="C15" s="700" t="s">
        <v>49</v>
      </c>
      <c r="D15" s="701">
        <v>48</v>
      </c>
      <c r="E15" s="735">
        <f t="shared" si="0"/>
        <v>2</v>
      </c>
      <c r="F15" s="702">
        <v>1.98</v>
      </c>
      <c r="G15" s="669">
        <v>100</v>
      </c>
      <c r="H15" s="674">
        <v>82</v>
      </c>
      <c r="I15" s="701">
        <v>345</v>
      </c>
      <c r="J15" s="703">
        <v>58</v>
      </c>
      <c r="K15" s="703"/>
      <c r="L15" s="701">
        <v>458</v>
      </c>
      <c r="M15" s="704">
        <v>660</v>
      </c>
      <c r="N15" s="703"/>
      <c r="O15" s="701">
        <v>2975</v>
      </c>
      <c r="P15" s="705">
        <v>145</v>
      </c>
      <c r="Q15" s="759">
        <f t="shared" si="1"/>
        <v>95.126050420168056</v>
      </c>
      <c r="R15" s="701">
        <v>1500</v>
      </c>
      <c r="S15" s="669">
        <v>155</v>
      </c>
      <c r="T15" s="759">
        <f t="shared" si="2"/>
        <v>89.666666666666657</v>
      </c>
      <c r="U15" s="705">
        <v>382</v>
      </c>
      <c r="V15" s="669">
        <v>46</v>
      </c>
      <c r="W15" s="759">
        <f t="shared" si="3"/>
        <v>87.958115183246079</v>
      </c>
      <c r="X15" s="706">
        <v>35.666666666666664</v>
      </c>
      <c r="Y15" s="736">
        <v>29</v>
      </c>
      <c r="Z15" s="759">
        <f t="shared" si="4"/>
        <v>18.691588785046722</v>
      </c>
      <c r="AA15" s="798">
        <f t="shared" si="5"/>
        <v>8.7878787878787876E-2</v>
      </c>
      <c r="AI15" s="653"/>
      <c r="AJ15" s="761"/>
      <c r="AK15" s="762"/>
      <c r="AL15" s="762"/>
    </row>
    <row r="16" spans="2:38" x14ac:dyDescent="0.2">
      <c r="B16" s="663">
        <v>13</v>
      </c>
      <c r="C16" s="683" t="s">
        <v>54</v>
      </c>
      <c r="D16" s="684">
        <v>36</v>
      </c>
      <c r="E16" s="685">
        <f t="shared" si="0"/>
        <v>1.5</v>
      </c>
      <c r="F16" s="686">
        <v>3.2</v>
      </c>
      <c r="G16" s="665">
        <v>100</v>
      </c>
      <c r="H16" s="675">
        <v>89</v>
      </c>
      <c r="I16" s="684">
        <v>295</v>
      </c>
      <c r="J16" s="687">
        <v>87</v>
      </c>
      <c r="K16" s="687"/>
      <c r="L16" s="684">
        <v>459</v>
      </c>
      <c r="M16" s="688">
        <v>474</v>
      </c>
      <c r="N16" s="687"/>
      <c r="O16" s="684">
        <v>3723</v>
      </c>
      <c r="P16" s="689">
        <v>152</v>
      </c>
      <c r="Q16" s="759">
        <f t="shared" si="1"/>
        <v>95.917271017996242</v>
      </c>
      <c r="R16" s="684">
        <v>1750</v>
      </c>
      <c r="S16" s="665">
        <v>85</v>
      </c>
      <c r="T16" s="759">
        <f t="shared" si="2"/>
        <v>95.142857142857139</v>
      </c>
      <c r="U16" s="689">
        <v>472</v>
      </c>
      <c r="V16" s="665">
        <v>49</v>
      </c>
      <c r="W16" s="759">
        <f t="shared" si="3"/>
        <v>89.618644067796609</v>
      </c>
      <c r="X16" s="709">
        <v>34.666666666666664</v>
      </c>
      <c r="Y16" s="709">
        <v>31</v>
      </c>
      <c r="Z16" s="759">
        <f t="shared" si="4"/>
        <v>10.576923076923071</v>
      </c>
      <c r="AA16" s="798">
        <f t="shared" si="5"/>
        <v>0.18354430379746836</v>
      </c>
      <c r="AI16" s="653"/>
      <c r="AJ16" s="761"/>
      <c r="AK16" s="762"/>
      <c r="AL16" s="762"/>
    </row>
    <row r="17" spans="2:48" x14ac:dyDescent="0.2">
      <c r="B17" s="666">
        <v>14</v>
      </c>
      <c r="C17" s="692">
        <v>42744</v>
      </c>
      <c r="D17" s="693">
        <v>36</v>
      </c>
      <c r="E17" s="685">
        <f t="shared" si="0"/>
        <v>1.5</v>
      </c>
      <c r="F17" s="694">
        <v>3.64</v>
      </c>
      <c r="G17" s="667">
        <v>100</v>
      </c>
      <c r="H17" s="673">
        <v>96</v>
      </c>
      <c r="I17" s="693">
        <v>414</v>
      </c>
      <c r="J17" s="695">
        <v>73</v>
      </c>
      <c r="K17" s="695"/>
      <c r="L17" s="693">
        <v>430</v>
      </c>
      <c r="M17" s="696">
        <v>481</v>
      </c>
      <c r="N17" s="695"/>
      <c r="O17" s="693">
        <v>4466</v>
      </c>
      <c r="P17" s="697">
        <v>138</v>
      </c>
      <c r="Q17" s="759">
        <f t="shared" si="1"/>
        <v>96.909986565158974</v>
      </c>
      <c r="R17" s="693">
        <v>2375</v>
      </c>
      <c r="S17" s="667">
        <v>160</v>
      </c>
      <c r="T17" s="759">
        <f t="shared" si="2"/>
        <v>93.263157894736835</v>
      </c>
      <c r="U17" s="697">
        <v>584</v>
      </c>
      <c r="V17" s="667">
        <v>52</v>
      </c>
      <c r="W17" s="759">
        <f t="shared" si="3"/>
        <v>91.095890410958901</v>
      </c>
      <c r="X17" s="709">
        <v>34.333333333333336</v>
      </c>
      <c r="Y17" s="709">
        <v>30.333333333333332</v>
      </c>
      <c r="Z17" s="759">
        <f t="shared" si="4"/>
        <v>11.650485436893215</v>
      </c>
      <c r="AA17" s="798">
        <f t="shared" si="5"/>
        <v>0.15176715176715178</v>
      </c>
      <c r="AI17" s="653"/>
      <c r="AJ17" s="761"/>
      <c r="AK17" s="762"/>
      <c r="AL17" s="762"/>
    </row>
    <row r="18" spans="2:48" x14ac:dyDescent="0.2">
      <c r="B18" s="666">
        <v>15</v>
      </c>
      <c r="C18" s="692">
        <v>42956</v>
      </c>
      <c r="D18" s="693">
        <v>36</v>
      </c>
      <c r="E18" s="685">
        <f t="shared" si="0"/>
        <v>1.5</v>
      </c>
      <c r="F18" s="694">
        <v>4.8899999999999997</v>
      </c>
      <c r="G18" s="667">
        <v>100</v>
      </c>
      <c r="H18" s="673">
        <v>103</v>
      </c>
      <c r="I18" s="693"/>
      <c r="J18" s="695">
        <v>67</v>
      </c>
      <c r="K18" s="695"/>
      <c r="L18" s="693"/>
      <c r="M18" s="696">
        <v>494</v>
      </c>
      <c r="N18" s="695"/>
      <c r="O18" s="693">
        <v>5634</v>
      </c>
      <c r="P18" s="697">
        <v>137</v>
      </c>
      <c r="Q18" s="759">
        <f t="shared" si="1"/>
        <v>97.568335108271214</v>
      </c>
      <c r="R18" s="698">
        <v>4000</v>
      </c>
      <c r="S18" s="699">
        <v>95</v>
      </c>
      <c r="T18" s="759">
        <f t="shared" si="2"/>
        <v>97.625</v>
      </c>
      <c r="U18" s="709">
        <v>1194</v>
      </c>
      <c r="V18" s="699">
        <v>28</v>
      </c>
      <c r="W18" s="759">
        <f t="shared" si="3"/>
        <v>97.654941373534342</v>
      </c>
      <c r="X18" s="698">
        <v>35.666666666666664</v>
      </c>
      <c r="Y18" s="709">
        <v>29</v>
      </c>
      <c r="Z18" s="759">
        <f t="shared" si="4"/>
        <v>18.691588785046722</v>
      </c>
      <c r="AA18" s="798">
        <f t="shared" si="5"/>
        <v>0.13562753036437247</v>
      </c>
      <c r="AI18" s="653"/>
      <c r="AJ18" s="761"/>
      <c r="AK18" s="762"/>
      <c r="AL18" s="762"/>
    </row>
    <row r="19" spans="2:48" x14ac:dyDescent="0.2">
      <c r="B19" s="668">
        <v>16</v>
      </c>
      <c r="C19" s="700" t="s">
        <v>61</v>
      </c>
      <c r="D19" s="701">
        <v>36</v>
      </c>
      <c r="E19" s="735">
        <f t="shared" si="0"/>
        <v>1.5</v>
      </c>
      <c r="F19" s="702">
        <v>4.6500000000000004</v>
      </c>
      <c r="G19" s="669">
        <v>100</v>
      </c>
      <c r="H19" s="674">
        <v>110</v>
      </c>
      <c r="I19" s="701"/>
      <c r="J19" s="703">
        <v>77</v>
      </c>
      <c r="K19" s="703"/>
      <c r="L19" s="701"/>
      <c r="M19" s="704">
        <v>347</v>
      </c>
      <c r="N19" s="703"/>
      <c r="O19" s="701">
        <v>4635</v>
      </c>
      <c r="P19" s="705">
        <v>176</v>
      </c>
      <c r="Q19" s="759">
        <f t="shared" si="1"/>
        <v>96.202804746494067</v>
      </c>
      <c r="R19" s="706">
        <v>3250</v>
      </c>
      <c r="S19" s="707">
        <v>125</v>
      </c>
      <c r="T19" s="759">
        <f t="shared" si="2"/>
        <v>96.15384615384616</v>
      </c>
      <c r="U19" s="736">
        <v>1012</v>
      </c>
      <c r="V19" s="707">
        <v>42</v>
      </c>
      <c r="W19" s="759">
        <f t="shared" si="3"/>
        <v>95.8498023715415</v>
      </c>
      <c r="X19" s="706">
        <v>34.666666666666664</v>
      </c>
      <c r="Y19" s="736">
        <v>31</v>
      </c>
      <c r="Z19" s="759">
        <f t="shared" si="4"/>
        <v>10.576923076923071</v>
      </c>
      <c r="AA19" s="798">
        <f t="shared" si="5"/>
        <v>0.22190201729106629</v>
      </c>
      <c r="AI19" s="653"/>
      <c r="AJ19" s="761"/>
      <c r="AK19" s="762"/>
      <c r="AL19" s="762"/>
    </row>
    <row r="20" spans="2:48" x14ac:dyDescent="0.2">
      <c r="B20" s="663">
        <v>17</v>
      </c>
      <c r="C20" s="683" t="s">
        <v>66</v>
      </c>
      <c r="D20" s="684">
        <v>24</v>
      </c>
      <c r="E20" s="708">
        <f t="shared" si="0"/>
        <v>1</v>
      </c>
      <c r="F20" s="686">
        <v>4.71</v>
      </c>
      <c r="G20" s="665">
        <v>100</v>
      </c>
      <c r="H20" s="675">
        <v>117</v>
      </c>
      <c r="I20" s="684"/>
      <c r="J20" s="687">
        <v>40</v>
      </c>
      <c r="K20" s="687"/>
      <c r="L20" s="684"/>
      <c r="M20" s="688">
        <v>496</v>
      </c>
      <c r="N20" s="687"/>
      <c r="O20" s="684">
        <v>3523</v>
      </c>
      <c r="P20" s="689">
        <v>136</v>
      </c>
      <c r="Q20" s="759">
        <f t="shared" si="1"/>
        <v>96.13965370422936</v>
      </c>
      <c r="R20" s="684">
        <v>2125</v>
      </c>
      <c r="S20" s="665">
        <v>130</v>
      </c>
      <c r="T20" s="759">
        <f t="shared" si="2"/>
        <v>93.882352941176478</v>
      </c>
      <c r="U20" s="689">
        <v>430</v>
      </c>
      <c r="V20" s="665">
        <v>39</v>
      </c>
      <c r="W20" s="759">
        <f t="shared" si="3"/>
        <v>90.930232558139537</v>
      </c>
      <c r="X20" s="690">
        <v>34.333333333333336</v>
      </c>
      <c r="Y20" s="727">
        <v>30.3333333333333</v>
      </c>
      <c r="Z20" s="759">
        <f t="shared" si="4"/>
        <v>11.650485436893307</v>
      </c>
      <c r="AA20" s="798">
        <f t="shared" si="5"/>
        <v>8.0645161290322578E-2</v>
      </c>
      <c r="AI20" s="653"/>
      <c r="AJ20" s="761"/>
      <c r="AK20" s="762"/>
      <c r="AL20" s="762"/>
    </row>
    <row r="21" spans="2:48" x14ac:dyDescent="0.2">
      <c r="B21" s="666">
        <v>18</v>
      </c>
      <c r="C21" s="692" t="s">
        <v>71</v>
      </c>
      <c r="D21" s="693">
        <v>24</v>
      </c>
      <c r="E21" s="685">
        <f t="shared" si="0"/>
        <v>1</v>
      </c>
      <c r="F21" s="694">
        <v>8.0500000000000007</v>
      </c>
      <c r="G21" s="667">
        <v>100</v>
      </c>
      <c r="H21" s="673">
        <v>124</v>
      </c>
      <c r="I21" s="693"/>
      <c r="J21" s="695">
        <v>21</v>
      </c>
      <c r="K21" s="695"/>
      <c r="L21" s="693"/>
      <c r="M21" s="696">
        <v>685</v>
      </c>
      <c r="N21" s="695"/>
      <c r="O21" s="693">
        <v>7760</v>
      </c>
      <c r="P21" s="697">
        <v>201</v>
      </c>
      <c r="Q21" s="759">
        <f t="shared" si="1"/>
        <v>97.409793814432987</v>
      </c>
      <c r="R21" s="693">
        <v>4750</v>
      </c>
      <c r="S21" s="667">
        <v>60</v>
      </c>
      <c r="T21" s="759">
        <f t="shared" si="2"/>
        <v>98.73684210526315</v>
      </c>
      <c r="U21" s="697">
        <v>1614</v>
      </c>
      <c r="V21" s="667">
        <v>39</v>
      </c>
      <c r="W21" s="759">
        <f t="shared" si="3"/>
        <v>97.583643122676577</v>
      </c>
      <c r="X21" s="709">
        <v>42</v>
      </c>
      <c r="Y21" s="709">
        <v>30.6666666666667</v>
      </c>
      <c r="Z21" s="759">
        <f t="shared" si="4"/>
        <v>26.984126984126906</v>
      </c>
      <c r="AA21" s="798">
        <f t="shared" si="5"/>
        <v>3.0656934306569343E-2</v>
      </c>
      <c r="AI21" s="653"/>
      <c r="AJ21" s="761"/>
      <c r="AK21" s="762"/>
    </row>
    <row r="22" spans="2:48" x14ac:dyDescent="0.2">
      <c r="B22" s="666">
        <v>19</v>
      </c>
      <c r="C22" s="692">
        <v>42896</v>
      </c>
      <c r="D22" s="693">
        <v>24</v>
      </c>
      <c r="E22" s="685">
        <f t="shared" si="0"/>
        <v>1</v>
      </c>
      <c r="F22" s="694">
        <v>6.63</v>
      </c>
      <c r="G22" s="667">
        <v>100</v>
      </c>
      <c r="H22" s="673">
        <v>131</v>
      </c>
      <c r="I22" s="693"/>
      <c r="J22" s="695">
        <v>34</v>
      </c>
      <c r="K22" s="695"/>
      <c r="L22" s="693"/>
      <c r="M22" s="696">
        <v>703</v>
      </c>
      <c r="N22" s="695"/>
      <c r="O22" s="693">
        <v>8847</v>
      </c>
      <c r="P22" s="697">
        <v>219</v>
      </c>
      <c r="Q22" s="759">
        <f t="shared" si="1"/>
        <v>97.524584604950832</v>
      </c>
      <c r="R22" s="693">
        <v>5000</v>
      </c>
      <c r="S22" s="667">
        <v>150</v>
      </c>
      <c r="T22" s="759">
        <f t="shared" si="2"/>
        <v>97</v>
      </c>
      <c r="U22" s="697">
        <v>1710</v>
      </c>
      <c r="V22" s="667">
        <v>40</v>
      </c>
      <c r="W22" s="759">
        <f t="shared" si="3"/>
        <v>97.660818713450297</v>
      </c>
      <c r="X22" s="709">
        <v>54</v>
      </c>
      <c r="Y22" s="709">
        <v>46</v>
      </c>
      <c r="Z22" s="759">
        <f t="shared" si="4"/>
        <v>14.814814814814813</v>
      </c>
      <c r="AA22" s="798">
        <f t="shared" si="5"/>
        <v>4.8364153627311522E-2</v>
      </c>
      <c r="AI22" s="653"/>
      <c r="AJ22" s="761"/>
      <c r="AK22" s="762"/>
      <c r="AL22" s="762"/>
    </row>
    <row r="23" spans="2:48" x14ac:dyDescent="0.2">
      <c r="B23" s="668">
        <v>20</v>
      </c>
      <c r="C23" s="700" t="s">
        <v>72</v>
      </c>
      <c r="D23" s="701">
        <v>24</v>
      </c>
      <c r="E23" s="735">
        <f t="shared" si="0"/>
        <v>1</v>
      </c>
      <c r="F23" s="702">
        <v>3.55</v>
      </c>
      <c r="G23" s="669">
        <v>100</v>
      </c>
      <c r="H23" s="674">
        <v>138</v>
      </c>
      <c r="I23" s="701"/>
      <c r="J23" s="703">
        <v>58</v>
      </c>
      <c r="K23" s="703"/>
      <c r="L23" s="701"/>
      <c r="M23" s="704">
        <v>824</v>
      </c>
      <c r="N23" s="703"/>
      <c r="O23" s="701">
        <v>1597</v>
      </c>
      <c r="P23" s="705">
        <v>183</v>
      </c>
      <c r="Q23" s="799">
        <f t="shared" si="1"/>
        <v>88.541014402003754</v>
      </c>
      <c r="R23" s="701">
        <v>925</v>
      </c>
      <c r="S23" s="669">
        <v>170</v>
      </c>
      <c r="T23" s="799">
        <f t="shared" si="2"/>
        <v>81.621621621621614</v>
      </c>
      <c r="U23" s="705">
        <v>156</v>
      </c>
      <c r="V23" s="669">
        <v>43</v>
      </c>
      <c r="W23" s="799">
        <f t="shared" si="3"/>
        <v>72.435897435897431</v>
      </c>
      <c r="X23" s="706">
        <v>38.666666666666664</v>
      </c>
      <c r="Y23" s="736">
        <v>36</v>
      </c>
      <c r="Z23" s="799">
        <f t="shared" si="4"/>
        <v>6.8965517241379253</v>
      </c>
      <c r="AA23" s="800">
        <f t="shared" si="5"/>
        <v>7.0388349514563103E-2</v>
      </c>
      <c r="AI23" s="653"/>
      <c r="AJ23" s="761"/>
      <c r="AK23" s="762"/>
      <c r="AL23" s="762"/>
    </row>
    <row r="24" spans="2:48" x14ac:dyDescent="0.2">
      <c r="AC24" s="653"/>
      <c r="AG24" s="653"/>
      <c r="AH24" s="653"/>
      <c r="AI24" s="653"/>
      <c r="AJ24" s="762"/>
      <c r="AK24" s="762"/>
      <c r="AL24" s="762"/>
      <c r="AM24" s="653"/>
      <c r="AN24" s="653"/>
      <c r="AO24" s="653"/>
      <c r="AP24" s="653"/>
      <c r="AQ24" s="653"/>
      <c r="AR24" s="653"/>
      <c r="AT24" s="653"/>
      <c r="AU24" s="653"/>
      <c r="AV24" s="653"/>
    </row>
    <row r="25" spans="2:48" x14ac:dyDescent="0.2">
      <c r="AB25" s="756"/>
      <c r="AC25" s="653"/>
      <c r="AD25" s="5"/>
      <c r="AE25" s="8"/>
      <c r="AF25" s="652"/>
      <c r="AG25" s="653"/>
      <c r="AH25" s="653"/>
      <c r="AI25" s="653"/>
      <c r="AJ25" s="762"/>
      <c r="AK25" s="762"/>
      <c r="AL25" s="762"/>
      <c r="AM25" s="653"/>
      <c r="AN25" s="653"/>
      <c r="AO25" s="653"/>
      <c r="AP25" s="653"/>
      <c r="AQ25" s="653"/>
      <c r="AR25" s="653"/>
      <c r="AT25" s="653"/>
      <c r="AU25" s="653"/>
      <c r="AV25" s="653"/>
    </row>
    <row r="26" spans="2:48" x14ac:dyDescent="0.2">
      <c r="B26" s="1061" t="s">
        <v>127</v>
      </c>
      <c r="C26" s="1061"/>
      <c r="D26" s="1061" t="s">
        <v>74</v>
      </c>
      <c r="E26" s="1061"/>
      <c r="F26" s="1061"/>
      <c r="G26" s="1056"/>
      <c r="H26" s="661" t="s">
        <v>150</v>
      </c>
      <c r="I26" s="1062" t="s">
        <v>295</v>
      </c>
      <c r="J26" s="1063"/>
      <c r="K26" s="656"/>
      <c r="L26" s="1062" t="s">
        <v>283</v>
      </c>
      <c r="M26" s="1063"/>
      <c r="N26" s="656"/>
      <c r="O26" s="1062" t="s">
        <v>188</v>
      </c>
      <c r="P26" s="1063"/>
      <c r="Q26" s="656"/>
      <c r="R26" s="1062" t="s">
        <v>189</v>
      </c>
      <c r="S26" s="1063"/>
      <c r="T26" s="656"/>
      <c r="U26" s="1062" t="s">
        <v>191</v>
      </c>
      <c r="V26" s="1063"/>
      <c r="W26" s="738"/>
      <c r="X26" s="57" t="s">
        <v>139</v>
      </c>
      <c r="AB26" s="756"/>
      <c r="AC26" s="653"/>
      <c r="AD26" s="5"/>
      <c r="AE26" s="8"/>
      <c r="AG26" s="653"/>
      <c r="AH26" s="653"/>
      <c r="AI26" s="653"/>
      <c r="AJ26" s="653"/>
      <c r="AK26" s="653"/>
      <c r="AL26" s="653"/>
      <c r="AM26" s="653"/>
      <c r="AN26" s="653"/>
      <c r="AO26" s="653"/>
      <c r="AP26" s="653"/>
      <c r="AQ26" s="653"/>
      <c r="AR26" s="653"/>
      <c r="AT26" s="653"/>
      <c r="AU26" s="653"/>
      <c r="AV26" s="653"/>
    </row>
    <row r="27" spans="2:48" x14ac:dyDescent="0.2">
      <c r="B27" s="662" t="s">
        <v>197</v>
      </c>
      <c r="C27" s="655" t="s">
        <v>19</v>
      </c>
      <c r="D27" s="653" t="s">
        <v>198</v>
      </c>
      <c r="E27" s="750" t="s">
        <v>296</v>
      </c>
      <c r="F27" s="750" t="s">
        <v>297</v>
      </c>
      <c r="G27" s="750" t="s">
        <v>200</v>
      </c>
      <c r="H27" s="740" t="s">
        <v>73</v>
      </c>
      <c r="I27" s="737" t="s">
        <v>145</v>
      </c>
      <c r="J27" s="658" t="s">
        <v>151</v>
      </c>
      <c r="K27" s="653"/>
      <c r="L27" s="737" t="s">
        <v>145</v>
      </c>
      <c r="M27" s="658" t="s">
        <v>151</v>
      </c>
      <c r="N27" s="653"/>
      <c r="O27" s="737" t="s">
        <v>145</v>
      </c>
      <c r="P27" s="658" t="s">
        <v>151</v>
      </c>
      <c r="Q27" s="653" t="s">
        <v>7</v>
      </c>
      <c r="R27" s="737" t="s">
        <v>145</v>
      </c>
      <c r="S27" s="658" t="s">
        <v>151</v>
      </c>
      <c r="T27" s="653"/>
      <c r="U27" s="737" t="s">
        <v>145</v>
      </c>
      <c r="V27" s="658" t="s">
        <v>151</v>
      </c>
      <c r="W27" s="737"/>
      <c r="X27" s="27"/>
      <c r="AB27" s="756"/>
      <c r="AC27" s="653"/>
      <c r="AD27" s="5"/>
      <c r="AE27" s="8"/>
      <c r="AG27" s="653"/>
      <c r="AH27" s="653"/>
      <c r="AI27" s="653"/>
      <c r="AJ27" s="653"/>
      <c r="AK27" s="653"/>
      <c r="AL27" s="653"/>
      <c r="AM27" s="653"/>
      <c r="AN27" s="653"/>
      <c r="AO27" s="653"/>
      <c r="AP27" s="653"/>
      <c r="AQ27" s="653"/>
      <c r="AR27" s="653"/>
      <c r="AT27" s="653"/>
      <c r="AU27" s="653"/>
      <c r="AV27" s="653"/>
    </row>
    <row r="28" spans="2:48" x14ac:dyDescent="0.2">
      <c r="B28" s="663">
        <v>1</v>
      </c>
      <c r="C28" s="654">
        <v>42842</v>
      </c>
      <c r="D28" s="656">
        <v>62.5</v>
      </c>
      <c r="E28" s="753">
        <f>D28/24</f>
        <v>2.6041666666666665</v>
      </c>
      <c r="F28" s="753">
        <f>(O28/E28)/1000</f>
        <v>1.2345600000000001</v>
      </c>
      <c r="G28" s="750">
        <v>50</v>
      </c>
      <c r="H28" s="741">
        <v>5</v>
      </c>
      <c r="I28" s="738">
        <v>481</v>
      </c>
      <c r="J28" s="657">
        <v>798</v>
      </c>
      <c r="K28" s="656"/>
      <c r="L28" s="738">
        <v>535</v>
      </c>
      <c r="M28" s="657">
        <v>77</v>
      </c>
      <c r="N28" s="656"/>
      <c r="O28" s="738">
        <v>3215</v>
      </c>
      <c r="P28" s="657">
        <v>105</v>
      </c>
      <c r="Q28" s="664">
        <f>((O28-P28)/O28)*100</f>
        <v>96.734059097978232</v>
      </c>
      <c r="R28" s="738">
        <v>1950</v>
      </c>
      <c r="S28" s="657">
        <v>20</v>
      </c>
      <c r="T28" s="664">
        <f>((R28-S28)/R28)*100</f>
        <v>98.974358974358978</v>
      </c>
      <c r="U28" s="738">
        <v>514</v>
      </c>
      <c r="V28" s="657">
        <v>62</v>
      </c>
      <c r="W28" s="801">
        <f>((U28-V28)/U28)*100</f>
        <v>87.937743190661479</v>
      </c>
      <c r="X28" s="798">
        <f>M28/J28</f>
        <v>9.6491228070175433E-2</v>
      </c>
      <c r="AB28" s="756"/>
      <c r="AC28" s="653"/>
      <c r="AD28" s="5"/>
      <c r="AE28" s="8"/>
      <c r="AG28" s="653"/>
      <c r="AH28" s="653"/>
      <c r="AI28" s="653"/>
      <c r="AJ28" s="653"/>
      <c r="AK28" s="653"/>
      <c r="AL28" s="653"/>
      <c r="AM28" s="653"/>
      <c r="AN28" s="653"/>
      <c r="AO28" s="653"/>
      <c r="AP28" s="653"/>
      <c r="AQ28" s="653"/>
      <c r="AR28" s="653"/>
      <c r="AT28" s="653"/>
      <c r="AU28" s="653"/>
      <c r="AV28" s="653"/>
    </row>
    <row r="29" spans="2:48" x14ac:dyDescent="0.2">
      <c r="B29" s="666">
        <v>2</v>
      </c>
      <c r="C29" s="654">
        <v>42849</v>
      </c>
      <c r="D29" s="653">
        <v>62.5</v>
      </c>
      <c r="E29" s="754">
        <f t="shared" ref="E29:E51" si="6">D29/24</f>
        <v>2.6041666666666665</v>
      </c>
      <c r="F29" s="754">
        <f t="shared" ref="F29:F51" si="7">(O29/E29)/1000</f>
        <v>1.2345600000000001</v>
      </c>
      <c r="G29" s="751">
        <v>50</v>
      </c>
      <c r="H29" s="742">
        <v>12</v>
      </c>
      <c r="I29" s="737">
        <v>481</v>
      </c>
      <c r="J29" s="658">
        <v>527</v>
      </c>
      <c r="K29" s="653"/>
      <c r="L29" s="737">
        <v>535</v>
      </c>
      <c r="M29" s="658">
        <v>720</v>
      </c>
      <c r="N29" s="653"/>
      <c r="O29" s="737">
        <v>3215</v>
      </c>
      <c r="P29" s="658">
        <v>158</v>
      </c>
      <c r="Q29" s="664">
        <f t="shared" ref="Q29:Q51" si="8">((O29-P29)/O29)*100</f>
        <v>95.085536547433904</v>
      </c>
      <c r="R29" s="737">
        <v>1950</v>
      </c>
      <c r="S29" s="658">
        <v>25</v>
      </c>
      <c r="T29" s="664">
        <f t="shared" ref="T29:T51" si="9">((R29-S29)/R29)*100</f>
        <v>98.71794871794873</v>
      </c>
      <c r="U29" s="737">
        <v>514</v>
      </c>
      <c r="V29" s="658">
        <v>45</v>
      </c>
      <c r="W29" s="801">
        <f t="shared" ref="W29:W51" si="10">((U29-V29)/U29)*100</f>
        <v>91.245136186770424</v>
      </c>
      <c r="X29" s="798">
        <f t="shared" ref="X29:X49" si="11">M29/J29</f>
        <v>1.3662239089184061</v>
      </c>
      <c r="AB29" s="756"/>
      <c r="AC29" s="653"/>
      <c r="AD29" s="5"/>
      <c r="AE29" s="8"/>
      <c r="AG29" s="653"/>
      <c r="AH29" s="653"/>
      <c r="AI29" s="653"/>
      <c r="AJ29" s="653"/>
      <c r="AK29" s="653"/>
      <c r="AL29" s="653"/>
      <c r="AM29" s="653"/>
      <c r="AN29" s="653"/>
      <c r="AO29" s="653"/>
      <c r="AP29" s="653"/>
      <c r="AQ29" s="653"/>
      <c r="AR29" s="653"/>
      <c r="AT29" s="653"/>
      <c r="AU29" s="653"/>
      <c r="AV29" s="653"/>
    </row>
    <row r="30" spans="2:48" x14ac:dyDescent="0.2">
      <c r="B30" s="666">
        <v>3</v>
      </c>
      <c r="C30" s="654">
        <v>42856</v>
      </c>
      <c r="D30" s="653">
        <v>62.5</v>
      </c>
      <c r="E30" s="754">
        <f t="shared" si="6"/>
        <v>2.6041666666666665</v>
      </c>
      <c r="F30" s="754">
        <f t="shared" si="7"/>
        <v>1.2345600000000001</v>
      </c>
      <c r="G30" s="751">
        <v>50</v>
      </c>
      <c r="H30" s="742">
        <v>19</v>
      </c>
      <c r="I30" s="737">
        <v>481</v>
      </c>
      <c r="J30" s="658">
        <v>288</v>
      </c>
      <c r="K30" s="653"/>
      <c r="L30" s="737">
        <v>535</v>
      </c>
      <c r="M30" s="658">
        <v>794</v>
      </c>
      <c r="N30" s="653"/>
      <c r="O30" s="737">
        <v>3215</v>
      </c>
      <c r="P30" s="658">
        <v>119</v>
      </c>
      <c r="Q30" s="664">
        <f t="shared" si="8"/>
        <v>96.298600311041994</v>
      </c>
      <c r="R30" s="737">
        <v>1950</v>
      </c>
      <c r="S30" s="658">
        <v>75</v>
      </c>
      <c r="T30" s="664">
        <f t="shared" si="9"/>
        <v>96.15384615384616</v>
      </c>
      <c r="U30" s="737">
        <v>514</v>
      </c>
      <c r="V30" s="658">
        <v>49</v>
      </c>
      <c r="W30" s="801">
        <f t="shared" si="10"/>
        <v>90.466926070038909</v>
      </c>
      <c r="X30" s="798">
        <f t="shared" si="11"/>
        <v>2.7569444444444446</v>
      </c>
      <c r="AB30" s="756"/>
      <c r="AC30" s="653"/>
      <c r="AD30" s="5"/>
      <c r="AE30" s="8"/>
      <c r="AG30" s="653"/>
      <c r="AH30" s="653"/>
      <c r="AI30" s="653"/>
      <c r="AJ30" s="653"/>
      <c r="AK30" s="653"/>
      <c r="AL30" s="653"/>
      <c r="AM30" s="653"/>
      <c r="AN30" s="653"/>
      <c r="AO30" s="653"/>
      <c r="AP30" s="653"/>
      <c r="AQ30" s="653"/>
      <c r="AR30" s="653"/>
      <c r="AT30" s="653"/>
      <c r="AU30" s="653"/>
      <c r="AV30" s="653"/>
    </row>
    <row r="31" spans="2:48" x14ac:dyDescent="0.2">
      <c r="B31" s="668">
        <v>4</v>
      </c>
      <c r="C31" s="654">
        <v>42863</v>
      </c>
      <c r="D31" s="659">
        <v>62.5</v>
      </c>
      <c r="E31" s="755">
        <f t="shared" si="6"/>
        <v>2.6041666666666665</v>
      </c>
      <c r="F31" s="755">
        <f t="shared" si="7"/>
        <v>1.2345600000000001</v>
      </c>
      <c r="G31" s="752">
        <v>50</v>
      </c>
      <c r="H31" s="743">
        <v>26</v>
      </c>
      <c r="I31" s="739">
        <v>481</v>
      </c>
      <c r="J31" s="660">
        <v>266</v>
      </c>
      <c r="K31" s="659"/>
      <c r="L31" s="739">
        <v>535</v>
      </c>
      <c r="M31" s="660">
        <v>808</v>
      </c>
      <c r="N31" s="659"/>
      <c r="O31" s="739">
        <v>3215</v>
      </c>
      <c r="P31" s="660">
        <v>190</v>
      </c>
      <c r="Q31" s="664">
        <f t="shared" si="8"/>
        <v>94.090202177293932</v>
      </c>
      <c r="R31" s="739">
        <v>1950</v>
      </c>
      <c r="S31" s="660">
        <v>35</v>
      </c>
      <c r="T31" s="664">
        <f t="shared" si="9"/>
        <v>98.205128205128204</v>
      </c>
      <c r="U31" s="739">
        <v>514</v>
      </c>
      <c r="V31" s="660">
        <v>43</v>
      </c>
      <c r="W31" s="801">
        <f t="shared" si="10"/>
        <v>91.634241245136181</v>
      </c>
      <c r="X31" s="798">
        <f t="shared" si="11"/>
        <v>3.0375939849624061</v>
      </c>
      <c r="AB31" s="756"/>
      <c r="AC31" s="653"/>
      <c r="AD31" s="5"/>
      <c r="AE31" s="8"/>
      <c r="AG31" s="653"/>
      <c r="AH31" s="653"/>
      <c r="AI31" s="653"/>
      <c r="AJ31" s="653"/>
      <c r="AK31" s="653"/>
      <c r="AL31" s="653"/>
      <c r="AM31" s="653"/>
      <c r="AN31" s="653"/>
      <c r="AO31" s="653"/>
      <c r="AP31" s="653"/>
      <c r="AQ31" s="653"/>
      <c r="AR31" s="653"/>
      <c r="AT31" s="653"/>
      <c r="AU31" s="653"/>
      <c r="AV31" s="653"/>
    </row>
    <row r="32" spans="2:48" x14ac:dyDescent="0.2">
      <c r="B32" s="663">
        <v>5</v>
      </c>
      <c r="C32" s="654">
        <v>42868</v>
      </c>
      <c r="D32" s="656">
        <v>62.5</v>
      </c>
      <c r="E32" s="753">
        <f t="shared" si="6"/>
        <v>2.6041666666666665</v>
      </c>
      <c r="F32" s="753">
        <f t="shared" si="7"/>
        <v>1.2345600000000001</v>
      </c>
      <c r="G32" s="750">
        <v>50</v>
      </c>
      <c r="H32" s="741">
        <v>33</v>
      </c>
      <c r="I32" s="738">
        <v>481</v>
      </c>
      <c r="J32" s="657">
        <v>252</v>
      </c>
      <c r="K32" s="656"/>
      <c r="L32" s="738">
        <v>535</v>
      </c>
      <c r="M32" s="657">
        <v>109</v>
      </c>
      <c r="N32" s="656"/>
      <c r="O32" s="738">
        <v>3215</v>
      </c>
      <c r="P32" s="657">
        <v>99</v>
      </c>
      <c r="Q32" s="664">
        <f t="shared" si="8"/>
        <v>96.920684292379462</v>
      </c>
      <c r="R32" s="738">
        <v>1950</v>
      </c>
      <c r="S32" s="657">
        <v>10</v>
      </c>
      <c r="T32" s="664">
        <f t="shared" si="9"/>
        <v>99.487179487179489</v>
      </c>
      <c r="U32" s="738">
        <v>514</v>
      </c>
      <c r="V32" s="657">
        <v>61</v>
      </c>
      <c r="W32" s="801">
        <f t="shared" si="10"/>
        <v>88.13229571984435</v>
      </c>
      <c r="X32" s="798">
        <f t="shared" si="11"/>
        <v>0.43253968253968256</v>
      </c>
      <c r="AB32" s="756"/>
      <c r="AC32" s="653"/>
      <c r="AD32" s="5"/>
      <c r="AE32" s="8"/>
      <c r="AG32" s="653"/>
      <c r="AH32" s="653"/>
      <c r="AI32" s="653"/>
      <c r="AJ32" s="653"/>
      <c r="AK32" s="653"/>
      <c r="AL32" s="653"/>
      <c r="AM32" s="653"/>
      <c r="AN32" s="653"/>
      <c r="AO32" s="653"/>
      <c r="AP32" s="653"/>
      <c r="AQ32" s="653"/>
      <c r="AR32" s="653"/>
      <c r="AT32" s="653"/>
      <c r="AU32" s="653"/>
      <c r="AV32" s="653"/>
    </row>
    <row r="33" spans="2:48" x14ac:dyDescent="0.2">
      <c r="B33" s="666">
        <v>6</v>
      </c>
      <c r="C33" s="654">
        <v>42879</v>
      </c>
      <c r="D33" s="653">
        <v>62.5</v>
      </c>
      <c r="E33" s="754">
        <f t="shared" si="6"/>
        <v>2.6041666666666665</v>
      </c>
      <c r="F33" s="754">
        <f t="shared" si="7"/>
        <v>1.2345600000000001</v>
      </c>
      <c r="G33" s="751">
        <v>50</v>
      </c>
      <c r="H33" s="742">
        <v>40</v>
      </c>
      <c r="I33" s="737">
        <v>481</v>
      </c>
      <c r="J33" s="658">
        <v>527</v>
      </c>
      <c r="K33" s="653"/>
      <c r="L33" s="737">
        <v>535</v>
      </c>
      <c r="M33" s="658">
        <v>720</v>
      </c>
      <c r="N33" s="653"/>
      <c r="O33" s="737">
        <v>3215</v>
      </c>
      <c r="P33" s="658">
        <v>158</v>
      </c>
      <c r="Q33" s="664">
        <f t="shared" si="8"/>
        <v>95.085536547433904</v>
      </c>
      <c r="R33" s="737">
        <v>1950</v>
      </c>
      <c r="S33" s="658">
        <v>25</v>
      </c>
      <c r="T33" s="664">
        <f t="shared" si="9"/>
        <v>98.71794871794873</v>
      </c>
      <c r="U33" s="737">
        <v>514</v>
      </c>
      <c r="V33" s="658">
        <v>45</v>
      </c>
      <c r="W33" s="801">
        <f t="shared" si="10"/>
        <v>91.245136186770424</v>
      </c>
      <c r="X33" s="798">
        <f t="shared" si="11"/>
        <v>1.3662239089184061</v>
      </c>
      <c r="AB33" s="756"/>
      <c r="AC33" s="653"/>
      <c r="AD33" s="5"/>
      <c r="AE33" s="8"/>
      <c r="AG33" s="653"/>
      <c r="AH33" s="653"/>
      <c r="AI33" s="653"/>
      <c r="AJ33" s="653"/>
      <c r="AK33" s="653"/>
      <c r="AL33" s="653"/>
      <c r="AM33" s="653"/>
      <c r="AN33" s="653"/>
      <c r="AO33" s="653"/>
      <c r="AP33" s="653"/>
      <c r="AQ33" s="653"/>
      <c r="AR33" s="653"/>
      <c r="AT33" s="653"/>
      <c r="AU33" s="653"/>
      <c r="AV33" s="653"/>
    </row>
    <row r="34" spans="2:48" x14ac:dyDescent="0.2">
      <c r="B34" s="666">
        <v>7</v>
      </c>
      <c r="C34" s="654">
        <v>42884</v>
      </c>
      <c r="D34" s="653">
        <v>57.5</v>
      </c>
      <c r="E34" s="754">
        <f t="shared" si="6"/>
        <v>2.3958333333333335</v>
      </c>
      <c r="F34" s="754">
        <f t="shared" si="7"/>
        <v>0.89864347826086954</v>
      </c>
      <c r="G34" s="751">
        <v>30</v>
      </c>
      <c r="H34" s="742">
        <v>47</v>
      </c>
      <c r="I34" s="737">
        <v>415</v>
      </c>
      <c r="J34" s="658">
        <v>243</v>
      </c>
      <c r="K34" s="653"/>
      <c r="L34" s="737">
        <v>71</v>
      </c>
      <c r="M34" s="658">
        <v>837</v>
      </c>
      <c r="N34" s="653"/>
      <c r="O34" s="737">
        <v>2153</v>
      </c>
      <c r="P34" s="658">
        <v>280</v>
      </c>
      <c r="Q34" s="664">
        <f t="shared" si="8"/>
        <v>86.994890849976784</v>
      </c>
      <c r="R34" s="737">
        <v>850</v>
      </c>
      <c r="S34" s="658">
        <v>75</v>
      </c>
      <c r="T34" s="664">
        <f t="shared" si="9"/>
        <v>91.17647058823529</v>
      </c>
      <c r="U34" s="737">
        <v>312</v>
      </c>
      <c r="V34" s="658">
        <v>49</v>
      </c>
      <c r="W34" s="801">
        <f t="shared" si="10"/>
        <v>84.294871794871796</v>
      </c>
      <c r="X34" s="798">
        <f t="shared" si="11"/>
        <v>3.4444444444444446</v>
      </c>
      <c r="AB34" s="756"/>
      <c r="AC34" s="653"/>
      <c r="AD34" s="5"/>
      <c r="AE34" s="8"/>
      <c r="AG34" s="653"/>
      <c r="AH34" s="653"/>
      <c r="AI34" s="653"/>
      <c r="AJ34" s="653"/>
      <c r="AK34" s="653"/>
      <c r="AL34" s="653"/>
      <c r="AM34" s="653"/>
      <c r="AN34" s="653"/>
      <c r="AO34" s="653"/>
      <c r="AP34" s="653"/>
      <c r="AQ34" s="653"/>
      <c r="AR34" s="653"/>
      <c r="AT34" s="653"/>
      <c r="AU34" s="653"/>
      <c r="AV34" s="653"/>
    </row>
    <row r="35" spans="2:48" x14ac:dyDescent="0.2">
      <c r="B35" s="668">
        <v>8</v>
      </c>
      <c r="C35" s="654">
        <v>42891</v>
      </c>
      <c r="D35" s="659">
        <v>57.5</v>
      </c>
      <c r="E35" s="755">
        <f t="shared" si="6"/>
        <v>2.3958333333333335</v>
      </c>
      <c r="F35" s="755">
        <f t="shared" si="7"/>
        <v>0.89864347826086954</v>
      </c>
      <c r="G35" s="752">
        <v>30</v>
      </c>
      <c r="H35" s="744">
        <v>54</v>
      </c>
      <c r="I35" s="739">
        <v>415</v>
      </c>
      <c r="J35" s="660">
        <v>276</v>
      </c>
      <c r="K35" s="659"/>
      <c r="L35" s="739">
        <v>71</v>
      </c>
      <c r="M35" s="660">
        <v>115</v>
      </c>
      <c r="N35" s="659"/>
      <c r="O35" s="739">
        <v>2153</v>
      </c>
      <c r="P35" s="660">
        <v>90</v>
      </c>
      <c r="Q35" s="664">
        <f t="shared" si="8"/>
        <v>95.819786344635389</v>
      </c>
      <c r="R35" s="739">
        <v>850</v>
      </c>
      <c r="S35" s="660">
        <v>95</v>
      </c>
      <c r="T35" s="664">
        <f t="shared" si="9"/>
        <v>88.823529411764696</v>
      </c>
      <c r="U35" s="739">
        <v>312</v>
      </c>
      <c r="V35" s="660">
        <v>71</v>
      </c>
      <c r="W35" s="801">
        <f t="shared" si="10"/>
        <v>77.243589743589752</v>
      </c>
      <c r="X35" s="798">
        <f t="shared" si="11"/>
        <v>0.41666666666666669</v>
      </c>
      <c r="AB35" s="756"/>
      <c r="AC35" s="653"/>
      <c r="AD35" s="5"/>
      <c r="AE35" s="8"/>
      <c r="AG35" s="653"/>
      <c r="AH35" s="653"/>
      <c r="AI35" s="653"/>
      <c r="AJ35" s="653"/>
      <c r="AK35" s="653"/>
      <c r="AL35" s="653"/>
      <c r="AM35" s="653"/>
      <c r="AN35" s="653"/>
      <c r="AO35" s="653"/>
      <c r="AP35" s="653"/>
      <c r="AQ35" s="653"/>
      <c r="AR35" s="653"/>
      <c r="AT35" s="653"/>
      <c r="AU35" s="653"/>
      <c r="AV35" s="653"/>
    </row>
    <row r="36" spans="2:48" x14ac:dyDescent="0.2">
      <c r="B36" s="663">
        <v>9</v>
      </c>
      <c r="C36" s="654">
        <v>42898</v>
      </c>
      <c r="D36" s="656">
        <v>57.5</v>
      </c>
      <c r="E36" s="753">
        <f t="shared" si="6"/>
        <v>2.3958333333333335</v>
      </c>
      <c r="F36" s="753">
        <f t="shared" si="7"/>
        <v>0.89864347826086954</v>
      </c>
      <c r="G36" s="750">
        <v>30</v>
      </c>
      <c r="H36" s="745">
        <v>61</v>
      </c>
      <c r="I36" s="738">
        <v>415</v>
      </c>
      <c r="J36" s="657">
        <v>387</v>
      </c>
      <c r="K36" s="656"/>
      <c r="L36" s="738">
        <v>71</v>
      </c>
      <c r="M36" s="657">
        <v>98</v>
      </c>
      <c r="N36" s="656"/>
      <c r="O36" s="738">
        <v>2153</v>
      </c>
      <c r="P36" s="657">
        <v>33</v>
      </c>
      <c r="Q36" s="664">
        <f t="shared" si="8"/>
        <v>98.467254993032981</v>
      </c>
      <c r="R36" s="738">
        <v>850</v>
      </c>
      <c r="S36" s="657">
        <v>40</v>
      </c>
      <c r="T36" s="664">
        <f t="shared" si="9"/>
        <v>95.294117647058812</v>
      </c>
      <c r="U36" s="738">
        <v>312</v>
      </c>
      <c r="V36" s="657">
        <v>66</v>
      </c>
      <c r="W36" s="801">
        <f t="shared" si="10"/>
        <v>78.84615384615384</v>
      </c>
      <c r="X36" s="798">
        <f t="shared" si="11"/>
        <v>0.25322997416020671</v>
      </c>
      <c r="AB36" s="756"/>
      <c r="AC36" s="653"/>
      <c r="AD36" s="5"/>
      <c r="AE36" s="8"/>
      <c r="AG36" s="653"/>
      <c r="AH36" s="653"/>
      <c r="AI36" s="653"/>
      <c r="AJ36" s="653"/>
      <c r="AK36" s="653"/>
      <c r="AL36" s="653"/>
      <c r="AM36" s="653"/>
      <c r="AN36" s="653"/>
      <c r="AO36" s="653"/>
      <c r="AP36" s="653"/>
      <c r="AQ36" s="653"/>
      <c r="AR36" s="653"/>
      <c r="AT36" s="653"/>
      <c r="AU36" s="653"/>
      <c r="AV36" s="653"/>
    </row>
    <row r="37" spans="2:48" x14ac:dyDescent="0.2">
      <c r="B37" s="666">
        <v>10</v>
      </c>
      <c r="C37" s="654">
        <v>42905</v>
      </c>
      <c r="D37" s="653">
        <v>57.5</v>
      </c>
      <c r="E37" s="754">
        <f t="shared" si="6"/>
        <v>2.3958333333333335</v>
      </c>
      <c r="F37" s="754">
        <f t="shared" si="7"/>
        <v>0.89864347826086954</v>
      </c>
      <c r="G37" s="751">
        <v>30</v>
      </c>
      <c r="H37" s="746">
        <v>68</v>
      </c>
      <c r="I37" s="737">
        <v>415</v>
      </c>
      <c r="J37" s="658">
        <v>417</v>
      </c>
      <c r="K37" s="653"/>
      <c r="L37" s="737">
        <v>71</v>
      </c>
      <c r="M37" s="658">
        <v>81</v>
      </c>
      <c r="N37" s="653"/>
      <c r="O37" s="737">
        <v>2153</v>
      </c>
      <c r="P37" s="658">
        <v>162</v>
      </c>
      <c r="Q37" s="664">
        <f t="shared" si="8"/>
        <v>92.475615420343701</v>
      </c>
      <c r="R37" s="737">
        <v>850</v>
      </c>
      <c r="S37" s="658">
        <v>19</v>
      </c>
      <c r="T37" s="664">
        <f t="shared" si="9"/>
        <v>97.764705882352942</v>
      </c>
      <c r="U37" s="737">
        <v>312</v>
      </c>
      <c r="V37" s="658">
        <v>98</v>
      </c>
      <c r="W37" s="801">
        <f t="shared" si="10"/>
        <v>68.589743589743591</v>
      </c>
      <c r="X37" s="798">
        <f t="shared" si="11"/>
        <v>0.19424460431654678</v>
      </c>
      <c r="AB37" s="756"/>
      <c r="AC37" s="653"/>
      <c r="AD37" s="5"/>
      <c r="AE37" s="8"/>
      <c r="AG37" s="653"/>
      <c r="AH37" s="653"/>
      <c r="AI37" s="653"/>
      <c r="AJ37" s="653"/>
      <c r="AK37" s="653"/>
      <c r="AL37" s="653"/>
      <c r="AM37" s="653"/>
      <c r="AN37" s="653"/>
      <c r="AO37" s="653"/>
      <c r="AP37" s="653"/>
      <c r="AQ37" s="653"/>
      <c r="AR37" s="653"/>
      <c r="AT37" s="653"/>
      <c r="AU37" s="653"/>
      <c r="AV37" s="653"/>
    </row>
    <row r="38" spans="2:48" x14ac:dyDescent="0.2">
      <c r="B38" s="666">
        <v>11</v>
      </c>
      <c r="C38" s="654">
        <v>42912</v>
      </c>
      <c r="D38" s="653">
        <v>57.5</v>
      </c>
      <c r="E38" s="754">
        <f t="shared" si="6"/>
        <v>2.3958333333333335</v>
      </c>
      <c r="F38" s="754">
        <f t="shared" si="7"/>
        <v>0.89864347826086954</v>
      </c>
      <c r="G38" s="751">
        <v>30</v>
      </c>
      <c r="H38" s="747">
        <v>75</v>
      </c>
      <c r="I38" s="737">
        <v>415</v>
      </c>
      <c r="J38" s="658">
        <v>366</v>
      </c>
      <c r="K38" s="653"/>
      <c r="L38" s="737">
        <v>71</v>
      </c>
      <c r="M38" s="658">
        <v>78</v>
      </c>
      <c r="N38" s="653"/>
      <c r="O38" s="737">
        <v>2153</v>
      </c>
      <c r="P38" s="658">
        <v>20</v>
      </c>
      <c r="Q38" s="664">
        <f t="shared" si="8"/>
        <v>99.071063632141204</v>
      </c>
      <c r="R38" s="737">
        <v>850</v>
      </c>
      <c r="S38" s="658">
        <v>140</v>
      </c>
      <c r="T38" s="664">
        <f t="shared" si="9"/>
        <v>83.529411764705884</v>
      </c>
      <c r="U38" s="737">
        <v>312</v>
      </c>
      <c r="V38" s="658">
        <v>46</v>
      </c>
      <c r="W38" s="801">
        <f t="shared" si="10"/>
        <v>85.256410256410248</v>
      </c>
      <c r="X38" s="798">
        <f t="shared" si="11"/>
        <v>0.21311475409836064</v>
      </c>
      <c r="AB38" s="756"/>
      <c r="AC38" s="653"/>
      <c r="AD38" s="5"/>
      <c r="AE38" s="8"/>
      <c r="AG38" s="653"/>
      <c r="AH38" s="653"/>
      <c r="AI38" s="653"/>
      <c r="AJ38" s="653"/>
      <c r="AK38" s="653"/>
      <c r="AL38" s="653"/>
      <c r="AM38" s="653"/>
      <c r="AN38" s="653"/>
      <c r="AO38" s="653"/>
      <c r="AP38" s="653"/>
      <c r="AQ38" s="653"/>
      <c r="AR38" s="653"/>
      <c r="AT38" s="653"/>
      <c r="AU38" s="653"/>
      <c r="AV38" s="653"/>
    </row>
    <row r="39" spans="2:48" x14ac:dyDescent="0.2">
      <c r="B39" s="668">
        <v>12</v>
      </c>
      <c r="C39" s="654">
        <v>42919</v>
      </c>
      <c r="D39" s="659">
        <v>49.8</v>
      </c>
      <c r="E39" s="755">
        <f t="shared" si="6"/>
        <v>2.0749999999999997</v>
      </c>
      <c r="F39" s="755">
        <f t="shared" si="7"/>
        <v>1.7084337349397591</v>
      </c>
      <c r="G39" s="752">
        <v>100</v>
      </c>
      <c r="H39" s="748">
        <v>82</v>
      </c>
      <c r="I39" s="739">
        <v>487</v>
      </c>
      <c r="J39" s="660">
        <v>372</v>
      </c>
      <c r="K39" s="659"/>
      <c r="L39" s="739">
        <v>721</v>
      </c>
      <c r="M39" s="660">
        <v>88</v>
      </c>
      <c r="N39" s="659"/>
      <c r="O39" s="739">
        <v>3545</v>
      </c>
      <c r="P39" s="660">
        <v>335</v>
      </c>
      <c r="Q39" s="664">
        <f t="shared" si="8"/>
        <v>90.550070521861784</v>
      </c>
      <c r="R39" s="739">
        <v>2500</v>
      </c>
      <c r="S39" s="660">
        <v>192</v>
      </c>
      <c r="T39" s="664">
        <f t="shared" si="9"/>
        <v>92.320000000000007</v>
      </c>
      <c r="U39" s="739">
        <v>348</v>
      </c>
      <c r="V39" s="660">
        <v>48</v>
      </c>
      <c r="W39" s="801">
        <f t="shared" si="10"/>
        <v>86.206896551724128</v>
      </c>
      <c r="X39" s="798">
        <f t="shared" si="11"/>
        <v>0.23655913978494625</v>
      </c>
      <c r="AB39" s="756"/>
      <c r="AC39" s="653"/>
      <c r="AD39" s="5"/>
      <c r="AE39" s="8"/>
      <c r="AG39" s="653"/>
      <c r="AH39" s="653"/>
      <c r="AI39" s="653"/>
      <c r="AJ39" s="653"/>
      <c r="AK39" s="653"/>
      <c r="AL39" s="653"/>
      <c r="AM39" s="653"/>
      <c r="AN39" s="653"/>
      <c r="AO39" s="653"/>
      <c r="AP39" s="653"/>
      <c r="AQ39" s="653"/>
      <c r="AR39" s="653"/>
      <c r="AT39" s="653"/>
      <c r="AU39" s="653"/>
      <c r="AV39" s="653"/>
    </row>
    <row r="40" spans="2:48" x14ac:dyDescent="0.2">
      <c r="B40" s="663">
        <v>13</v>
      </c>
      <c r="C40" s="654">
        <v>42926</v>
      </c>
      <c r="D40" s="656">
        <v>49.8</v>
      </c>
      <c r="E40" s="753">
        <f t="shared" si="6"/>
        <v>2.0749999999999997</v>
      </c>
      <c r="F40" s="753">
        <f t="shared" si="7"/>
        <v>1.9995180722891568</v>
      </c>
      <c r="G40" s="750">
        <v>100</v>
      </c>
      <c r="H40" s="749">
        <v>89</v>
      </c>
      <c r="I40" s="738">
        <v>477</v>
      </c>
      <c r="J40" s="657">
        <v>495</v>
      </c>
      <c r="K40" s="656"/>
      <c r="L40" s="738">
        <v>667</v>
      </c>
      <c r="M40" s="657">
        <v>49</v>
      </c>
      <c r="N40" s="656"/>
      <c r="O40" s="738">
        <v>4149</v>
      </c>
      <c r="P40" s="657">
        <v>165</v>
      </c>
      <c r="Q40" s="664">
        <f t="shared" si="8"/>
        <v>96.023138105567611</v>
      </c>
      <c r="R40" s="738">
        <v>2400</v>
      </c>
      <c r="S40" s="657">
        <v>210</v>
      </c>
      <c r="T40" s="664">
        <f t="shared" si="9"/>
        <v>91.25</v>
      </c>
      <c r="U40" s="738">
        <v>836</v>
      </c>
      <c r="V40" s="657">
        <v>34</v>
      </c>
      <c r="W40" s="801">
        <f t="shared" si="10"/>
        <v>95.933014354066984</v>
      </c>
      <c r="X40" s="798">
        <f t="shared" si="11"/>
        <v>9.8989898989898989E-2</v>
      </c>
    </row>
    <row r="41" spans="2:48" x14ac:dyDescent="0.2">
      <c r="B41" s="666">
        <v>14</v>
      </c>
      <c r="C41" s="654">
        <v>42933</v>
      </c>
      <c r="D41" s="653">
        <v>49.8</v>
      </c>
      <c r="E41" s="754">
        <f t="shared" si="6"/>
        <v>2.0749999999999997</v>
      </c>
      <c r="F41" s="754">
        <f t="shared" si="7"/>
        <v>3.3156626506024098</v>
      </c>
      <c r="G41" s="751">
        <v>100</v>
      </c>
      <c r="H41" s="747">
        <v>96</v>
      </c>
      <c r="I41" s="737">
        <v>641</v>
      </c>
      <c r="J41" s="658">
        <v>641</v>
      </c>
      <c r="K41" s="653"/>
      <c r="L41" s="737">
        <v>417</v>
      </c>
      <c r="M41" s="658">
        <v>149</v>
      </c>
      <c r="N41" s="653"/>
      <c r="O41" s="737">
        <v>6880</v>
      </c>
      <c r="P41" s="658">
        <v>290</v>
      </c>
      <c r="Q41" s="664">
        <f t="shared" si="8"/>
        <v>95.784883720930239</v>
      </c>
      <c r="R41" s="737">
        <v>4875</v>
      </c>
      <c r="S41" s="658">
        <v>250</v>
      </c>
      <c r="T41" s="664">
        <f t="shared" si="9"/>
        <v>94.871794871794862</v>
      </c>
      <c r="U41" s="737">
        <v>1542</v>
      </c>
      <c r="V41" s="658">
        <v>50</v>
      </c>
      <c r="W41" s="801">
        <f t="shared" si="10"/>
        <v>96.757457846952008</v>
      </c>
      <c r="X41" s="798">
        <f t="shared" si="11"/>
        <v>0.23244929797191888</v>
      </c>
    </row>
    <row r="42" spans="2:48" x14ac:dyDescent="0.2">
      <c r="B42" s="666">
        <v>15</v>
      </c>
      <c r="C42" s="654">
        <v>42940</v>
      </c>
      <c r="D42" s="653">
        <v>49.8</v>
      </c>
      <c r="E42" s="754">
        <f t="shared" si="6"/>
        <v>2.0749999999999997</v>
      </c>
      <c r="F42" s="754">
        <f t="shared" si="7"/>
        <v>1.4453012048192773</v>
      </c>
      <c r="G42" s="751">
        <v>100</v>
      </c>
      <c r="H42" s="747">
        <v>103</v>
      </c>
      <c r="I42" s="737">
        <v>488</v>
      </c>
      <c r="J42" s="658">
        <v>497</v>
      </c>
      <c r="K42" s="653"/>
      <c r="L42" s="737">
        <v>262</v>
      </c>
      <c r="M42" s="658">
        <v>135</v>
      </c>
      <c r="N42" s="653"/>
      <c r="O42" s="737">
        <v>2999</v>
      </c>
      <c r="P42" s="658">
        <v>185</v>
      </c>
      <c r="Q42" s="664">
        <f t="shared" si="8"/>
        <v>93.831277092364118</v>
      </c>
      <c r="R42" s="737">
        <v>1650</v>
      </c>
      <c r="S42" s="658">
        <v>130</v>
      </c>
      <c r="T42" s="664">
        <f t="shared" si="9"/>
        <v>92.121212121212125</v>
      </c>
      <c r="U42" s="737">
        <v>402</v>
      </c>
      <c r="V42" s="658">
        <v>50</v>
      </c>
      <c r="W42" s="801">
        <f t="shared" si="10"/>
        <v>87.562189054726375</v>
      </c>
      <c r="X42" s="798">
        <f t="shared" si="11"/>
        <v>0.2716297786720322</v>
      </c>
    </row>
    <row r="43" spans="2:48" x14ac:dyDescent="0.2">
      <c r="B43" s="668">
        <v>16</v>
      </c>
      <c r="C43" s="654">
        <v>42947</v>
      </c>
      <c r="D43" s="659">
        <v>49.8</v>
      </c>
      <c r="E43" s="755">
        <f t="shared" si="6"/>
        <v>2.0749999999999997</v>
      </c>
      <c r="F43" s="755">
        <f t="shared" si="7"/>
        <v>1.6453012048192772</v>
      </c>
      <c r="G43" s="752">
        <v>100</v>
      </c>
      <c r="H43" s="748">
        <v>110</v>
      </c>
      <c r="I43" s="739">
        <v>492</v>
      </c>
      <c r="J43" s="660">
        <v>465</v>
      </c>
      <c r="K43" s="659"/>
      <c r="L43" s="739">
        <v>124</v>
      </c>
      <c r="M43" s="660">
        <v>121</v>
      </c>
      <c r="N43" s="659"/>
      <c r="O43" s="739">
        <v>3414</v>
      </c>
      <c r="P43" s="660">
        <v>158</v>
      </c>
      <c r="Q43" s="664">
        <f t="shared" si="8"/>
        <v>95.371997656707677</v>
      </c>
      <c r="R43" s="739">
        <v>1625</v>
      </c>
      <c r="S43" s="660">
        <v>95</v>
      </c>
      <c r="T43" s="664">
        <f t="shared" si="9"/>
        <v>94.15384615384616</v>
      </c>
      <c r="U43" s="739">
        <v>520</v>
      </c>
      <c r="V43" s="660">
        <v>48</v>
      </c>
      <c r="W43" s="801">
        <f t="shared" si="10"/>
        <v>90.769230769230774</v>
      </c>
      <c r="X43" s="798">
        <f t="shared" si="11"/>
        <v>0.26021505376344084</v>
      </c>
    </row>
    <row r="44" spans="2:48" x14ac:dyDescent="0.2">
      <c r="B44" s="663">
        <v>17</v>
      </c>
      <c r="C44" s="654">
        <v>42954</v>
      </c>
      <c r="D44" s="656">
        <v>49.8</v>
      </c>
      <c r="E44" s="753">
        <f t="shared" si="6"/>
        <v>2.0749999999999997</v>
      </c>
      <c r="F44" s="753">
        <f t="shared" si="7"/>
        <v>2.354698795180723</v>
      </c>
      <c r="G44" s="750">
        <v>100</v>
      </c>
      <c r="H44" s="749">
        <v>117</v>
      </c>
      <c r="I44" s="738">
        <v>1022</v>
      </c>
      <c r="J44" s="657">
        <v>714</v>
      </c>
      <c r="K44" s="656"/>
      <c r="L44" s="738">
        <v>366</v>
      </c>
      <c r="M44" s="657">
        <v>27</v>
      </c>
      <c r="N44" s="656"/>
      <c r="O44" s="738">
        <v>4886</v>
      </c>
      <c r="P44" s="657">
        <v>314</v>
      </c>
      <c r="Q44" s="664">
        <f t="shared" si="8"/>
        <v>93.573475235366359</v>
      </c>
      <c r="R44" s="738">
        <v>1875</v>
      </c>
      <c r="S44" s="657">
        <v>240</v>
      </c>
      <c r="T44" s="664">
        <f t="shared" si="9"/>
        <v>87.2</v>
      </c>
      <c r="U44" s="738">
        <v>366</v>
      </c>
      <c r="V44" s="657">
        <v>84</v>
      </c>
      <c r="W44" s="801">
        <f t="shared" si="10"/>
        <v>77.049180327868854</v>
      </c>
      <c r="X44" s="798">
        <f t="shared" si="11"/>
        <v>3.7815126050420166E-2</v>
      </c>
    </row>
    <row r="45" spans="2:48" x14ac:dyDescent="0.2">
      <c r="B45" s="666">
        <v>18</v>
      </c>
      <c r="C45" s="654">
        <v>42961</v>
      </c>
      <c r="D45" s="653">
        <v>49.8</v>
      </c>
      <c r="E45" s="754">
        <f t="shared" si="6"/>
        <v>2.0749999999999997</v>
      </c>
      <c r="F45" s="754">
        <f t="shared" si="7"/>
        <v>2.475180722891567</v>
      </c>
      <c r="G45" s="751">
        <v>100</v>
      </c>
      <c r="H45" s="747">
        <v>124</v>
      </c>
      <c r="I45" s="737">
        <v>669</v>
      </c>
      <c r="J45" s="658">
        <v>891</v>
      </c>
      <c r="K45" s="653"/>
      <c r="L45" s="737">
        <v>353</v>
      </c>
      <c r="M45" s="658">
        <v>71</v>
      </c>
      <c r="N45" s="653"/>
      <c r="O45" s="737">
        <v>5136</v>
      </c>
      <c r="P45" s="658">
        <v>520</v>
      </c>
      <c r="Q45" s="664">
        <f t="shared" si="8"/>
        <v>89.875389408099693</v>
      </c>
      <c r="R45" s="737">
        <v>2750</v>
      </c>
      <c r="S45" s="658">
        <v>275</v>
      </c>
      <c r="T45" s="664">
        <f t="shared" si="9"/>
        <v>90</v>
      </c>
      <c r="U45" s="737">
        <v>790</v>
      </c>
      <c r="V45" s="658">
        <v>65</v>
      </c>
      <c r="W45" s="801">
        <f t="shared" si="10"/>
        <v>91.77215189873418</v>
      </c>
      <c r="X45" s="798">
        <f t="shared" si="11"/>
        <v>7.9685746352413017E-2</v>
      </c>
    </row>
    <row r="46" spans="2:48" x14ac:dyDescent="0.2">
      <c r="B46" s="666">
        <v>19</v>
      </c>
      <c r="C46" s="654">
        <v>42968</v>
      </c>
      <c r="D46" s="653">
        <v>49.8</v>
      </c>
      <c r="E46" s="754">
        <f t="shared" si="6"/>
        <v>2.0749999999999997</v>
      </c>
      <c r="F46" s="754">
        <f t="shared" si="7"/>
        <v>2.902650602409639</v>
      </c>
      <c r="G46" s="751">
        <v>100</v>
      </c>
      <c r="H46" s="747">
        <v>131</v>
      </c>
      <c r="I46" s="737">
        <v>713</v>
      </c>
      <c r="J46" s="658">
        <v>688</v>
      </c>
      <c r="K46" s="653"/>
      <c r="L46" s="737">
        <v>673</v>
      </c>
      <c r="M46" s="658">
        <v>73</v>
      </c>
      <c r="N46" s="653"/>
      <c r="O46" s="737">
        <v>6023</v>
      </c>
      <c r="P46" s="658">
        <v>317</v>
      </c>
      <c r="Q46" s="664">
        <f t="shared" si="8"/>
        <v>94.73684210526315</v>
      </c>
      <c r="R46" s="737">
        <v>4125</v>
      </c>
      <c r="S46" s="658">
        <v>220</v>
      </c>
      <c r="T46" s="664">
        <f t="shared" si="9"/>
        <v>94.666666666666671</v>
      </c>
      <c r="U46" s="737">
        <v>1186</v>
      </c>
      <c r="V46" s="658">
        <v>189</v>
      </c>
      <c r="W46" s="801">
        <f t="shared" si="10"/>
        <v>84.064080944350764</v>
      </c>
      <c r="X46" s="798">
        <f t="shared" si="11"/>
        <v>0.10610465116279069</v>
      </c>
    </row>
    <row r="47" spans="2:48" x14ac:dyDescent="0.2">
      <c r="B47" s="668">
        <v>20</v>
      </c>
      <c r="C47" s="654">
        <v>42975</v>
      </c>
      <c r="D47" s="659">
        <v>49.8</v>
      </c>
      <c r="E47" s="755">
        <f t="shared" si="6"/>
        <v>2.0749999999999997</v>
      </c>
      <c r="F47" s="755">
        <f t="shared" si="7"/>
        <v>2.7855421686746991</v>
      </c>
      <c r="G47" s="752">
        <v>100</v>
      </c>
      <c r="H47" s="748">
        <v>138</v>
      </c>
      <c r="I47" s="739">
        <v>466</v>
      </c>
      <c r="J47" s="660">
        <v>651</v>
      </c>
      <c r="K47" s="659"/>
      <c r="L47" s="739">
        <v>515</v>
      </c>
      <c r="M47" s="660">
        <v>59</v>
      </c>
      <c r="N47" s="659"/>
      <c r="O47" s="739">
        <v>5780</v>
      </c>
      <c r="P47" s="660">
        <v>155</v>
      </c>
      <c r="Q47" s="664">
        <f t="shared" si="8"/>
        <v>97.318339100346023</v>
      </c>
      <c r="R47" s="739">
        <v>3375</v>
      </c>
      <c r="S47" s="660">
        <v>130</v>
      </c>
      <c r="T47" s="664">
        <f t="shared" si="9"/>
        <v>96.148148148148152</v>
      </c>
      <c r="U47" s="739">
        <v>1000</v>
      </c>
      <c r="V47" s="660">
        <v>45</v>
      </c>
      <c r="W47" s="801">
        <f t="shared" si="10"/>
        <v>95.5</v>
      </c>
      <c r="X47" s="798">
        <f t="shared" si="11"/>
        <v>9.0629800307219663E-2</v>
      </c>
    </row>
    <row r="48" spans="2:48" x14ac:dyDescent="0.2">
      <c r="B48" s="663">
        <v>21</v>
      </c>
      <c r="C48" s="654">
        <v>42982</v>
      </c>
      <c r="D48" s="656">
        <v>36</v>
      </c>
      <c r="E48" s="753">
        <f t="shared" si="6"/>
        <v>1.5</v>
      </c>
      <c r="F48" s="753">
        <f t="shared" si="7"/>
        <v>3.5733333333333337</v>
      </c>
      <c r="G48" s="750">
        <v>100</v>
      </c>
      <c r="H48" s="749">
        <v>145</v>
      </c>
      <c r="I48" s="738"/>
      <c r="J48" s="657">
        <v>632</v>
      </c>
      <c r="K48" s="656"/>
      <c r="L48" s="738"/>
      <c r="M48" s="657">
        <v>54</v>
      </c>
      <c r="N48" s="656"/>
      <c r="O48" s="738">
        <v>5360</v>
      </c>
      <c r="P48" s="657">
        <v>190</v>
      </c>
      <c r="Q48" s="664">
        <f t="shared" si="8"/>
        <v>96.455223880597018</v>
      </c>
      <c r="R48" s="738">
        <v>3250</v>
      </c>
      <c r="S48" s="657">
        <v>125</v>
      </c>
      <c r="T48" s="664">
        <f t="shared" si="9"/>
        <v>96.15384615384616</v>
      </c>
      <c r="U48" s="738">
        <v>1238</v>
      </c>
      <c r="V48" s="657">
        <v>62</v>
      </c>
      <c r="W48" s="801">
        <f t="shared" si="10"/>
        <v>94.991922455573501</v>
      </c>
      <c r="X48" s="798">
        <f t="shared" si="11"/>
        <v>8.5443037974683542E-2</v>
      </c>
    </row>
    <row r="49" spans="2:25" x14ac:dyDescent="0.2">
      <c r="B49" s="666">
        <v>22</v>
      </c>
      <c r="C49" s="654">
        <v>42989</v>
      </c>
      <c r="D49" s="653">
        <v>36</v>
      </c>
      <c r="E49" s="754">
        <f t="shared" si="6"/>
        <v>1.5</v>
      </c>
      <c r="F49" s="754">
        <f t="shared" si="7"/>
        <v>5.6319999999999997</v>
      </c>
      <c r="G49" s="751">
        <v>100</v>
      </c>
      <c r="H49" s="747">
        <v>152</v>
      </c>
      <c r="I49" s="737"/>
      <c r="J49" s="658">
        <v>589</v>
      </c>
      <c r="K49" s="653"/>
      <c r="L49" s="737"/>
      <c r="M49" s="658">
        <v>73</v>
      </c>
      <c r="N49" s="653"/>
      <c r="O49" s="737">
        <v>8448</v>
      </c>
      <c r="P49" s="658">
        <v>206</v>
      </c>
      <c r="Q49" s="664">
        <f t="shared" si="8"/>
        <v>97.561553030303031</v>
      </c>
      <c r="R49" s="737">
        <v>4000</v>
      </c>
      <c r="S49" s="658">
        <v>145</v>
      </c>
      <c r="T49" s="664">
        <f t="shared" si="9"/>
        <v>96.375</v>
      </c>
      <c r="U49" s="737">
        <v>1382</v>
      </c>
      <c r="V49" s="658">
        <v>41</v>
      </c>
      <c r="W49" s="801">
        <f t="shared" si="10"/>
        <v>97.033285094066571</v>
      </c>
      <c r="X49" s="798">
        <f t="shared" si="11"/>
        <v>0.12393887945670629</v>
      </c>
    </row>
    <row r="50" spans="2:25" x14ac:dyDescent="0.2">
      <c r="B50" s="666">
        <v>24</v>
      </c>
      <c r="C50" s="654">
        <v>42996</v>
      </c>
      <c r="D50" s="653">
        <v>36</v>
      </c>
      <c r="E50" s="754">
        <f t="shared" si="6"/>
        <v>1.5</v>
      </c>
      <c r="F50" s="754">
        <f t="shared" si="7"/>
        <v>4.9753333333333334</v>
      </c>
      <c r="G50" s="751">
        <v>100</v>
      </c>
      <c r="H50" s="747">
        <v>159</v>
      </c>
      <c r="I50" s="737"/>
      <c r="J50" s="658"/>
      <c r="K50" s="653"/>
      <c r="L50" s="737"/>
      <c r="M50" s="658"/>
      <c r="N50" s="653"/>
      <c r="O50" s="737">
        <v>7463</v>
      </c>
      <c r="P50" s="658">
        <v>193</v>
      </c>
      <c r="Q50" s="664">
        <f t="shared" si="8"/>
        <v>97.413908615838125</v>
      </c>
      <c r="R50" s="737">
        <v>6125</v>
      </c>
      <c r="S50" s="658">
        <v>50</v>
      </c>
      <c r="T50" s="664">
        <f t="shared" si="9"/>
        <v>99.183673469387756</v>
      </c>
      <c r="U50" s="737">
        <v>757</v>
      </c>
      <c r="V50" s="658">
        <v>54</v>
      </c>
      <c r="W50" s="801">
        <f t="shared" si="10"/>
        <v>92.866578599735789</v>
      </c>
      <c r="X50" s="798"/>
    </row>
    <row r="51" spans="2:25" x14ac:dyDescent="0.2">
      <c r="B51" s="668">
        <v>25</v>
      </c>
      <c r="C51" s="654">
        <v>43003</v>
      </c>
      <c r="D51" s="659">
        <v>36</v>
      </c>
      <c r="E51" s="755">
        <f t="shared" si="6"/>
        <v>1.5</v>
      </c>
      <c r="F51" s="755">
        <f t="shared" si="7"/>
        <v>4.0633333333333335</v>
      </c>
      <c r="G51" s="752">
        <v>100</v>
      </c>
      <c r="H51" s="748">
        <v>166</v>
      </c>
      <c r="I51" s="739"/>
      <c r="J51" s="660"/>
      <c r="K51" s="659"/>
      <c r="L51" s="739"/>
      <c r="M51" s="660"/>
      <c r="N51" s="659"/>
      <c r="O51" s="739">
        <v>6095</v>
      </c>
      <c r="P51" s="660">
        <v>194</v>
      </c>
      <c r="Q51" s="664">
        <f t="shared" si="8"/>
        <v>96.817063166529934</v>
      </c>
      <c r="R51" s="739">
        <v>5000</v>
      </c>
      <c r="S51" s="660">
        <v>75</v>
      </c>
      <c r="T51" s="664">
        <f t="shared" si="9"/>
        <v>98.5</v>
      </c>
      <c r="U51" s="739">
        <v>734</v>
      </c>
      <c r="V51" s="660">
        <v>30</v>
      </c>
      <c r="W51" s="802">
        <f t="shared" si="10"/>
        <v>95.912806539509532</v>
      </c>
      <c r="X51" s="800"/>
    </row>
    <row r="52" spans="2:25" x14ac:dyDescent="0.2">
      <c r="B52" s="793"/>
      <c r="C52" s="794"/>
      <c r="D52" s="653"/>
      <c r="E52" s="795"/>
      <c r="F52" s="795"/>
      <c r="J52" s="653"/>
      <c r="K52" s="653"/>
      <c r="L52" s="653"/>
      <c r="M52" s="653"/>
      <c r="N52" s="653"/>
      <c r="O52" s="653"/>
      <c r="P52" s="653"/>
      <c r="Q52" s="795"/>
      <c r="R52" s="653"/>
      <c r="S52" s="653"/>
      <c r="T52" s="795"/>
      <c r="U52" s="653"/>
      <c r="V52" s="653"/>
      <c r="W52" s="795"/>
      <c r="X52" s="761"/>
    </row>
    <row r="53" spans="2:25" x14ac:dyDescent="0.2">
      <c r="B53" s="793"/>
      <c r="C53" s="794"/>
      <c r="D53" s="653"/>
      <c r="E53" s="795"/>
      <c r="F53" s="795"/>
      <c r="J53" s="653"/>
      <c r="K53" s="653"/>
      <c r="L53" s="653"/>
      <c r="M53" s="653"/>
      <c r="N53" s="653"/>
      <c r="O53" s="653"/>
      <c r="P53" s="653"/>
      <c r="Q53" s="795"/>
      <c r="R53" s="653"/>
      <c r="S53" s="653"/>
      <c r="T53" s="795"/>
      <c r="U53" s="653"/>
      <c r="V53" s="653"/>
      <c r="W53" s="795"/>
      <c r="X53" s="761"/>
    </row>
    <row r="56" spans="2:25" x14ac:dyDescent="0.2">
      <c r="B56" s="1056" t="s">
        <v>298</v>
      </c>
      <c r="C56" s="1057"/>
      <c r="D56" s="1065" t="s">
        <v>74</v>
      </c>
      <c r="E56" s="1065"/>
      <c r="F56" s="1065"/>
      <c r="G56" s="1066"/>
      <c r="H56" s="763" t="s">
        <v>150</v>
      </c>
      <c r="I56" s="1064" t="s">
        <v>100</v>
      </c>
      <c r="J56" s="1065"/>
      <c r="K56" s="1066"/>
      <c r="L56" s="1064" t="s">
        <v>119</v>
      </c>
      <c r="M56" s="1065"/>
      <c r="N56" s="1066"/>
      <c r="O56" s="1064" t="s">
        <v>120</v>
      </c>
      <c r="P56" s="1065"/>
      <c r="Q56" s="1066"/>
      <c r="R56" s="1060" t="s">
        <v>117</v>
      </c>
      <c r="S56" s="1060"/>
      <c r="T56" s="1060" t="s">
        <v>118</v>
      </c>
      <c r="U56" s="1060"/>
      <c r="V56" s="1074" t="s">
        <v>139</v>
      </c>
      <c r="W56" s="1072" t="s">
        <v>300</v>
      </c>
    </row>
    <row r="57" spans="2:25" x14ac:dyDescent="0.2">
      <c r="B57" s="750" t="s">
        <v>197</v>
      </c>
      <c r="C57" s="750" t="s">
        <v>19</v>
      </c>
      <c r="D57" s="750" t="s">
        <v>198</v>
      </c>
      <c r="E57" s="750" t="s">
        <v>296</v>
      </c>
      <c r="F57" s="750" t="s">
        <v>168</v>
      </c>
      <c r="G57" s="750" t="s">
        <v>200</v>
      </c>
      <c r="H57" s="750" t="s">
        <v>128</v>
      </c>
      <c r="I57" s="737" t="s">
        <v>145</v>
      </c>
      <c r="J57" s="653" t="s">
        <v>151</v>
      </c>
      <c r="K57" s="658" t="s">
        <v>7</v>
      </c>
      <c r="L57" s="737" t="s">
        <v>145</v>
      </c>
      <c r="M57" s="653" t="s">
        <v>151</v>
      </c>
      <c r="N57" s="658" t="s">
        <v>7</v>
      </c>
      <c r="O57" s="737" t="s">
        <v>145</v>
      </c>
      <c r="P57" s="653" t="s">
        <v>151</v>
      </c>
      <c r="Q57" s="658" t="s">
        <v>7</v>
      </c>
      <c r="R57" s="737" t="s">
        <v>145</v>
      </c>
      <c r="S57" s="658" t="s">
        <v>151</v>
      </c>
      <c r="T57" s="737" t="s">
        <v>145</v>
      </c>
      <c r="U57" s="658" t="s">
        <v>151</v>
      </c>
      <c r="V57" s="1075"/>
      <c r="W57" s="1073"/>
      <c r="X57" s="653" t="s">
        <v>301</v>
      </c>
      <c r="Y57" s="653" t="s">
        <v>302</v>
      </c>
    </row>
    <row r="58" spans="2:25" x14ac:dyDescent="0.2">
      <c r="B58" s="750">
        <v>1</v>
      </c>
      <c r="C58" s="774" t="s">
        <v>30</v>
      </c>
      <c r="D58" s="750">
        <v>35</v>
      </c>
      <c r="E58" s="776">
        <f>D58/24</f>
        <v>1.4583333333333333</v>
      </c>
      <c r="F58" s="753">
        <f>I58/(E58*1000)</f>
        <v>1.1410285714285715</v>
      </c>
      <c r="G58" s="750">
        <v>50</v>
      </c>
      <c r="H58" s="750">
        <v>7</v>
      </c>
      <c r="I58" s="738">
        <v>1664</v>
      </c>
      <c r="J58" s="656">
        <v>449</v>
      </c>
      <c r="K58" s="775">
        <f>((I58-J58)/I58)*100</f>
        <v>73.016826923076934</v>
      </c>
      <c r="L58" s="738">
        <v>850</v>
      </c>
      <c r="M58" s="656">
        <v>130</v>
      </c>
      <c r="N58" s="775">
        <f>((L58-M58)/L58)*100</f>
        <v>84.705882352941174</v>
      </c>
      <c r="O58" s="738">
        <v>280</v>
      </c>
      <c r="P58" s="656">
        <v>36</v>
      </c>
      <c r="Q58" s="775">
        <f>((O58-P58)/O58)*100</f>
        <v>87.142857142857139</v>
      </c>
      <c r="R58" s="738">
        <v>74</v>
      </c>
      <c r="S58" s="657">
        <v>49</v>
      </c>
      <c r="T58" s="738">
        <v>360</v>
      </c>
      <c r="U58" s="657">
        <v>1113</v>
      </c>
      <c r="V58" s="776">
        <v>4.40251572327044E-2</v>
      </c>
      <c r="W58" s="750">
        <v>226</v>
      </c>
      <c r="X58">
        <f>I58-J58</f>
        <v>1215</v>
      </c>
      <c r="Y58">
        <f>X58</f>
        <v>1215</v>
      </c>
    </row>
    <row r="59" spans="2:25" x14ac:dyDescent="0.2">
      <c r="B59" s="751">
        <v>2</v>
      </c>
      <c r="C59" s="768">
        <v>42923</v>
      </c>
      <c r="D59" s="751">
        <v>35</v>
      </c>
      <c r="E59" s="772">
        <f t="shared" ref="E59:E72" si="12">D59/24</f>
        <v>1.4583333333333333</v>
      </c>
      <c r="F59" s="754">
        <f t="shared" ref="F59:F72" si="13">I59/(E59*1000)</f>
        <v>2.9588571428571431</v>
      </c>
      <c r="G59" s="751">
        <v>50</v>
      </c>
      <c r="H59" s="751">
        <v>14</v>
      </c>
      <c r="I59" s="737">
        <v>4315</v>
      </c>
      <c r="J59" s="653">
        <v>128</v>
      </c>
      <c r="K59" s="770">
        <f t="shared" ref="K59:K72" si="14">((I59-J59)/I59)*100</f>
        <v>97.033603707995368</v>
      </c>
      <c r="L59" s="737">
        <v>2125</v>
      </c>
      <c r="M59" s="653">
        <v>30</v>
      </c>
      <c r="N59" s="770">
        <f t="shared" ref="N59:N72" si="15">((L59-M59)/L59)*100</f>
        <v>98.588235294117638</v>
      </c>
      <c r="O59" s="737">
        <v>762</v>
      </c>
      <c r="P59" s="653">
        <v>34</v>
      </c>
      <c r="Q59" s="770">
        <f t="shared" ref="Q59:Q72" si="16">((O59-P59)/O59)*100</f>
        <v>95.538057742782158</v>
      </c>
      <c r="R59" s="737">
        <v>107</v>
      </c>
      <c r="S59" s="658">
        <v>34</v>
      </c>
      <c r="T59" s="737">
        <v>421</v>
      </c>
      <c r="U59" s="658">
        <v>447</v>
      </c>
      <c r="V59" s="772">
        <v>7.6062639821029079E-2</v>
      </c>
      <c r="W59" s="751">
        <v>319</v>
      </c>
      <c r="X59">
        <f t="shared" ref="X59:X72" si="17">I59-J59</f>
        <v>4187</v>
      </c>
      <c r="Y59">
        <f>Y58+X59</f>
        <v>5402</v>
      </c>
    </row>
    <row r="60" spans="2:25" x14ac:dyDescent="0.2">
      <c r="B60" s="751">
        <v>3</v>
      </c>
      <c r="C60" s="768" t="s">
        <v>33</v>
      </c>
      <c r="D60" s="751">
        <v>35</v>
      </c>
      <c r="E60" s="772">
        <f t="shared" si="12"/>
        <v>1.4583333333333333</v>
      </c>
      <c r="F60" s="754">
        <f t="shared" si="13"/>
        <v>3.5705142857142858</v>
      </c>
      <c r="G60" s="751">
        <v>100</v>
      </c>
      <c r="H60" s="751">
        <v>21</v>
      </c>
      <c r="I60" s="737">
        <v>5207</v>
      </c>
      <c r="J60" s="653">
        <v>128</v>
      </c>
      <c r="K60" s="770">
        <f t="shared" si="14"/>
        <v>97.54177069329748</v>
      </c>
      <c r="L60" s="737">
        <v>2750</v>
      </c>
      <c r="M60" s="653">
        <v>30</v>
      </c>
      <c r="N60" s="770">
        <f t="shared" si="15"/>
        <v>98.909090909090907</v>
      </c>
      <c r="O60" s="737">
        <v>696</v>
      </c>
      <c r="P60" s="653">
        <v>37</v>
      </c>
      <c r="Q60" s="770">
        <f t="shared" si="16"/>
        <v>94.68390804597702</v>
      </c>
      <c r="R60" s="737">
        <v>141</v>
      </c>
      <c r="S60" s="658">
        <v>57</v>
      </c>
      <c r="T60" s="737">
        <v>602</v>
      </c>
      <c r="U60" s="658">
        <v>498</v>
      </c>
      <c r="V60" s="772">
        <v>0.1144578313253012</v>
      </c>
      <c r="W60" s="751">
        <v>473</v>
      </c>
      <c r="X60">
        <f t="shared" si="17"/>
        <v>5079</v>
      </c>
      <c r="Y60">
        <f t="shared" ref="Y60:Y72" si="18">Y59+X60</f>
        <v>10481</v>
      </c>
    </row>
    <row r="61" spans="2:25" x14ac:dyDescent="0.2">
      <c r="B61" s="752">
        <v>4</v>
      </c>
      <c r="C61" s="769" t="s">
        <v>38</v>
      </c>
      <c r="D61" s="752">
        <v>35</v>
      </c>
      <c r="E61" s="773">
        <f t="shared" si="12"/>
        <v>1.4583333333333333</v>
      </c>
      <c r="F61" s="755">
        <f t="shared" si="13"/>
        <v>3.717257142857143</v>
      </c>
      <c r="G61" s="752">
        <v>100</v>
      </c>
      <c r="H61" s="752">
        <v>28</v>
      </c>
      <c r="I61" s="739">
        <v>5421</v>
      </c>
      <c r="J61" s="659">
        <v>371</v>
      </c>
      <c r="K61" s="771">
        <f t="shared" si="14"/>
        <v>93.156244235380925</v>
      </c>
      <c r="L61" s="739">
        <v>3000</v>
      </c>
      <c r="M61" s="659">
        <v>160</v>
      </c>
      <c r="N61" s="771">
        <f t="shared" si="15"/>
        <v>94.666666666666671</v>
      </c>
      <c r="O61" s="739">
        <v>940</v>
      </c>
      <c r="P61" s="659">
        <v>72</v>
      </c>
      <c r="Q61" s="771">
        <f t="shared" si="16"/>
        <v>92.340425531914889</v>
      </c>
      <c r="R61" s="739">
        <v>350</v>
      </c>
      <c r="S61" s="660">
        <v>51</v>
      </c>
      <c r="T61" s="739">
        <v>926</v>
      </c>
      <c r="U61" s="660">
        <v>973</v>
      </c>
      <c r="V61" s="773">
        <v>5.2415210688591986E-2</v>
      </c>
      <c r="W61" s="752">
        <v>572</v>
      </c>
      <c r="X61">
        <f t="shared" si="17"/>
        <v>5050</v>
      </c>
      <c r="Y61">
        <f t="shared" si="18"/>
        <v>15531</v>
      </c>
    </row>
    <row r="62" spans="2:25" x14ac:dyDescent="0.2">
      <c r="B62" s="750">
        <v>5</v>
      </c>
      <c r="C62" s="774" t="s">
        <v>43</v>
      </c>
      <c r="D62" s="750">
        <v>40</v>
      </c>
      <c r="E62" s="776">
        <f t="shared" si="12"/>
        <v>1.6666666666666667</v>
      </c>
      <c r="F62" s="753">
        <f t="shared" si="13"/>
        <v>2.7869999999999999</v>
      </c>
      <c r="G62" s="750">
        <v>100</v>
      </c>
      <c r="H62" s="750">
        <v>35</v>
      </c>
      <c r="I62" s="738">
        <v>4645</v>
      </c>
      <c r="J62" s="656">
        <v>262</v>
      </c>
      <c r="K62" s="775">
        <f t="shared" si="14"/>
        <v>94.359526372443497</v>
      </c>
      <c r="L62" s="738">
        <v>2625</v>
      </c>
      <c r="M62" s="656">
        <v>45</v>
      </c>
      <c r="N62" s="775">
        <f t="shared" si="15"/>
        <v>98.285714285714292</v>
      </c>
      <c r="O62" s="738">
        <v>656</v>
      </c>
      <c r="P62" s="656">
        <v>58</v>
      </c>
      <c r="Q62" s="775">
        <f t="shared" si="16"/>
        <v>91.158536585365852</v>
      </c>
      <c r="R62" s="738">
        <v>280</v>
      </c>
      <c r="S62" s="657">
        <v>56</v>
      </c>
      <c r="T62" s="738">
        <v>476</v>
      </c>
      <c r="U62" s="657">
        <v>1148</v>
      </c>
      <c r="V62" s="776">
        <v>4.878048780487805E-2</v>
      </c>
      <c r="W62" s="750">
        <v>590</v>
      </c>
      <c r="X62">
        <f t="shared" si="17"/>
        <v>4383</v>
      </c>
      <c r="Y62">
        <f t="shared" si="18"/>
        <v>19914</v>
      </c>
    </row>
    <row r="63" spans="2:25" x14ac:dyDescent="0.2">
      <c r="B63" s="751">
        <v>6</v>
      </c>
      <c r="C63" s="768">
        <v>42833</v>
      </c>
      <c r="D63" s="751">
        <v>40</v>
      </c>
      <c r="E63" s="772">
        <f t="shared" si="12"/>
        <v>1.6666666666666667</v>
      </c>
      <c r="F63" s="754">
        <f t="shared" si="13"/>
        <v>3.0846</v>
      </c>
      <c r="G63" s="751">
        <v>100</v>
      </c>
      <c r="H63" s="751">
        <v>42</v>
      </c>
      <c r="I63" s="737">
        <v>5141</v>
      </c>
      <c r="J63" s="653">
        <v>149</v>
      </c>
      <c r="K63" s="770">
        <f t="shared" si="14"/>
        <v>97.101731180704149</v>
      </c>
      <c r="L63" s="737">
        <v>3875</v>
      </c>
      <c r="M63" s="653">
        <v>30</v>
      </c>
      <c r="N63" s="770">
        <f t="shared" si="15"/>
        <v>99.225806451612911</v>
      </c>
      <c r="O63" s="737">
        <v>738</v>
      </c>
      <c r="P63" s="653">
        <v>46</v>
      </c>
      <c r="Q63" s="770">
        <f t="shared" si="16"/>
        <v>93.766937669376688</v>
      </c>
      <c r="R63" s="737">
        <v>465</v>
      </c>
      <c r="S63" s="658">
        <v>82</v>
      </c>
      <c r="T63" s="737">
        <v>446</v>
      </c>
      <c r="U63" s="658">
        <v>678</v>
      </c>
      <c r="V63" s="772">
        <v>0.12094395280235988</v>
      </c>
      <c r="W63" s="751">
        <v>665</v>
      </c>
      <c r="X63">
        <f t="shared" si="17"/>
        <v>4992</v>
      </c>
      <c r="Y63">
        <f t="shared" si="18"/>
        <v>24906</v>
      </c>
    </row>
    <row r="64" spans="2:25" x14ac:dyDescent="0.2">
      <c r="B64" s="751">
        <v>7</v>
      </c>
      <c r="C64" s="768">
        <v>43047</v>
      </c>
      <c r="D64" s="751">
        <v>40</v>
      </c>
      <c r="E64" s="772">
        <f t="shared" si="12"/>
        <v>1.6666666666666667</v>
      </c>
      <c r="F64" s="754">
        <f t="shared" si="13"/>
        <v>3.1133999999999999</v>
      </c>
      <c r="G64" s="751">
        <v>100</v>
      </c>
      <c r="H64" s="751">
        <v>49</v>
      </c>
      <c r="I64" s="737">
        <v>5189</v>
      </c>
      <c r="J64" s="653">
        <v>133</v>
      </c>
      <c r="K64" s="770">
        <f t="shared" si="14"/>
        <v>97.43688571979186</v>
      </c>
      <c r="L64" s="737">
        <v>3625</v>
      </c>
      <c r="M64" s="653">
        <v>45</v>
      </c>
      <c r="N64" s="770">
        <f t="shared" si="15"/>
        <v>98.758620689655174</v>
      </c>
      <c r="O64" s="737">
        <v>1160</v>
      </c>
      <c r="P64" s="653">
        <v>60</v>
      </c>
      <c r="Q64" s="770">
        <f t="shared" si="16"/>
        <v>94.827586206896555</v>
      </c>
      <c r="R64" s="737">
        <v>448</v>
      </c>
      <c r="S64" s="658">
        <v>83</v>
      </c>
      <c r="T64" s="737">
        <v>862</v>
      </c>
      <c r="U64" s="658">
        <v>722</v>
      </c>
      <c r="V64" s="772">
        <v>0.1149584487534626</v>
      </c>
      <c r="W64" s="751">
        <v>768</v>
      </c>
      <c r="X64">
        <f t="shared" si="17"/>
        <v>5056</v>
      </c>
      <c r="Y64">
        <f t="shared" si="18"/>
        <v>29962</v>
      </c>
    </row>
    <row r="65" spans="2:25" x14ac:dyDescent="0.2">
      <c r="B65" s="752">
        <v>8</v>
      </c>
      <c r="C65" s="769" t="s">
        <v>49</v>
      </c>
      <c r="D65" s="752">
        <v>30</v>
      </c>
      <c r="E65" s="773">
        <f t="shared" si="12"/>
        <v>1.25</v>
      </c>
      <c r="F65" s="755">
        <f t="shared" si="13"/>
        <v>4.0111999999999997</v>
      </c>
      <c r="G65" s="752">
        <v>100</v>
      </c>
      <c r="H65" s="752">
        <v>56</v>
      </c>
      <c r="I65" s="739">
        <v>5014</v>
      </c>
      <c r="J65" s="659">
        <v>234</v>
      </c>
      <c r="K65" s="771">
        <f t="shared" si="14"/>
        <v>95.333067411248507</v>
      </c>
      <c r="L65" s="739">
        <v>3125</v>
      </c>
      <c r="M65" s="659">
        <v>225</v>
      </c>
      <c r="N65" s="771">
        <f t="shared" si="15"/>
        <v>92.800000000000011</v>
      </c>
      <c r="O65" s="739">
        <v>564</v>
      </c>
      <c r="P65" s="659">
        <v>82</v>
      </c>
      <c r="Q65" s="771">
        <f t="shared" si="16"/>
        <v>85.460992907801412</v>
      </c>
      <c r="R65" s="739">
        <v>472</v>
      </c>
      <c r="S65" s="660">
        <v>75</v>
      </c>
      <c r="T65" s="739">
        <v>856</v>
      </c>
      <c r="U65" s="660">
        <v>871</v>
      </c>
      <c r="V65" s="773">
        <v>8.6107921928817457E-2</v>
      </c>
      <c r="W65" s="752">
        <v>927</v>
      </c>
      <c r="X65">
        <f t="shared" si="17"/>
        <v>4780</v>
      </c>
      <c r="Y65">
        <f t="shared" si="18"/>
        <v>34742</v>
      </c>
    </row>
    <row r="66" spans="2:25" x14ac:dyDescent="0.2">
      <c r="B66" s="750">
        <v>9</v>
      </c>
      <c r="C66" s="774" t="s">
        <v>54</v>
      </c>
      <c r="D66" s="750">
        <v>24</v>
      </c>
      <c r="E66" s="776">
        <f t="shared" si="12"/>
        <v>1</v>
      </c>
      <c r="F66" s="753">
        <f t="shared" si="13"/>
        <v>6.8170000000000002</v>
      </c>
      <c r="G66" s="750">
        <v>100</v>
      </c>
      <c r="H66" s="750">
        <v>63</v>
      </c>
      <c r="I66" s="738">
        <v>6817</v>
      </c>
      <c r="J66" s="656">
        <v>181</v>
      </c>
      <c r="K66" s="775">
        <f t="shared" si="14"/>
        <v>97.344873111339297</v>
      </c>
      <c r="L66" s="738">
        <v>4250</v>
      </c>
      <c r="M66" s="656">
        <v>50</v>
      </c>
      <c r="N66" s="775">
        <f t="shared" si="15"/>
        <v>98.82352941176471</v>
      </c>
      <c r="O66" s="738">
        <v>1668</v>
      </c>
      <c r="P66" s="656">
        <v>62</v>
      </c>
      <c r="Q66" s="775">
        <f t="shared" si="16"/>
        <v>96.282973621103125</v>
      </c>
      <c r="R66" s="738">
        <v>548</v>
      </c>
      <c r="S66" s="657">
        <v>78</v>
      </c>
      <c r="T66" s="738">
        <v>788</v>
      </c>
      <c r="U66" s="657">
        <v>906</v>
      </c>
      <c r="V66" s="776">
        <v>8.6092715231788075E-2</v>
      </c>
      <c r="W66" s="750">
        <v>1151</v>
      </c>
      <c r="X66">
        <f t="shared" si="17"/>
        <v>6636</v>
      </c>
      <c r="Y66">
        <f t="shared" si="18"/>
        <v>41378</v>
      </c>
    </row>
    <row r="67" spans="2:25" x14ac:dyDescent="0.2">
      <c r="B67" s="751">
        <v>10</v>
      </c>
      <c r="C67" s="768">
        <v>42744</v>
      </c>
      <c r="D67" s="751">
        <v>24</v>
      </c>
      <c r="E67" s="772">
        <f t="shared" si="12"/>
        <v>1</v>
      </c>
      <c r="F67" s="754">
        <f t="shared" si="13"/>
        <v>6.1369999999999996</v>
      </c>
      <c r="G67" s="751">
        <v>100</v>
      </c>
      <c r="H67" s="751">
        <v>70</v>
      </c>
      <c r="I67" s="737">
        <v>6137</v>
      </c>
      <c r="J67" s="653">
        <v>310</v>
      </c>
      <c r="K67" s="770">
        <f t="shared" si="14"/>
        <v>94.948671989571451</v>
      </c>
      <c r="L67" s="737">
        <v>5250</v>
      </c>
      <c r="M67" s="653">
        <v>80</v>
      </c>
      <c r="N67" s="770">
        <f t="shared" si="15"/>
        <v>98.476190476190467</v>
      </c>
      <c r="O67" s="737">
        <v>1974</v>
      </c>
      <c r="P67" s="653">
        <v>38</v>
      </c>
      <c r="Q67" s="770">
        <f t="shared" si="16"/>
        <v>98.074974670719357</v>
      </c>
      <c r="R67" s="737">
        <v>560</v>
      </c>
      <c r="S67" s="658">
        <v>38</v>
      </c>
      <c r="T67" s="737">
        <v>0</v>
      </c>
      <c r="U67" s="658">
        <v>653</v>
      </c>
      <c r="V67" s="772">
        <v>5.8192955589586523E-2</v>
      </c>
      <c r="W67" s="751">
        <v>1313</v>
      </c>
      <c r="X67">
        <f t="shared" si="17"/>
        <v>5827</v>
      </c>
      <c r="Y67">
        <f t="shared" si="18"/>
        <v>47205</v>
      </c>
    </row>
    <row r="68" spans="2:25" x14ac:dyDescent="0.2">
      <c r="B68" s="751">
        <v>11</v>
      </c>
      <c r="C68" s="768">
        <v>42956</v>
      </c>
      <c r="D68" s="751">
        <v>24</v>
      </c>
      <c r="E68" s="772">
        <f t="shared" si="12"/>
        <v>1</v>
      </c>
      <c r="F68" s="754">
        <f t="shared" si="13"/>
        <v>8.8290000000000006</v>
      </c>
      <c r="G68" s="751">
        <v>100</v>
      </c>
      <c r="H68" s="751">
        <v>77</v>
      </c>
      <c r="I68" s="737">
        <v>8829</v>
      </c>
      <c r="J68" s="653">
        <v>319</v>
      </c>
      <c r="K68" s="770">
        <f t="shared" si="14"/>
        <v>96.386906784460308</v>
      </c>
      <c r="L68" s="737">
        <v>6000</v>
      </c>
      <c r="M68" s="653">
        <v>70</v>
      </c>
      <c r="N68" s="770">
        <f t="shared" si="15"/>
        <v>98.833333333333329</v>
      </c>
      <c r="O68" s="737">
        <v>2560</v>
      </c>
      <c r="P68" s="653">
        <v>86</v>
      </c>
      <c r="Q68" s="770">
        <f t="shared" si="16"/>
        <v>96.640625</v>
      </c>
      <c r="R68" s="737">
        <v>480</v>
      </c>
      <c r="S68" s="658">
        <v>43</v>
      </c>
      <c r="T68" s="737">
        <v>0</v>
      </c>
      <c r="U68" s="658">
        <v>677</v>
      </c>
      <c r="V68" s="772">
        <v>6.3515509601181686E-2</v>
      </c>
      <c r="W68" s="751">
        <v>1452</v>
      </c>
      <c r="X68">
        <f t="shared" si="17"/>
        <v>8510</v>
      </c>
      <c r="Y68">
        <f t="shared" si="18"/>
        <v>55715</v>
      </c>
    </row>
    <row r="69" spans="2:25" x14ac:dyDescent="0.2">
      <c r="B69" s="752">
        <v>12</v>
      </c>
      <c r="C69" s="769" t="s">
        <v>61</v>
      </c>
      <c r="D69" s="752">
        <v>20</v>
      </c>
      <c r="E69" s="773">
        <f t="shared" si="12"/>
        <v>0.83333333333333337</v>
      </c>
      <c r="F69" s="755">
        <f t="shared" si="13"/>
        <v>9.8843999999999994</v>
      </c>
      <c r="G69" s="752">
        <v>100</v>
      </c>
      <c r="H69" s="752">
        <v>84</v>
      </c>
      <c r="I69" s="739">
        <v>8237</v>
      </c>
      <c r="J69" s="659">
        <v>168</v>
      </c>
      <c r="K69" s="771">
        <f t="shared" si="14"/>
        <v>97.960422483914044</v>
      </c>
      <c r="L69" s="739">
        <v>6250</v>
      </c>
      <c r="M69" s="659">
        <v>135</v>
      </c>
      <c r="N69" s="771">
        <f t="shared" si="15"/>
        <v>97.84</v>
      </c>
      <c r="O69" s="739">
        <v>1394</v>
      </c>
      <c r="P69" s="659">
        <v>42</v>
      </c>
      <c r="Q69" s="771">
        <f t="shared" si="16"/>
        <v>96.987087517934</v>
      </c>
      <c r="R69" s="739">
        <v>219</v>
      </c>
      <c r="S69" s="660">
        <v>55</v>
      </c>
      <c r="T69" s="739">
        <v>832</v>
      </c>
      <c r="U69" s="660">
        <v>774</v>
      </c>
      <c r="V69" s="773">
        <v>7.10594315245478E-2</v>
      </c>
      <c r="W69" s="752">
        <v>1582</v>
      </c>
      <c r="X69">
        <f t="shared" si="17"/>
        <v>8069</v>
      </c>
      <c r="Y69">
        <f t="shared" si="18"/>
        <v>63784</v>
      </c>
    </row>
    <row r="70" spans="2:25" x14ac:dyDescent="0.2">
      <c r="B70" s="751">
        <v>13</v>
      </c>
      <c r="C70" s="768" t="s">
        <v>66</v>
      </c>
      <c r="D70" s="751">
        <v>20</v>
      </c>
      <c r="E70" s="772">
        <f t="shared" si="12"/>
        <v>0.83333333333333337</v>
      </c>
      <c r="F70" s="754">
        <f t="shared" si="13"/>
        <v>38.85</v>
      </c>
      <c r="G70" s="751">
        <v>100</v>
      </c>
      <c r="H70" s="751">
        <v>91</v>
      </c>
      <c r="I70" s="737">
        <v>32375</v>
      </c>
      <c r="J70" s="653">
        <v>125</v>
      </c>
      <c r="K70" s="770">
        <f t="shared" si="14"/>
        <v>99.613899613899619</v>
      </c>
      <c r="L70" s="737">
        <v>20500</v>
      </c>
      <c r="M70" s="653">
        <v>25</v>
      </c>
      <c r="N70" s="770">
        <f t="shared" si="15"/>
        <v>99.878048780487802</v>
      </c>
      <c r="O70" s="737">
        <v>8228</v>
      </c>
      <c r="P70" s="653">
        <v>48</v>
      </c>
      <c r="Q70" s="770">
        <f t="shared" si="16"/>
        <v>99.41662615459407</v>
      </c>
      <c r="R70" s="737">
        <v>638</v>
      </c>
      <c r="S70" s="658">
        <v>29</v>
      </c>
      <c r="T70" s="737">
        <v>914</v>
      </c>
      <c r="U70" s="658">
        <v>736</v>
      </c>
      <c r="V70" s="772">
        <v>3.940217391304348E-2</v>
      </c>
      <c r="W70" s="751">
        <v>1701</v>
      </c>
      <c r="X70">
        <f t="shared" si="17"/>
        <v>32250</v>
      </c>
      <c r="Y70">
        <f t="shared" si="18"/>
        <v>96034</v>
      </c>
    </row>
    <row r="71" spans="2:25" x14ac:dyDescent="0.2">
      <c r="B71" s="751">
        <v>14</v>
      </c>
      <c r="C71" s="768" t="s">
        <v>71</v>
      </c>
      <c r="D71" s="751">
        <v>15</v>
      </c>
      <c r="E71" s="772">
        <f t="shared" si="12"/>
        <v>0.625</v>
      </c>
      <c r="F71" s="754">
        <f t="shared" si="13"/>
        <v>28.6448</v>
      </c>
      <c r="G71" s="751">
        <v>100</v>
      </c>
      <c r="H71" s="751">
        <v>98</v>
      </c>
      <c r="I71" s="737">
        <v>17903</v>
      </c>
      <c r="J71" s="653">
        <v>168</v>
      </c>
      <c r="K71" s="770">
        <f t="shared" si="14"/>
        <v>99.061609786069369</v>
      </c>
      <c r="L71" s="737">
        <v>9250</v>
      </c>
      <c r="M71" s="653">
        <v>45</v>
      </c>
      <c r="N71" s="770">
        <f t="shared" si="15"/>
        <v>99.513513513513516</v>
      </c>
      <c r="O71" s="737">
        <v>2458</v>
      </c>
      <c r="P71" s="653">
        <v>45</v>
      </c>
      <c r="Q71" s="770">
        <f t="shared" si="16"/>
        <v>98.169243287225385</v>
      </c>
      <c r="R71" s="737">
        <v>1006</v>
      </c>
      <c r="S71" s="658">
        <v>37</v>
      </c>
      <c r="T71" s="737">
        <v>1387</v>
      </c>
      <c r="U71" s="658">
        <v>928</v>
      </c>
      <c r="V71" s="772">
        <v>3.9870689655172417E-2</v>
      </c>
      <c r="W71" s="751">
        <v>1826</v>
      </c>
      <c r="X71">
        <f t="shared" si="17"/>
        <v>17735</v>
      </c>
      <c r="Y71">
        <f t="shared" si="18"/>
        <v>113769</v>
      </c>
    </row>
    <row r="72" spans="2:25" x14ac:dyDescent="0.2">
      <c r="B72" s="752">
        <v>15</v>
      </c>
      <c r="C72" s="769">
        <v>42896</v>
      </c>
      <c r="D72" s="752">
        <v>15</v>
      </c>
      <c r="E72" s="773">
        <f t="shared" si="12"/>
        <v>0.625</v>
      </c>
      <c r="F72" s="755">
        <f t="shared" si="13"/>
        <v>11.798400000000001</v>
      </c>
      <c r="G72" s="752">
        <v>100</v>
      </c>
      <c r="H72" s="752">
        <v>105</v>
      </c>
      <c r="I72" s="739">
        <v>7374</v>
      </c>
      <c r="J72" s="659">
        <v>205</v>
      </c>
      <c r="K72" s="771">
        <f t="shared" si="14"/>
        <v>97.219962028749663</v>
      </c>
      <c r="L72" s="739">
        <v>3500</v>
      </c>
      <c r="M72" s="659">
        <v>60</v>
      </c>
      <c r="N72" s="771">
        <f t="shared" si="15"/>
        <v>98.285714285714292</v>
      </c>
      <c r="O72" s="739">
        <v>752</v>
      </c>
      <c r="P72" s="659">
        <v>116</v>
      </c>
      <c r="Q72" s="771">
        <f t="shared" si="16"/>
        <v>84.574468085106375</v>
      </c>
      <c r="R72" s="739">
        <v>165</v>
      </c>
      <c r="S72" s="660">
        <v>165</v>
      </c>
      <c r="T72" s="739">
        <v>1280</v>
      </c>
      <c r="U72" s="660">
        <v>1221</v>
      </c>
      <c r="V72" s="773">
        <v>0.13513513513513514</v>
      </c>
      <c r="W72" s="752">
        <v>2041</v>
      </c>
      <c r="X72">
        <f t="shared" si="17"/>
        <v>7169</v>
      </c>
      <c r="Y72">
        <f t="shared" si="18"/>
        <v>120938</v>
      </c>
    </row>
    <row r="74" spans="2:25" x14ac:dyDescent="0.2">
      <c r="B74" s="653"/>
      <c r="G74" s="653"/>
      <c r="H74" s="653"/>
      <c r="I74" s="653"/>
    </row>
    <row r="75" spans="2:25" x14ac:dyDescent="0.2">
      <c r="B75" s="653"/>
      <c r="C75" s="653"/>
      <c r="D75" s="653"/>
      <c r="E75" s="653"/>
      <c r="F75" s="778"/>
      <c r="G75" s="653"/>
      <c r="H75" s="653"/>
      <c r="I75" s="653"/>
    </row>
    <row r="76" spans="2:25" ht="68" x14ac:dyDescent="0.2">
      <c r="B76" s="653"/>
      <c r="C76" s="653"/>
      <c r="D76" s="653"/>
      <c r="E76" s="653"/>
      <c r="F76" s="653"/>
      <c r="G76" s="653"/>
      <c r="H76" s="653"/>
      <c r="I76" s="653"/>
      <c r="J76" s="653"/>
      <c r="K76" s="653"/>
      <c r="L76" s="653"/>
      <c r="M76" s="653"/>
      <c r="N76" s="653"/>
      <c r="O76" s="653"/>
      <c r="P76" s="653"/>
      <c r="Q76" s="653"/>
      <c r="R76" s="653"/>
      <c r="T76" s="750" t="s">
        <v>128</v>
      </c>
      <c r="U76" s="808" t="s">
        <v>303</v>
      </c>
      <c r="V76" s="803" t="s">
        <v>302</v>
      </c>
      <c r="W76" s="803" t="s">
        <v>168</v>
      </c>
      <c r="X76" s="803" t="s">
        <v>304</v>
      </c>
      <c r="Y76" s="809" t="s">
        <v>305</v>
      </c>
    </row>
    <row r="77" spans="2:25" x14ac:dyDescent="0.2">
      <c r="B77" s="653"/>
      <c r="C77" s="653"/>
      <c r="D77" s="653"/>
      <c r="E77" s="653"/>
      <c r="G77" s="653"/>
      <c r="H77" s="653"/>
      <c r="I77" s="653"/>
      <c r="T77" s="750">
        <v>7</v>
      </c>
      <c r="U77" s="805">
        <v>226</v>
      </c>
      <c r="V77" s="806">
        <v>1215</v>
      </c>
      <c r="W77" s="807">
        <v>1.1410285714285715</v>
      </c>
      <c r="X77" s="20">
        <f>V77/1000</f>
        <v>1.2150000000000001</v>
      </c>
      <c r="Y77" s="57">
        <f>U77*0.408</f>
        <v>92.207999999999998</v>
      </c>
    </row>
    <row r="78" spans="2:25" x14ac:dyDescent="0.2">
      <c r="B78" s="653"/>
      <c r="C78" s="653"/>
      <c r="D78" s="653"/>
      <c r="E78" s="653"/>
      <c r="G78" s="653"/>
      <c r="H78" s="653"/>
      <c r="I78" s="653"/>
      <c r="T78" s="751">
        <v>14</v>
      </c>
      <c r="U78" s="788">
        <v>319</v>
      </c>
      <c r="V78" s="652">
        <v>5402</v>
      </c>
      <c r="W78" s="761">
        <v>2.9588571428571431</v>
      </c>
      <c r="X78">
        <f t="shared" ref="X78:X91" si="19">V78/1000</f>
        <v>5.4020000000000001</v>
      </c>
      <c r="Y78" s="27">
        <f t="shared" ref="Y78:Y91" si="20">U78*0.408</f>
        <v>130.15199999999999</v>
      </c>
    </row>
    <row r="79" spans="2:25" x14ac:dyDescent="0.2">
      <c r="B79" s="653"/>
      <c r="C79" s="653"/>
      <c r="D79" s="653"/>
      <c r="E79" s="653"/>
      <c r="J79" s="653"/>
      <c r="T79" s="751">
        <v>21</v>
      </c>
      <c r="U79" s="788">
        <v>473</v>
      </c>
      <c r="V79" s="652">
        <v>10481</v>
      </c>
      <c r="W79" s="761">
        <v>3.5705142857142858</v>
      </c>
      <c r="X79">
        <f t="shared" si="19"/>
        <v>10.481</v>
      </c>
      <c r="Y79" s="27">
        <f t="shared" si="20"/>
        <v>192.98399999999998</v>
      </c>
    </row>
    <row r="80" spans="2:25" x14ac:dyDescent="0.2">
      <c r="B80" s="653"/>
      <c r="C80" s="653"/>
      <c r="D80" s="653"/>
      <c r="E80" s="653"/>
      <c r="T80" s="752">
        <v>28</v>
      </c>
      <c r="U80" s="790">
        <v>572</v>
      </c>
      <c r="V80" s="791">
        <v>15531</v>
      </c>
      <c r="W80" s="804">
        <v>3.717257142857143</v>
      </c>
      <c r="X80" s="19">
        <f t="shared" si="19"/>
        <v>15.531000000000001</v>
      </c>
      <c r="Y80" s="48">
        <f t="shared" si="20"/>
        <v>233.37599999999998</v>
      </c>
    </row>
    <row r="81" spans="2:25" x14ac:dyDescent="0.2">
      <c r="B81" s="653"/>
      <c r="C81" s="653"/>
      <c r="D81" s="653"/>
      <c r="E81" s="653"/>
      <c r="T81" s="750">
        <v>35</v>
      </c>
      <c r="U81" s="805">
        <v>590</v>
      </c>
      <c r="V81" s="806">
        <v>19914</v>
      </c>
      <c r="W81" s="807">
        <v>2.7869999999999999</v>
      </c>
      <c r="X81" s="20">
        <f t="shared" si="19"/>
        <v>19.914000000000001</v>
      </c>
      <c r="Y81" s="57">
        <f t="shared" si="20"/>
        <v>240.71999999999997</v>
      </c>
    </row>
    <row r="82" spans="2:25" x14ac:dyDescent="0.2">
      <c r="B82" s="653"/>
      <c r="C82" s="653"/>
      <c r="D82" s="653"/>
      <c r="E82" s="653"/>
      <c r="T82" s="751">
        <v>42</v>
      </c>
      <c r="U82" s="788">
        <v>665</v>
      </c>
      <c r="V82" s="652">
        <v>24906</v>
      </c>
      <c r="W82" s="761">
        <v>3.0846</v>
      </c>
      <c r="X82">
        <f t="shared" si="19"/>
        <v>24.905999999999999</v>
      </c>
      <c r="Y82" s="27">
        <f t="shared" si="20"/>
        <v>271.32</v>
      </c>
    </row>
    <row r="83" spans="2:25" x14ac:dyDescent="0.2">
      <c r="B83" s="653"/>
      <c r="C83" s="653"/>
      <c r="D83" s="653"/>
      <c r="E83" s="653"/>
      <c r="T83" s="751">
        <v>49</v>
      </c>
      <c r="U83" s="788">
        <v>768</v>
      </c>
      <c r="V83" s="652">
        <v>29962</v>
      </c>
      <c r="W83" s="761">
        <v>3.1133999999999999</v>
      </c>
      <c r="X83">
        <f t="shared" si="19"/>
        <v>29.962</v>
      </c>
      <c r="Y83" s="27">
        <f t="shared" si="20"/>
        <v>313.34399999999999</v>
      </c>
    </row>
    <row r="84" spans="2:25" x14ac:dyDescent="0.2">
      <c r="B84" s="653"/>
      <c r="C84" s="653"/>
      <c r="D84" s="653"/>
      <c r="E84" s="653"/>
      <c r="T84" s="752">
        <v>56</v>
      </c>
      <c r="U84" s="790">
        <v>927</v>
      </c>
      <c r="V84" s="791">
        <v>34742</v>
      </c>
      <c r="W84" s="804">
        <v>4.0111999999999997</v>
      </c>
      <c r="X84" s="19">
        <f t="shared" si="19"/>
        <v>34.741999999999997</v>
      </c>
      <c r="Y84" s="48">
        <f t="shared" si="20"/>
        <v>378.21599999999995</v>
      </c>
    </row>
    <row r="85" spans="2:25" x14ac:dyDescent="0.2">
      <c r="B85" s="653"/>
      <c r="C85" s="653"/>
      <c r="D85" s="653"/>
      <c r="E85" s="653"/>
      <c r="T85" s="750">
        <v>63</v>
      </c>
      <c r="U85" s="805">
        <v>1151</v>
      </c>
      <c r="V85" s="806">
        <v>41378</v>
      </c>
      <c r="W85" s="807">
        <v>6.8170000000000002</v>
      </c>
      <c r="X85" s="20">
        <f t="shared" si="19"/>
        <v>41.378</v>
      </c>
      <c r="Y85" s="57">
        <f t="shared" si="20"/>
        <v>469.60799999999995</v>
      </c>
    </row>
    <row r="86" spans="2:25" x14ac:dyDescent="0.2">
      <c r="B86" s="653"/>
      <c r="C86" s="653"/>
      <c r="D86" s="653"/>
      <c r="E86" s="653"/>
      <c r="T86" s="751">
        <v>70</v>
      </c>
      <c r="U86" s="788">
        <v>1313</v>
      </c>
      <c r="V86" s="652">
        <v>47205</v>
      </c>
      <c r="W86" s="761">
        <v>6.1369999999999996</v>
      </c>
      <c r="X86">
        <f t="shared" si="19"/>
        <v>47.204999999999998</v>
      </c>
      <c r="Y86" s="27">
        <f t="shared" si="20"/>
        <v>535.70399999999995</v>
      </c>
    </row>
    <row r="87" spans="2:25" x14ac:dyDescent="0.2">
      <c r="B87" s="653"/>
      <c r="C87" s="653"/>
      <c r="D87" s="653"/>
      <c r="E87" s="653"/>
      <c r="T87" s="751">
        <v>77</v>
      </c>
      <c r="U87" s="788">
        <v>1452</v>
      </c>
      <c r="V87" s="652">
        <v>55715</v>
      </c>
      <c r="W87" s="761">
        <v>8.8290000000000006</v>
      </c>
      <c r="X87">
        <f t="shared" si="19"/>
        <v>55.715000000000003</v>
      </c>
      <c r="Y87" s="27">
        <f t="shared" si="20"/>
        <v>592.41599999999994</v>
      </c>
    </row>
    <row r="88" spans="2:25" x14ac:dyDescent="0.2">
      <c r="B88" s="653"/>
      <c r="C88" s="653"/>
      <c r="D88" s="653"/>
      <c r="E88" s="653"/>
      <c r="T88" s="752">
        <v>84</v>
      </c>
      <c r="U88" s="790">
        <v>1582</v>
      </c>
      <c r="V88" s="791">
        <v>63784</v>
      </c>
      <c r="W88" s="804">
        <v>9.8843999999999994</v>
      </c>
      <c r="X88" s="19">
        <f t="shared" si="19"/>
        <v>63.783999999999999</v>
      </c>
      <c r="Y88" s="48">
        <f t="shared" si="20"/>
        <v>645.4559999999999</v>
      </c>
    </row>
    <row r="89" spans="2:25" x14ac:dyDescent="0.2">
      <c r="B89" s="653"/>
      <c r="C89" s="653"/>
      <c r="D89" s="653"/>
      <c r="E89" s="653"/>
      <c r="T89" s="750">
        <v>91</v>
      </c>
      <c r="U89" s="805">
        <v>1701</v>
      </c>
      <c r="V89" s="806">
        <v>96034</v>
      </c>
      <c r="W89" s="807">
        <v>38.85</v>
      </c>
      <c r="X89" s="20">
        <f t="shared" si="19"/>
        <v>96.034000000000006</v>
      </c>
      <c r="Y89" s="57">
        <f t="shared" si="20"/>
        <v>694.00799999999992</v>
      </c>
    </row>
    <row r="90" spans="2:25" x14ac:dyDescent="0.2">
      <c r="B90" s="653"/>
      <c r="C90" s="653"/>
      <c r="D90" s="653"/>
      <c r="E90" s="653"/>
      <c r="T90" s="751">
        <v>98</v>
      </c>
      <c r="U90" s="788">
        <v>1826</v>
      </c>
      <c r="V90" s="652">
        <v>113769</v>
      </c>
      <c r="W90" s="761">
        <v>28.6448</v>
      </c>
      <c r="X90">
        <f t="shared" si="19"/>
        <v>113.76900000000001</v>
      </c>
      <c r="Y90" s="27">
        <f t="shared" si="20"/>
        <v>745.00799999999992</v>
      </c>
    </row>
    <row r="91" spans="2:25" x14ac:dyDescent="0.2">
      <c r="B91" s="653"/>
      <c r="C91" s="653"/>
      <c r="D91" s="653"/>
      <c r="E91" s="653"/>
      <c r="T91" s="752">
        <v>105</v>
      </c>
      <c r="U91" s="790">
        <v>2041</v>
      </c>
      <c r="V91" s="791">
        <v>120938</v>
      </c>
      <c r="W91" s="804">
        <v>11.798400000000001</v>
      </c>
      <c r="X91" s="19">
        <f t="shared" si="19"/>
        <v>120.938</v>
      </c>
      <c r="Y91" s="48">
        <f t="shared" si="20"/>
        <v>832.72799999999995</v>
      </c>
    </row>
    <row r="92" spans="2:25" x14ac:dyDescent="0.2">
      <c r="B92" s="653"/>
      <c r="C92" s="653"/>
      <c r="D92" s="653"/>
      <c r="E92" s="653"/>
    </row>
    <row r="93" spans="2:25" x14ac:dyDescent="0.2">
      <c r="B93" s="653"/>
      <c r="C93" s="653"/>
      <c r="D93" s="653"/>
      <c r="E93" s="653"/>
    </row>
    <row r="94" spans="2:25" x14ac:dyDescent="0.2">
      <c r="B94" s="653"/>
      <c r="C94" s="653"/>
      <c r="D94" s="653"/>
      <c r="E94" s="653"/>
    </row>
    <row r="95" spans="2:25" x14ac:dyDescent="0.2">
      <c r="B95" s="653"/>
      <c r="C95" s="653"/>
      <c r="D95" s="653"/>
      <c r="E95" s="653"/>
    </row>
    <row r="96" spans="2:25" x14ac:dyDescent="0.2">
      <c r="B96" s="653"/>
      <c r="C96" s="653"/>
      <c r="D96" s="653"/>
      <c r="E96" s="653"/>
    </row>
    <row r="97" spans="2:20" x14ac:dyDescent="0.2">
      <c r="B97" s="653"/>
      <c r="C97" s="653"/>
      <c r="D97" s="653"/>
      <c r="E97" s="653"/>
    </row>
    <row r="98" spans="2:20" x14ac:dyDescent="0.2">
      <c r="B98" s="653"/>
      <c r="C98" s="653"/>
      <c r="D98" s="653"/>
      <c r="E98" s="653"/>
    </row>
    <row r="99" spans="2:20" x14ac:dyDescent="0.2">
      <c r="B99" s="653"/>
      <c r="C99" s="653"/>
      <c r="D99" s="653"/>
      <c r="E99" s="653"/>
    </row>
    <row r="100" spans="2:20" x14ac:dyDescent="0.2">
      <c r="B100" s="653"/>
      <c r="C100" s="653"/>
      <c r="D100" s="653"/>
      <c r="E100" s="653"/>
    </row>
    <row r="101" spans="2:20" x14ac:dyDescent="0.2">
      <c r="B101" s="653"/>
      <c r="C101" s="653"/>
      <c r="D101" s="653"/>
      <c r="E101" s="653"/>
    </row>
    <row r="102" spans="2:20" x14ac:dyDescent="0.2">
      <c r="B102" s="653"/>
      <c r="C102" s="653"/>
      <c r="D102" s="653"/>
      <c r="E102" s="653"/>
    </row>
    <row r="103" spans="2:20" x14ac:dyDescent="0.2">
      <c r="B103" s="653"/>
      <c r="C103" s="653"/>
      <c r="D103" s="653"/>
      <c r="E103" s="653"/>
    </row>
    <row r="104" spans="2:20" x14ac:dyDescent="0.2">
      <c r="B104" s="653"/>
      <c r="C104" s="653"/>
      <c r="D104" s="653"/>
      <c r="E104" s="653"/>
    </row>
    <row r="105" spans="2:20" x14ac:dyDescent="0.2">
      <c r="B105" s="653"/>
      <c r="C105" s="653"/>
      <c r="D105" s="653"/>
      <c r="E105" s="653"/>
      <c r="T105" t="s">
        <v>721</v>
      </c>
    </row>
    <row r="106" spans="2:20" x14ac:dyDescent="0.2">
      <c r="B106" s="653"/>
      <c r="C106" s="653"/>
      <c r="D106" s="653"/>
      <c r="E106" s="653"/>
    </row>
    <row r="107" spans="2:20" x14ac:dyDescent="0.2">
      <c r="B107" s="653"/>
      <c r="C107" s="653"/>
      <c r="D107" s="653"/>
      <c r="E107" s="653"/>
    </row>
    <row r="108" spans="2:20" x14ac:dyDescent="0.2">
      <c r="B108" s="653"/>
      <c r="C108" s="653"/>
      <c r="D108" s="653"/>
      <c r="E108" s="653"/>
    </row>
    <row r="109" spans="2:20" x14ac:dyDescent="0.2">
      <c r="B109" s="653"/>
      <c r="C109" s="653"/>
      <c r="D109" s="653"/>
      <c r="E109" s="653"/>
    </row>
    <row r="110" spans="2:20" x14ac:dyDescent="0.2">
      <c r="B110" s="653"/>
      <c r="C110" s="653"/>
      <c r="D110" s="653"/>
      <c r="E110" s="653"/>
    </row>
    <row r="111" spans="2:20" x14ac:dyDescent="0.2">
      <c r="B111" s="653"/>
      <c r="C111" s="653"/>
      <c r="D111" s="653"/>
      <c r="E111" s="653"/>
    </row>
    <row r="112" spans="2:20" x14ac:dyDescent="0.2">
      <c r="B112" s="653"/>
      <c r="C112" s="653"/>
      <c r="D112" s="653"/>
      <c r="E112" s="653"/>
    </row>
    <row r="113" spans="2:5" x14ac:dyDescent="0.2">
      <c r="B113" s="653"/>
      <c r="C113" s="653"/>
      <c r="D113" s="653"/>
      <c r="E113" s="653"/>
    </row>
    <row r="114" spans="2:5" x14ac:dyDescent="0.2">
      <c r="B114" s="653"/>
      <c r="C114" s="653"/>
      <c r="D114" s="653"/>
      <c r="E114" s="653"/>
    </row>
    <row r="115" spans="2:5" x14ac:dyDescent="0.2">
      <c r="B115" s="653"/>
      <c r="C115" s="653"/>
      <c r="D115" s="653"/>
      <c r="E115" s="653"/>
    </row>
    <row r="116" spans="2:5" x14ac:dyDescent="0.2">
      <c r="B116" s="653"/>
      <c r="C116" s="653"/>
      <c r="D116" s="653"/>
      <c r="E116" s="653"/>
    </row>
    <row r="117" spans="2:5" x14ac:dyDescent="0.2">
      <c r="B117" s="653"/>
      <c r="C117" s="653"/>
      <c r="D117" s="653"/>
      <c r="E117" s="653"/>
    </row>
    <row r="118" spans="2:5" x14ac:dyDescent="0.2">
      <c r="B118" s="653"/>
      <c r="C118" s="653"/>
      <c r="D118" s="653"/>
      <c r="E118" s="653"/>
    </row>
    <row r="119" spans="2:5" x14ac:dyDescent="0.2">
      <c r="B119" s="653"/>
      <c r="C119" s="653"/>
      <c r="D119" s="653"/>
      <c r="E119" s="653"/>
    </row>
    <row r="120" spans="2:5" x14ac:dyDescent="0.2">
      <c r="B120" s="653"/>
      <c r="C120" s="653"/>
      <c r="D120" s="653"/>
      <c r="E120" s="653"/>
    </row>
    <row r="121" spans="2:5" x14ac:dyDescent="0.2">
      <c r="B121" s="653"/>
      <c r="C121" s="653"/>
      <c r="D121" s="653"/>
      <c r="E121" s="653"/>
    </row>
    <row r="122" spans="2:5" x14ac:dyDescent="0.2">
      <c r="B122" s="653"/>
      <c r="C122" s="653"/>
      <c r="D122" s="653"/>
      <c r="E122" s="653"/>
    </row>
    <row r="123" spans="2:5" x14ac:dyDescent="0.2">
      <c r="B123" s="653"/>
      <c r="C123" s="653"/>
      <c r="D123" s="653"/>
      <c r="E123" s="653"/>
    </row>
    <row r="124" spans="2:5" x14ac:dyDescent="0.2">
      <c r="B124" s="653"/>
      <c r="C124" s="653"/>
      <c r="D124" s="653"/>
      <c r="E124" s="653"/>
    </row>
    <row r="125" spans="2:5" x14ac:dyDescent="0.2">
      <c r="B125" s="653"/>
      <c r="C125" s="653"/>
      <c r="D125" s="653"/>
      <c r="E125" s="653"/>
    </row>
    <row r="126" spans="2:5" x14ac:dyDescent="0.2">
      <c r="B126" s="653"/>
      <c r="C126" s="653"/>
      <c r="D126" s="653"/>
      <c r="E126" s="653"/>
    </row>
    <row r="127" spans="2:5" x14ac:dyDescent="0.2">
      <c r="B127" s="653"/>
      <c r="C127" s="653"/>
      <c r="D127" s="653"/>
      <c r="E127" s="653"/>
    </row>
    <row r="128" spans="2:5" x14ac:dyDescent="0.2">
      <c r="B128" s="653"/>
      <c r="C128" s="653"/>
      <c r="D128" s="653"/>
      <c r="E128" s="653"/>
    </row>
    <row r="129" spans="2:5" x14ac:dyDescent="0.2">
      <c r="B129" s="653"/>
      <c r="C129" s="653"/>
      <c r="D129" s="653"/>
      <c r="E129" s="653"/>
    </row>
    <row r="130" spans="2:5" x14ac:dyDescent="0.2">
      <c r="B130" s="653"/>
      <c r="C130" s="653"/>
      <c r="D130" s="653"/>
      <c r="E130" s="653"/>
    </row>
    <row r="131" spans="2:5" x14ac:dyDescent="0.2">
      <c r="B131" s="653"/>
      <c r="C131" s="653"/>
      <c r="D131" s="653"/>
      <c r="E131" s="653"/>
    </row>
    <row r="132" spans="2:5" x14ac:dyDescent="0.2">
      <c r="B132" s="653"/>
      <c r="C132" s="653"/>
      <c r="D132" s="653"/>
      <c r="E132" s="653"/>
    </row>
    <row r="133" spans="2:5" x14ac:dyDescent="0.2">
      <c r="B133" s="653"/>
      <c r="C133" s="653"/>
      <c r="D133" s="653"/>
      <c r="E133" s="653"/>
    </row>
    <row r="134" spans="2:5" x14ac:dyDescent="0.2">
      <c r="B134" s="653"/>
      <c r="C134" s="653"/>
      <c r="D134" s="653"/>
      <c r="E134" s="653"/>
    </row>
    <row r="135" spans="2:5" x14ac:dyDescent="0.2">
      <c r="B135" s="653"/>
      <c r="C135" s="653"/>
      <c r="D135" s="653"/>
      <c r="E135" s="653"/>
    </row>
    <row r="136" spans="2:5" x14ac:dyDescent="0.2">
      <c r="B136" s="653"/>
      <c r="C136" s="653"/>
      <c r="D136" s="653"/>
      <c r="E136" s="653"/>
    </row>
    <row r="137" spans="2:5" x14ac:dyDescent="0.2">
      <c r="B137" s="653"/>
      <c r="C137" s="653"/>
      <c r="D137" s="653"/>
      <c r="E137" s="653"/>
    </row>
    <row r="138" spans="2:5" x14ac:dyDescent="0.2">
      <c r="B138" s="653"/>
      <c r="C138" s="653"/>
      <c r="D138" s="653"/>
      <c r="E138" s="653"/>
    </row>
    <row r="139" spans="2:5" x14ac:dyDescent="0.2">
      <c r="B139" s="653"/>
      <c r="C139" s="653"/>
      <c r="D139" s="653"/>
      <c r="E139" s="653"/>
    </row>
    <row r="140" spans="2:5" x14ac:dyDescent="0.2">
      <c r="B140" s="653"/>
      <c r="C140" s="653"/>
      <c r="D140" s="653"/>
      <c r="E140" s="653"/>
    </row>
    <row r="141" spans="2:5" x14ac:dyDescent="0.2">
      <c r="B141" s="653"/>
      <c r="C141" s="653"/>
      <c r="D141" s="653"/>
      <c r="E141" s="653"/>
    </row>
    <row r="142" spans="2:5" x14ac:dyDescent="0.2">
      <c r="B142" s="653"/>
      <c r="C142" s="653"/>
      <c r="D142" s="653"/>
      <c r="E142" s="653"/>
    </row>
    <row r="143" spans="2:5" x14ac:dyDescent="0.2">
      <c r="B143" s="653"/>
      <c r="C143" s="653"/>
      <c r="D143" s="653"/>
      <c r="E143" s="653"/>
    </row>
    <row r="144" spans="2:5" x14ac:dyDescent="0.2">
      <c r="B144" s="653"/>
      <c r="C144" s="653"/>
      <c r="D144" s="653"/>
      <c r="E144" s="653"/>
    </row>
    <row r="145" spans="2:5" x14ac:dyDescent="0.2">
      <c r="B145" s="653"/>
      <c r="C145" s="653"/>
      <c r="D145" s="653"/>
      <c r="E145" s="653"/>
    </row>
    <row r="146" spans="2:5" x14ac:dyDescent="0.2">
      <c r="B146" s="653"/>
      <c r="C146" s="653"/>
      <c r="D146" s="653"/>
      <c r="E146" s="653"/>
    </row>
    <row r="147" spans="2:5" x14ac:dyDescent="0.2">
      <c r="B147" s="653"/>
      <c r="C147" s="653"/>
      <c r="D147" s="653"/>
      <c r="E147" s="653"/>
    </row>
    <row r="148" spans="2:5" x14ac:dyDescent="0.2">
      <c r="B148" s="653"/>
      <c r="C148" s="653"/>
      <c r="D148" s="653"/>
      <c r="E148" s="653"/>
    </row>
    <row r="149" spans="2:5" x14ac:dyDescent="0.2">
      <c r="B149" s="653"/>
      <c r="C149" s="653"/>
      <c r="D149" s="653"/>
      <c r="E149" s="653"/>
    </row>
    <row r="150" spans="2:5" x14ac:dyDescent="0.2">
      <c r="B150" s="653"/>
      <c r="C150" s="653"/>
      <c r="D150" s="653"/>
      <c r="E150" s="653"/>
    </row>
    <row r="151" spans="2:5" x14ac:dyDescent="0.2">
      <c r="B151" s="653"/>
      <c r="C151" s="653"/>
      <c r="D151" s="653"/>
      <c r="E151" s="653"/>
    </row>
    <row r="152" spans="2:5" x14ac:dyDescent="0.2">
      <c r="B152" s="653"/>
      <c r="C152" s="653"/>
      <c r="D152" s="653"/>
      <c r="E152" s="653"/>
    </row>
    <row r="153" spans="2:5" x14ac:dyDescent="0.2">
      <c r="B153" s="653"/>
      <c r="C153" s="653"/>
      <c r="D153" s="653"/>
      <c r="E153" s="653"/>
    </row>
    <row r="154" spans="2:5" x14ac:dyDescent="0.2">
      <c r="B154" s="653"/>
      <c r="C154" s="653"/>
      <c r="D154" s="653"/>
      <c r="E154" s="653"/>
    </row>
    <row r="155" spans="2:5" x14ac:dyDescent="0.2">
      <c r="B155" s="653"/>
      <c r="C155" s="653"/>
      <c r="D155" s="653"/>
      <c r="E155" s="653"/>
    </row>
    <row r="156" spans="2:5" x14ac:dyDescent="0.2">
      <c r="B156" s="653"/>
      <c r="C156" s="653"/>
      <c r="D156" s="653"/>
      <c r="E156" s="653"/>
    </row>
    <row r="157" spans="2:5" x14ac:dyDescent="0.2">
      <c r="B157" s="653"/>
      <c r="C157" s="653"/>
      <c r="D157" s="653"/>
      <c r="E157" s="653"/>
    </row>
    <row r="158" spans="2:5" x14ac:dyDescent="0.2">
      <c r="B158" s="653"/>
      <c r="C158" s="653"/>
      <c r="D158" s="653"/>
      <c r="E158" s="653"/>
    </row>
    <row r="159" spans="2:5" x14ac:dyDescent="0.2">
      <c r="B159" s="653"/>
      <c r="C159" s="653"/>
      <c r="D159" s="653"/>
      <c r="E159" s="653"/>
    </row>
    <row r="160" spans="2:5" x14ac:dyDescent="0.2">
      <c r="B160" s="653"/>
      <c r="C160" s="653"/>
      <c r="D160" s="653"/>
      <c r="E160" s="653"/>
    </row>
    <row r="161" spans="2:5" x14ac:dyDescent="0.2">
      <c r="B161" s="653"/>
      <c r="C161" s="653"/>
      <c r="D161" s="653"/>
      <c r="E161" s="653"/>
    </row>
    <row r="162" spans="2:5" x14ac:dyDescent="0.2">
      <c r="B162" s="653"/>
      <c r="C162" s="653"/>
      <c r="D162" s="653"/>
      <c r="E162" s="653"/>
    </row>
    <row r="163" spans="2:5" x14ac:dyDescent="0.2">
      <c r="B163" s="653"/>
      <c r="C163" s="653"/>
      <c r="D163" s="653"/>
      <c r="E163" s="653"/>
    </row>
    <row r="164" spans="2:5" x14ac:dyDescent="0.2">
      <c r="B164" s="653"/>
      <c r="C164" s="653"/>
      <c r="D164" s="653"/>
      <c r="E164" s="653"/>
    </row>
    <row r="165" spans="2:5" x14ac:dyDescent="0.2">
      <c r="B165" s="653"/>
      <c r="C165" s="653"/>
      <c r="D165" s="653"/>
      <c r="E165" s="653"/>
    </row>
    <row r="166" spans="2:5" x14ac:dyDescent="0.2">
      <c r="B166" s="653"/>
      <c r="C166" s="653"/>
      <c r="D166" s="653"/>
      <c r="E166" s="653"/>
    </row>
    <row r="167" spans="2:5" x14ac:dyDescent="0.2">
      <c r="B167" s="653"/>
      <c r="C167" s="653"/>
      <c r="D167" s="653"/>
      <c r="E167" s="653"/>
    </row>
    <row r="168" spans="2:5" x14ac:dyDescent="0.2">
      <c r="B168" s="653"/>
      <c r="C168" s="653"/>
      <c r="D168" s="653"/>
      <c r="E168" s="653"/>
    </row>
    <row r="169" spans="2:5" x14ac:dyDescent="0.2">
      <c r="B169" s="653"/>
      <c r="C169" s="653"/>
      <c r="D169" s="653"/>
      <c r="E169" s="653"/>
    </row>
    <row r="170" spans="2:5" x14ac:dyDescent="0.2">
      <c r="B170" s="653"/>
      <c r="C170" s="653"/>
      <c r="D170" s="653"/>
      <c r="E170" s="653"/>
    </row>
    <row r="171" spans="2:5" x14ac:dyDescent="0.2">
      <c r="B171" s="653"/>
      <c r="C171" s="653"/>
      <c r="D171" s="653"/>
      <c r="E171" s="653"/>
    </row>
    <row r="172" spans="2:5" x14ac:dyDescent="0.2">
      <c r="B172" s="653"/>
      <c r="C172" s="653"/>
      <c r="D172" s="653"/>
      <c r="E172" s="653"/>
    </row>
    <row r="173" spans="2:5" x14ac:dyDescent="0.2">
      <c r="B173" s="653"/>
      <c r="C173" s="653"/>
      <c r="D173" s="653"/>
      <c r="E173" s="653"/>
    </row>
    <row r="174" spans="2:5" x14ac:dyDescent="0.2">
      <c r="B174" s="653"/>
      <c r="C174" s="653"/>
      <c r="D174" s="653"/>
      <c r="E174" s="653"/>
    </row>
    <row r="175" spans="2:5" x14ac:dyDescent="0.2">
      <c r="B175" s="653"/>
      <c r="C175" s="653"/>
      <c r="D175" s="653"/>
      <c r="E175" s="653"/>
    </row>
    <row r="176" spans="2:5" x14ac:dyDescent="0.2">
      <c r="B176" s="653"/>
      <c r="C176" s="653"/>
      <c r="D176" s="653"/>
      <c r="E176" s="653"/>
    </row>
  </sheetData>
  <mergeCells count="24">
    <mergeCell ref="T56:U56"/>
    <mergeCell ref="V56:V57"/>
    <mergeCell ref="W56:W57"/>
    <mergeCell ref="B56:C56"/>
    <mergeCell ref="D56:G56"/>
    <mergeCell ref="I56:K56"/>
    <mergeCell ref="L56:N56"/>
    <mergeCell ref="O56:Q56"/>
    <mergeCell ref="R56:S56"/>
    <mergeCell ref="U2:V2"/>
    <mergeCell ref="X2:Y2"/>
    <mergeCell ref="B26:C26"/>
    <mergeCell ref="D26:G26"/>
    <mergeCell ref="I26:J26"/>
    <mergeCell ref="L26:M26"/>
    <mergeCell ref="O26:P26"/>
    <mergeCell ref="R26:S26"/>
    <mergeCell ref="U26:V26"/>
    <mergeCell ref="B2:C2"/>
    <mergeCell ref="D2:G2"/>
    <mergeCell ref="I2:J2"/>
    <mergeCell ref="L2:M2"/>
    <mergeCell ref="O2:P2"/>
    <mergeCell ref="R2:S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51F03-FF6A-1246-947C-08B7EA144154}">
  <dimension ref="B1:J33"/>
  <sheetViews>
    <sheetView topLeftCell="C1" workbookViewId="0">
      <selection activeCell="G31" sqref="G31"/>
    </sheetView>
  </sheetViews>
  <sheetFormatPr baseColWidth="10" defaultRowHeight="16" x14ac:dyDescent="0.2"/>
  <cols>
    <col min="1" max="1" width="10.83203125" style="653"/>
    <col min="2" max="2" width="15.33203125" style="653" bestFit="1" customWidth="1"/>
    <col min="3" max="3" width="27.1640625" style="653" bestFit="1" customWidth="1"/>
    <col min="4" max="4" width="30.1640625" style="653" bestFit="1" customWidth="1"/>
    <col min="5" max="5" width="14.5" style="653" bestFit="1" customWidth="1"/>
    <col min="6" max="6" width="25.5" style="653" bestFit="1" customWidth="1"/>
    <col min="7" max="7" width="14.33203125" style="653" bestFit="1" customWidth="1"/>
    <col min="8" max="8" width="16.83203125" style="653" bestFit="1" customWidth="1"/>
    <col min="9" max="9" width="10.83203125" style="653"/>
    <col min="10" max="10" width="39.6640625" style="653" bestFit="1" customWidth="1"/>
    <col min="11" max="16384" width="10.83203125" style="653"/>
  </cols>
  <sheetData>
    <row r="1" spans="2:10" ht="17" thickBot="1" x14ac:dyDescent="0.25">
      <c r="B1" s="1081" t="s">
        <v>738</v>
      </c>
      <c r="C1" s="1081"/>
      <c r="D1" s="1081"/>
      <c r="E1" s="1081"/>
      <c r="F1" s="1081"/>
      <c r="G1" s="1081"/>
      <c r="H1" s="1081"/>
      <c r="J1" s="653" t="s">
        <v>736</v>
      </c>
    </row>
    <row r="2" spans="2:10" x14ac:dyDescent="0.2">
      <c r="B2" s="1078" t="s">
        <v>722</v>
      </c>
      <c r="C2" s="1079"/>
      <c r="D2" s="1079"/>
      <c r="E2" s="1079"/>
      <c r="F2" s="1079"/>
      <c r="G2" s="1079"/>
      <c r="H2" s="1080"/>
    </row>
    <row r="3" spans="2:10" x14ac:dyDescent="0.2">
      <c r="B3" s="864" t="s">
        <v>724</v>
      </c>
      <c r="C3" s="653" t="s">
        <v>727</v>
      </c>
      <c r="D3" s="653" t="s">
        <v>731</v>
      </c>
      <c r="E3" s="653" t="s">
        <v>732</v>
      </c>
      <c r="F3" s="653" t="s">
        <v>735</v>
      </c>
      <c r="G3" s="653" t="s">
        <v>733</v>
      </c>
      <c r="H3" s="865" t="s">
        <v>734</v>
      </c>
    </row>
    <row r="4" spans="2:10" x14ac:dyDescent="0.2">
      <c r="B4" s="864" t="s">
        <v>725</v>
      </c>
      <c r="C4" s="653">
        <v>2.2000000000000002</v>
      </c>
      <c r="H4" s="865"/>
    </row>
    <row r="5" spans="2:10" x14ac:dyDescent="0.2">
      <c r="B5" s="864" t="s">
        <v>726</v>
      </c>
      <c r="C5" s="653">
        <v>1.8</v>
      </c>
      <c r="H5" s="865"/>
    </row>
    <row r="6" spans="2:10" x14ac:dyDescent="0.2">
      <c r="B6" s="864" t="s">
        <v>723</v>
      </c>
      <c r="C6" s="653">
        <v>1</v>
      </c>
      <c r="H6" s="865"/>
    </row>
    <row r="7" spans="2:10" ht="17" thickBot="1" x14ac:dyDescent="0.25">
      <c r="B7" s="866" t="s">
        <v>730</v>
      </c>
      <c r="C7" s="860">
        <f>SUM(C4:C6)</f>
        <v>5</v>
      </c>
      <c r="D7" s="860">
        <f>C7*3</f>
        <v>15</v>
      </c>
      <c r="E7" s="860">
        <f>C7*3</f>
        <v>15</v>
      </c>
      <c r="F7" s="860">
        <f>8*SUM(D7:E7)</f>
        <v>240</v>
      </c>
      <c r="G7" s="860">
        <f>3*F7</f>
        <v>720</v>
      </c>
      <c r="H7" s="867">
        <f>(52*G7)/1000</f>
        <v>37.44</v>
      </c>
    </row>
    <row r="8" spans="2:10" ht="17" thickBot="1" x14ac:dyDescent="0.25"/>
    <row r="9" spans="2:10" x14ac:dyDescent="0.2">
      <c r="B9" s="1078" t="s">
        <v>728</v>
      </c>
      <c r="C9" s="1079"/>
      <c r="D9" s="862"/>
      <c r="E9" s="862"/>
      <c r="F9" s="862"/>
      <c r="G9" s="862"/>
      <c r="H9" s="863"/>
    </row>
    <row r="10" spans="2:10" x14ac:dyDescent="0.2">
      <c r="B10" s="864" t="s">
        <v>724</v>
      </c>
      <c r="C10" s="653" t="s">
        <v>727</v>
      </c>
      <c r="D10" s="653" t="s">
        <v>731</v>
      </c>
      <c r="E10" s="653" t="s">
        <v>732</v>
      </c>
      <c r="F10" s="653" t="s">
        <v>735</v>
      </c>
      <c r="G10" s="653" t="s">
        <v>733</v>
      </c>
      <c r="H10" s="865" t="s">
        <v>734</v>
      </c>
    </row>
    <row r="11" spans="2:10" x14ac:dyDescent="0.2">
      <c r="B11" s="864" t="s">
        <v>725</v>
      </c>
      <c r="C11" s="653">
        <v>0.3</v>
      </c>
      <c r="H11" s="865"/>
    </row>
    <row r="12" spans="2:10" x14ac:dyDescent="0.2">
      <c r="B12" s="864" t="s">
        <v>726</v>
      </c>
      <c r="C12" s="653">
        <v>1.8</v>
      </c>
      <c r="H12" s="865"/>
    </row>
    <row r="13" spans="2:10" x14ac:dyDescent="0.2">
      <c r="B13" s="864" t="s">
        <v>723</v>
      </c>
      <c r="C13" s="653">
        <v>3</v>
      </c>
      <c r="H13" s="865"/>
      <c r="J13" s="653" t="s">
        <v>737</v>
      </c>
    </row>
    <row r="14" spans="2:10" ht="17" thickBot="1" x14ac:dyDescent="0.25">
      <c r="B14" s="868" t="s">
        <v>730</v>
      </c>
      <c r="C14" s="860">
        <f>SUM(C11:C13)</f>
        <v>5.0999999999999996</v>
      </c>
      <c r="D14" s="860">
        <f>C14*3</f>
        <v>15.299999999999999</v>
      </c>
      <c r="E14" s="860">
        <f>C14*3</f>
        <v>15.299999999999999</v>
      </c>
      <c r="F14" s="860">
        <f>8*SUM(D14:E14)</f>
        <v>244.79999999999998</v>
      </c>
      <c r="G14" s="860">
        <f>3*F14</f>
        <v>734.4</v>
      </c>
      <c r="H14" s="867">
        <f>(G14*52)/1000</f>
        <v>38.188799999999993</v>
      </c>
      <c r="J14" s="839">
        <f>H7+H14</f>
        <v>75.628799999999984</v>
      </c>
    </row>
    <row r="18" spans="2:4" ht="17" thickBot="1" x14ac:dyDescent="0.25"/>
    <row r="19" spans="2:4" x14ac:dyDescent="0.2">
      <c r="B19" s="1078" t="s">
        <v>739</v>
      </c>
      <c r="C19" s="1079" t="s">
        <v>741</v>
      </c>
      <c r="D19" s="1080"/>
    </row>
    <row r="20" spans="2:4" x14ac:dyDescent="0.2">
      <c r="B20" s="1082"/>
      <c r="C20" s="1081" t="s">
        <v>740</v>
      </c>
      <c r="D20" s="1083"/>
    </row>
    <row r="21" spans="2:4" x14ac:dyDescent="0.2">
      <c r="B21" s="864"/>
      <c r="C21" s="653" t="s">
        <v>727</v>
      </c>
      <c r="D21" s="865" t="s">
        <v>742</v>
      </c>
    </row>
    <row r="22" spans="2:4" x14ac:dyDescent="0.2">
      <c r="B22" s="864" t="s">
        <v>725</v>
      </c>
      <c r="C22" s="653">
        <v>2.2000000000000002</v>
      </c>
      <c r="D22" s="865" t="s">
        <v>747</v>
      </c>
    </row>
    <row r="23" spans="2:4" x14ac:dyDescent="0.2">
      <c r="B23" s="864" t="s">
        <v>726</v>
      </c>
      <c r="C23" s="653">
        <v>1.8</v>
      </c>
      <c r="D23" s="865" t="s">
        <v>743</v>
      </c>
    </row>
    <row r="24" spans="2:4" x14ac:dyDescent="0.2">
      <c r="B24" s="864" t="s">
        <v>723</v>
      </c>
      <c r="C24" s="653">
        <v>1</v>
      </c>
      <c r="D24" s="865" t="s">
        <v>745</v>
      </c>
    </row>
    <row r="25" spans="2:4" ht="17" thickBot="1" x14ac:dyDescent="0.25">
      <c r="B25" s="866" t="s">
        <v>729</v>
      </c>
      <c r="C25" s="860">
        <f>SUM(C22:C24)</f>
        <v>5</v>
      </c>
      <c r="D25" s="867"/>
    </row>
    <row r="26" spans="2:4" ht="17" thickBot="1" x14ac:dyDescent="0.25"/>
    <row r="27" spans="2:4" x14ac:dyDescent="0.2">
      <c r="B27" s="1078" t="s">
        <v>744</v>
      </c>
      <c r="C27" s="1079" t="s">
        <v>741</v>
      </c>
      <c r="D27" s="1080"/>
    </row>
    <row r="28" spans="2:4" x14ac:dyDescent="0.2">
      <c r="B28" s="1082"/>
      <c r="C28" s="1081" t="s">
        <v>748</v>
      </c>
      <c r="D28" s="1083"/>
    </row>
    <row r="29" spans="2:4" x14ac:dyDescent="0.2">
      <c r="B29" s="864"/>
      <c r="C29" s="653" t="s">
        <v>727</v>
      </c>
      <c r="D29" s="865" t="s">
        <v>742</v>
      </c>
    </row>
    <row r="30" spans="2:4" x14ac:dyDescent="0.2">
      <c r="B30" s="864" t="s">
        <v>725</v>
      </c>
      <c r="C30" s="653">
        <v>0.3</v>
      </c>
      <c r="D30" s="865" t="s">
        <v>746</v>
      </c>
    </row>
    <row r="31" spans="2:4" x14ac:dyDescent="0.2">
      <c r="B31" s="864" t="s">
        <v>726</v>
      </c>
      <c r="C31" s="653">
        <v>2.2999999999999998</v>
      </c>
      <c r="D31" s="865" t="s">
        <v>743</v>
      </c>
    </row>
    <row r="32" spans="2:4" x14ac:dyDescent="0.2">
      <c r="B32" s="864" t="s">
        <v>723</v>
      </c>
      <c r="C32" s="653">
        <v>3</v>
      </c>
      <c r="D32" s="865" t="s">
        <v>745</v>
      </c>
    </row>
    <row r="33" spans="2:4" ht="17" thickBot="1" x14ac:dyDescent="0.25">
      <c r="B33" s="866" t="s">
        <v>729</v>
      </c>
      <c r="C33" s="860">
        <f>SUM(C30:C32)</f>
        <v>5.6</v>
      </c>
      <c r="D33" s="867"/>
    </row>
  </sheetData>
  <mergeCells count="9">
    <mergeCell ref="B9:C9"/>
    <mergeCell ref="B2:H2"/>
    <mergeCell ref="B1:H1"/>
    <mergeCell ref="B27:B28"/>
    <mergeCell ref="B19:B20"/>
    <mergeCell ref="C19:D19"/>
    <mergeCell ref="C20:D20"/>
    <mergeCell ref="C27:D27"/>
    <mergeCell ref="C28:D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2C5D8-12D8-734B-897A-81EB625F4D2A}">
  <dimension ref="A1:D16"/>
  <sheetViews>
    <sheetView workbookViewId="0">
      <selection activeCell="E8" sqref="E8"/>
    </sheetView>
  </sheetViews>
  <sheetFormatPr baseColWidth="10" defaultRowHeight="16" x14ac:dyDescent="0.2"/>
  <cols>
    <col min="2" max="2" width="20.5" customWidth="1"/>
  </cols>
  <sheetData>
    <row r="1" spans="1:4" ht="46" thickBot="1" x14ac:dyDescent="0.25">
      <c r="A1" s="850" t="s">
        <v>684</v>
      </c>
      <c r="B1" s="851" t="s">
        <v>685</v>
      </c>
      <c r="C1" s="851" t="s">
        <v>686</v>
      </c>
      <c r="D1" s="852" t="s">
        <v>687</v>
      </c>
    </row>
    <row r="2" spans="1:4" ht="17" thickBot="1" x14ac:dyDescent="0.25">
      <c r="A2" s="1084" t="s">
        <v>688</v>
      </c>
      <c r="B2" s="853" t="s">
        <v>689</v>
      </c>
      <c r="C2" s="853">
        <v>4.3</v>
      </c>
      <c r="D2" s="853" t="s">
        <v>690</v>
      </c>
    </row>
    <row r="3" spans="1:4" ht="17" thickBot="1" x14ac:dyDescent="0.25">
      <c r="A3" s="1085"/>
      <c r="B3" s="854" t="s">
        <v>691</v>
      </c>
      <c r="C3" s="854">
        <v>6</v>
      </c>
      <c r="D3" s="854" t="s">
        <v>692</v>
      </c>
    </row>
    <row r="4" spans="1:4" ht="17" thickBot="1" x14ac:dyDescent="0.25">
      <c r="A4" s="1086" t="s">
        <v>693</v>
      </c>
      <c r="B4" s="853" t="s">
        <v>694</v>
      </c>
      <c r="C4" s="853">
        <v>7.62</v>
      </c>
      <c r="D4" s="853" t="s">
        <v>695</v>
      </c>
    </row>
    <row r="5" spans="1:4" ht="17" thickBot="1" x14ac:dyDescent="0.25">
      <c r="A5" s="1087"/>
      <c r="B5" s="854" t="s">
        <v>696</v>
      </c>
      <c r="C5" s="854">
        <v>4</v>
      </c>
      <c r="D5" s="854" t="s">
        <v>697</v>
      </c>
    </row>
    <row r="6" spans="1:4" ht="17" thickBot="1" x14ac:dyDescent="0.25">
      <c r="A6" s="1087"/>
      <c r="B6" s="853" t="s">
        <v>698</v>
      </c>
      <c r="C6" s="853">
        <v>16</v>
      </c>
      <c r="D6" s="853" t="s">
        <v>699</v>
      </c>
    </row>
    <row r="7" spans="1:4" ht="17" thickBot="1" x14ac:dyDescent="0.25">
      <c r="A7" s="1087"/>
      <c r="B7" s="854" t="s">
        <v>700</v>
      </c>
      <c r="C7" s="854">
        <v>4</v>
      </c>
      <c r="D7" s="854" t="s">
        <v>701</v>
      </c>
    </row>
    <row r="8" spans="1:4" ht="17" thickBot="1" x14ac:dyDescent="0.25">
      <c r="A8" s="1087"/>
      <c r="B8" s="853" t="s">
        <v>702</v>
      </c>
      <c r="C8" s="853">
        <v>1</v>
      </c>
      <c r="D8" s="853" t="s">
        <v>703</v>
      </c>
    </row>
    <row r="9" spans="1:4" ht="17" thickBot="1" x14ac:dyDescent="0.25">
      <c r="A9" s="1085"/>
      <c r="B9" s="854" t="s">
        <v>704</v>
      </c>
      <c r="C9" s="854">
        <v>8.85</v>
      </c>
      <c r="D9" s="854" t="s">
        <v>705</v>
      </c>
    </row>
    <row r="10" spans="1:4" ht="17" thickBot="1" x14ac:dyDescent="0.25">
      <c r="A10" s="1086" t="s">
        <v>706</v>
      </c>
      <c r="B10" s="853" t="s">
        <v>707</v>
      </c>
      <c r="C10" s="853">
        <v>3.44</v>
      </c>
      <c r="D10" s="853" t="s">
        <v>708</v>
      </c>
    </row>
    <row r="11" spans="1:4" ht="17" thickBot="1" x14ac:dyDescent="0.25">
      <c r="A11" s="1087"/>
      <c r="B11" s="854" t="s">
        <v>709</v>
      </c>
      <c r="C11" s="854">
        <v>3.32</v>
      </c>
      <c r="D11" s="854" t="s">
        <v>710</v>
      </c>
    </row>
    <row r="12" spans="1:4" ht="17" thickBot="1" x14ac:dyDescent="0.25">
      <c r="A12" s="1087"/>
      <c r="B12" s="853" t="s">
        <v>711</v>
      </c>
      <c r="C12" s="853">
        <v>2.62</v>
      </c>
      <c r="D12" s="853" t="s">
        <v>712</v>
      </c>
    </row>
    <row r="13" spans="1:4" ht="17" thickBot="1" x14ac:dyDescent="0.25">
      <c r="A13" s="1087"/>
      <c r="B13" s="854" t="s">
        <v>713</v>
      </c>
      <c r="C13" s="854">
        <v>1.02</v>
      </c>
      <c r="D13" s="854" t="s">
        <v>714</v>
      </c>
    </row>
    <row r="14" spans="1:4" ht="17" thickBot="1" x14ac:dyDescent="0.25">
      <c r="A14" s="1087"/>
      <c r="B14" s="853" t="s">
        <v>715</v>
      </c>
      <c r="C14" s="853">
        <v>0.86</v>
      </c>
      <c r="D14" s="853" t="s">
        <v>716</v>
      </c>
    </row>
    <row r="15" spans="1:4" ht="17" thickBot="1" x14ac:dyDescent="0.25">
      <c r="A15" s="1087"/>
      <c r="B15" s="854" t="s">
        <v>717</v>
      </c>
      <c r="C15" s="854">
        <v>1.61</v>
      </c>
      <c r="D15" s="854" t="s">
        <v>718</v>
      </c>
    </row>
    <row r="16" spans="1:4" ht="17" thickBot="1" x14ac:dyDescent="0.25">
      <c r="A16" s="1085"/>
      <c r="B16" s="853" t="s">
        <v>719</v>
      </c>
      <c r="C16" s="853">
        <v>12</v>
      </c>
      <c r="D16" s="853" t="s">
        <v>720</v>
      </c>
    </row>
  </sheetData>
  <mergeCells count="3">
    <mergeCell ref="A2:A3"/>
    <mergeCell ref="A4:A9"/>
    <mergeCell ref="A10:A1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63EF7-2D66-094D-9B52-E2A49008C7A3}">
  <dimension ref="C2:F14"/>
  <sheetViews>
    <sheetView workbookViewId="0">
      <selection activeCell="I10" sqref="I10"/>
    </sheetView>
  </sheetViews>
  <sheetFormatPr baseColWidth="10" defaultRowHeight="16" x14ac:dyDescent="0.2"/>
  <cols>
    <col min="3" max="3" width="22.1640625" bestFit="1" customWidth="1"/>
    <col min="4" max="4" width="27.6640625" customWidth="1"/>
    <col min="5" max="5" width="37.5" customWidth="1"/>
    <col min="6" max="6" width="47.33203125" customWidth="1"/>
  </cols>
  <sheetData>
    <row r="2" spans="3:6" x14ac:dyDescent="0.2">
      <c r="C2" s="767" t="s">
        <v>683</v>
      </c>
      <c r="D2" s="845" t="s">
        <v>641</v>
      </c>
      <c r="E2" s="845" t="s">
        <v>642</v>
      </c>
      <c r="F2" s="777" t="s">
        <v>643</v>
      </c>
    </row>
    <row r="3" spans="3:6" ht="47" customHeight="1" x14ac:dyDescent="0.2">
      <c r="C3" s="737" t="s">
        <v>661</v>
      </c>
      <c r="D3" s="778" t="s">
        <v>644</v>
      </c>
      <c r="E3" s="778" t="s">
        <v>645</v>
      </c>
      <c r="F3" s="846" t="s">
        <v>646</v>
      </c>
    </row>
    <row r="4" spans="3:6" ht="47" customHeight="1" x14ac:dyDescent="0.2">
      <c r="C4" s="737" t="s">
        <v>647</v>
      </c>
      <c r="D4" s="778" t="s">
        <v>648</v>
      </c>
      <c r="E4" s="778" t="s">
        <v>649</v>
      </c>
      <c r="F4" s="846" t="s">
        <v>650</v>
      </c>
    </row>
    <row r="5" spans="3:6" ht="35" customHeight="1" x14ac:dyDescent="0.2">
      <c r="C5" s="847" t="s">
        <v>651</v>
      </c>
      <c r="D5" s="778" t="s">
        <v>652</v>
      </c>
      <c r="E5" s="778" t="s">
        <v>653</v>
      </c>
      <c r="F5" s="846" t="s">
        <v>654</v>
      </c>
    </row>
    <row r="6" spans="3:6" ht="17" x14ac:dyDescent="0.2">
      <c r="C6" s="847" t="s">
        <v>655</v>
      </c>
      <c r="D6" s="778" t="s">
        <v>127</v>
      </c>
      <c r="E6" s="778" t="s">
        <v>658</v>
      </c>
      <c r="F6" s="846" t="s">
        <v>656</v>
      </c>
    </row>
    <row r="7" spans="3:6" ht="17" x14ac:dyDescent="0.2">
      <c r="C7" s="737" t="s">
        <v>657</v>
      </c>
      <c r="D7" s="778" t="s">
        <v>294</v>
      </c>
      <c r="E7" s="778" t="s">
        <v>659</v>
      </c>
      <c r="F7" s="846" t="s">
        <v>660</v>
      </c>
    </row>
    <row r="8" spans="3:6" ht="35" customHeight="1" x14ac:dyDescent="0.2">
      <c r="C8" s="737" t="s">
        <v>662</v>
      </c>
      <c r="D8" s="778" t="s">
        <v>294</v>
      </c>
      <c r="E8" s="653"/>
      <c r="F8" s="846" t="s">
        <v>663</v>
      </c>
    </row>
    <row r="9" spans="3:6" ht="17" x14ac:dyDescent="0.2">
      <c r="C9" s="737" t="s">
        <v>664</v>
      </c>
      <c r="D9" s="778" t="s">
        <v>665</v>
      </c>
      <c r="E9" s="653"/>
      <c r="F9" s="846" t="s">
        <v>666</v>
      </c>
    </row>
    <row r="10" spans="3:6" ht="68" x14ac:dyDescent="0.2">
      <c r="C10" s="737" t="s">
        <v>667</v>
      </c>
      <c r="D10" s="778" t="s">
        <v>668</v>
      </c>
      <c r="E10" s="778" t="s">
        <v>669</v>
      </c>
      <c r="F10" s="846" t="s">
        <v>670</v>
      </c>
    </row>
    <row r="11" spans="3:6" ht="17" x14ac:dyDescent="0.2">
      <c r="C11" s="737" t="s">
        <v>671</v>
      </c>
      <c r="D11" s="778" t="s">
        <v>672</v>
      </c>
      <c r="E11" s="778" t="s">
        <v>673</v>
      </c>
      <c r="F11" s="846" t="s">
        <v>674</v>
      </c>
    </row>
    <row r="12" spans="3:6" ht="17" x14ac:dyDescent="0.2">
      <c r="C12" s="737" t="s">
        <v>671</v>
      </c>
      <c r="D12" s="778" t="s">
        <v>672</v>
      </c>
      <c r="E12" s="778" t="s">
        <v>675</v>
      </c>
      <c r="F12" s="846" t="s">
        <v>676</v>
      </c>
    </row>
    <row r="13" spans="3:6" ht="34" x14ac:dyDescent="0.2">
      <c r="C13" s="737" t="s">
        <v>677</v>
      </c>
      <c r="D13" s="778" t="s">
        <v>652</v>
      </c>
      <c r="E13" s="778" t="s">
        <v>678</v>
      </c>
      <c r="F13" s="846" t="s">
        <v>679</v>
      </c>
    </row>
    <row r="14" spans="3:6" ht="51" x14ac:dyDescent="0.2">
      <c r="C14" s="739" t="s">
        <v>680</v>
      </c>
      <c r="D14" s="848" t="s">
        <v>681</v>
      </c>
      <c r="E14" s="659"/>
      <c r="F14" s="849" t="s">
        <v>682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76EEE-5CA1-5D4E-A7F9-52996E193009}">
  <dimension ref="B2:C14"/>
  <sheetViews>
    <sheetView workbookViewId="0">
      <selection activeCell="B2" sqref="B2:C14"/>
    </sheetView>
  </sheetViews>
  <sheetFormatPr baseColWidth="10" defaultRowHeight="16" x14ac:dyDescent="0.2"/>
  <cols>
    <col min="2" max="2" width="33.6640625" bestFit="1" customWidth="1"/>
    <col min="3" max="3" width="25.33203125" bestFit="1" customWidth="1"/>
  </cols>
  <sheetData>
    <row r="2" spans="2:3" x14ac:dyDescent="0.2">
      <c r="B2" s="779" t="s">
        <v>438</v>
      </c>
      <c r="C2" s="779" t="s">
        <v>439</v>
      </c>
    </row>
    <row r="3" spans="2:3" x14ac:dyDescent="0.2">
      <c r="B3" s="781" t="s">
        <v>440</v>
      </c>
      <c r="C3" s="781" t="s">
        <v>441</v>
      </c>
    </row>
    <row r="4" spans="2:3" x14ac:dyDescent="0.2">
      <c r="B4" s="781" t="s">
        <v>442</v>
      </c>
      <c r="C4" s="781" t="s">
        <v>443</v>
      </c>
    </row>
    <row r="5" spans="2:3" x14ac:dyDescent="0.2">
      <c r="B5" s="781" t="s">
        <v>444</v>
      </c>
      <c r="C5" s="781" t="s">
        <v>445</v>
      </c>
    </row>
    <row r="6" spans="2:3" x14ac:dyDescent="0.2">
      <c r="B6" s="781" t="s">
        <v>446</v>
      </c>
      <c r="C6" s="781" t="s">
        <v>441</v>
      </c>
    </row>
    <row r="7" spans="2:3" x14ac:dyDescent="0.2">
      <c r="B7" s="781" t="s">
        <v>447</v>
      </c>
      <c r="C7" s="781" t="s">
        <v>448</v>
      </c>
    </row>
    <row r="8" spans="2:3" x14ac:dyDescent="0.2">
      <c r="B8" s="781" t="s">
        <v>449</v>
      </c>
      <c r="C8" s="781" t="s">
        <v>450</v>
      </c>
    </row>
    <row r="9" spans="2:3" x14ac:dyDescent="0.2">
      <c r="B9" s="781" t="s">
        <v>451</v>
      </c>
      <c r="C9" s="781" t="s">
        <v>452</v>
      </c>
    </row>
    <row r="10" spans="2:3" x14ac:dyDescent="0.2">
      <c r="B10" s="781" t="s">
        <v>453</v>
      </c>
      <c r="C10" s="781" t="s">
        <v>454</v>
      </c>
    </row>
    <row r="11" spans="2:3" x14ac:dyDescent="0.2">
      <c r="B11" s="781" t="s">
        <v>455</v>
      </c>
      <c r="C11" s="781" t="s">
        <v>456</v>
      </c>
    </row>
    <row r="12" spans="2:3" x14ac:dyDescent="0.2">
      <c r="B12" s="781" t="s">
        <v>457</v>
      </c>
      <c r="C12" s="781" t="s">
        <v>458</v>
      </c>
    </row>
    <row r="13" spans="2:3" x14ac:dyDescent="0.2">
      <c r="B13" s="781" t="s">
        <v>459</v>
      </c>
      <c r="C13" s="781" t="s">
        <v>460</v>
      </c>
    </row>
    <row r="14" spans="2:3" x14ac:dyDescent="0.2">
      <c r="B14" s="781" t="s">
        <v>461</v>
      </c>
      <c r="C14" s="781" t="s">
        <v>462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F9A57-427D-402C-B560-BFD44CEFCE1B}">
  <dimension ref="B2:R106"/>
  <sheetViews>
    <sheetView topLeftCell="A2" workbookViewId="0">
      <selection activeCell="P94" sqref="P94"/>
    </sheetView>
  </sheetViews>
  <sheetFormatPr baseColWidth="10" defaultColWidth="8.83203125" defaultRowHeight="16" x14ac:dyDescent="0.2"/>
  <cols>
    <col min="2" max="2" width="11" bestFit="1" customWidth="1"/>
    <col min="4" max="5" width="13.6640625" customWidth="1"/>
    <col min="6" max="6" width="12.6640625" customWidth="1"/>
    <col min="7" max="7" width="12.6640625" bestFit="1" customWidth="1"/>
    <col min="8" max="8" width="11.83203125" bestFit="1" customWidth="1"/>
    <col min="9" max="9" width="16.33203125" bestFit="1" customWidth="1"/>
    <col min="10" max="10" width="12.6640625" customWidth="1"/>
    <col min="11" max="11" width="12.6640625" bestFit="1" customWidth="1"/>
    <col min="12" max="12" width="12.6640625" customWidth="1"/>
    <col min="13" max="13" width="16.33203125" bestFit="1" customWidth="1"/>
    <col min="14" max="14" width="11.83203125" bestFit="1" customWidth="1"/>
    <col min="15" max="15" width="14.1640625" bestFit="1" customWidth="1"/>
    <col min="16" max="16" width="12.6640625" bestFit="1" customWidth="1"/>
    <col min="17" max="17" width="11.83203125" bestFit="1" customWidth="1"/>
    <col min="18" max="18" width="12.6640625" bestFit="1" customWidth="1"/>
  </cols>
  <sheetData>
    <row r="2" spans="2:15" x14ac:dyDescent="0.2">
      <c r="D2" s="1050" t="s">
        <v>127</v>
      </c>
      <c r="E2" s="1051"/>
      <c r="F2" s="1051"/>
      <c r="G2" s="1089"/>
      <c r="H2" s="1050" t="s">
        <v>294</v>
      </c>
      <c r="I2" s="1051"/>
      <c r="J2" s="1051"/>
      <c r="K2" s="1089"/>
      <c r="L2" s="1051" t="s">
        <v>298</v>
      </c>
      <c r="M2" s="1051"/>
      <c r="N2" s="1051"/>
      <c r="O2" s="1089"/>
    </row>
    <row r="3" spans="2:15" x14ac:dyDescent="0.2">
      <c r="B3" s="1064" t="s">
        <v>306</v>
      </c>
      <c r="C3" s="1066"/>
      <c r="D3" s="1064" t="s">
        <v>81</v>
      </c>
      <c r="E3" s="1066"/>
      <c r="F3" s="1065" t="s">
        <v>82</v>
      </c>
      <c r="G3" s="1066"/>
      <c r="H3" s="1064" t="s">
        <v>81</v>
      </c>
      <c r="I3" s="1066"/>
      <c r="J3" s="1051" t="s">
        <v>82</v>
      </c>
      <c r="K3" s="1089"/>
      <c r="L3" s="1065" t="s">
        <v>81</v>
      </c>
      <c r="M3" s="1066"/>
      <c r="N3" s="1051" t="s">
        <v>82</v>
      </c>
      <c r="O3" s="1089"/>
    </row>
    <row r="4" spans="2:15" x14ac:dyDescent="0.2">
      <c r="B4" s="737"/>
      <c r="C4" s="658" t="s">
        <v>309</v>
      </c>
      <c r="D4" s="737" t="s">
        <v>372</v>
      </c>
      <c r="E4" s="658" t="s">
        <v>310</v>
      </c>
      <c r="F4" s="653" t="s">
        <v>372</v>
      </c>
      <c r="G4" s="658" t="s">
        <v>310</v>
      </c>
      <c r="H4" s="737" t="s">
        <v>372</v>
      </c>
      <c r="I4" s="658" t="s">
        <v>310</v>
      </c>
      <c r="J4" s="652" t="s">
        <v>372</v>
      </c>
      <c r="K4" s="789" t="s">
        <v>310</v>
      </c>
      <c r="L4" s="653" t="s">
        <v>372</v>
      </c>
      <c r="M4" s="658" t="s">
        <v>310</v>
      </c>
      <c r="N4" s="653" t="s">
        <v>372</v>
      </c>
      <c r="O4" s="789" t="s">
        <v>310</v>
      </c>
    </row>
    <row r="5" spans="2:15" x14ac:dyDescent="0.2">
      <c r="B5" s="737" t="s">
        <v>84</v>
      </c>
      <c r="C5" s="658"/>
      <c r="D5" s="797" t="s">
        <v>383</v>
      </c>
      <c r="E5" s="658" t="s">
        <v>311</v>
      </c>
      <c r="F5" s="783" t="s">
        <v>384</v>
      </c>
      <c r="G5" s="784" t="s">
        <v>311</v>
      </c>
      <c r="H5" s="737" t="s">
        <v>395</v>
      </c>
      <c r="I5" s="658" t="s">
        <v>311</v>
      </c>
      <c r="J5" s="652" t="s">
        <v>405</v>
      </c>
      <c r="K5" s="789" t="s">
        <v>311</v>
      </c>
      <c r="L5" s="652" t="s">
        <v>416</v>
      </c>
      <c r="M5" s="789" t="s">
        <v>311</v>
      </c>
      <c r="N5" s="652" t="s">
        <v>427</v>
      </c>
      <c r="O5" s="789" t="s">
        <v>311</v>
      </c>
    </row>
    <row r="6" spans="2:15" x14ac:dyDescent="0.2">
      <c r="B6" s="737" t="s">
        <v>281</v>
      </c>
      <c r="C6" s="784" t="s">
        <v>307</v>
      </c>
      <c r="D6" s="782" t="s">
        <v>373</v>
      </c>
      <c r="E6" s="784" t="s">
        <v>359</v>
      </c>
      <c r="F6" s="783" t="s">
        <v>385</v>
      </c>
      <c r="G6" s="784" t="s">
        <v>371</v>
      </c>
      <c r="H6" s="737" t="s">
        <v>396</v>
      </c>
      <c r="I6" s="658" t="s">
        <v>351</v>
      </c>
      <c r="J6" s="652" t="s">
        <v>406</v>
      </c>
      <c r="K6" s="789" t="s">
        <v>312</v>
      </c>
      <c r="L6" s="652" t="s">
        <v>417</v>
      </c>
      <c r="M6" s="789" t="s">
        <v>330</v>
      </c>
      <c r="N6" s="652" t="s">
        <v>428</v>
      </c>
      <c r="O6" s="789" t="s">
        <v>331</v>
      </c>
    </row>
    <row r="7" spans="2:15" x14ac:dyDescent="0.2">
      <c r="B7" s="737" t="s">
        <v>129</v>
      </c>
      <c r="C7" s="658" t="s">
        <v>142</v>
      </c>
      <c r="D7" s="782" t="s">
        <v>374</v>
      </c>
      <c r="E7" s="784" t="s">
        <v>360</v>
      </c>
      <c r="F7" s="783" t="s">
        <v>386</v>
      </c>
      <c r="G7" s="784" t="s">
        <v>370</v>
      </c>
      <c r="H7" s="737" t="s">
        <v>397</v>
      </c>
      <c r="I7" s="658" t="s">
        <v>322</v>
      </c>
      <c r="J7" s="652" t="s">
        <v>407</v>
      </c>
      <c r="K7" s="789" t="s">
        <v>313</v>
      </c>
      <c r="L7" s="652" t="s">
        <v>418</v>
      </c>
      <c r="M7" s="789" t="s">
        <v>332</v>
      </c>
      <c r="N7" s="652" t="s">
        <v>429</v>
      </c>
      <c r="O7" s="789" t="s">
        <v>333</v>
      </c>
    </row>
    <row r="8" spans="2:15" x14ac:dyDescent="0.2">
      <c r="B8" s="737" t="s">
        <v>130</v>
      </c>
      <c r="C8" s="658" t="s">
        <v>142</v>
      </c>
      <c r="D8" s="782" t="s">
        <v>375</v>
      </c>
      <c r="E8" s="784" t="s">
        <v>361</v>
      </c>
      <c r="F8" s="783" t="s">
        <v>387</v>
      </c>
      <c r="G8" s="784" t="s">
        <v>369</v>
      </c>
      <c r="H8" s="737" t="s">
        <v>398</v>
      </c>
      <c r="I8" s="658" t="s">
        <v>323</v>
      </c>
      <c r="J8" s="652" t="s">
        <v>408</v>
      </c>
      <c r="K8" s="789" t="s">
        <v>314</v>
      </c>
      <c r="L8" s="652" t="s">
        <v>419</v>
      </c>
      <c r="M8" s="789" t="s">
        <v>334</v>
      </c>
      <c r="N8" s="652" t="s">
        <v>430</v>
      </c>
      <c r="O8" s="789" t="s">
        <v>335</v>
      </c>
    </row>
    <row r="9" spans="2:15" x14ac:dyDescent="0.2">
      <c r="B9" s="737" t="s">
        <v>134</v>
      </c>
      <c r="C9" s="658" t="s">
        <v>144</v>
      </c>
      <c r="D9" s="782" t="s">
        <v>376</v>
      </c>
      <c r="E9" s="784" t="s">
        <v>362</v>
      </c>
      <c r="F9" s="783" t="s">
        <v>388</v>
      </c>
      <c r="G9" s="784" t="s">
        <v>368</v>
      </c>
      <c r="H9" s="737" t="s">
        <v>399</v>
      </c>
      <c r="I9" s="658" t="s">
        <v>324</v>
      </c>
      <c r="J9" s="652" t="s">
        <v>409</v>
      </c>
      <c r="K9" s="789" t="s">
        <v>315</v>
      </c>
      <c r="L9" s="652" t="s">
        <v>420</v>
      </c>
      <c r="M9" s="789" t="s">
        <v>336</v>
      </c>
      <c r="N9" s="652" t="s">
        <v>431</v>
      </c>
      <c r="O9" s="789" t="s">
        <v>337</v>
      </c>
    </row>
    <row r="10" spans="2:15" x14ac:dyDescent="0.2">
      <c r="B10" s="737" t="s">
        <v>131</v>
      </c>
      <c r="C10" s="658" t="s">
        <v>143</v>
      </c>
      <c r="D10" s="782" t="s">
        <v>377</v>
      </c>
      <c r="E10" s="784" t="s">
        <v>352</v>
      </c>
      <c r="F10" s="783" t="s">
        <v>389</v>
      </c>
      <c r="G10" s="784" t="s">
        <v>353</v>
      </c>
      <c r="H10" s="737" t="s">
        <v>400</v>
      </c>
      <c r="I10" s="658" t="s">
        <v>326</v>
      </c>
      <c r="J10" s="652" t="s">
        <v>410</v>
      </c>
      <c r="K10" s="789" t="s">
        <v>317</v>
      </c>
      <c r="L10" s="652" t="s">
        <v>421</v>
      </c>
      <c r="M10" s="789" t="s">
        <v>340</v>
      </c>
      <c r="N10" s="652" t="s">
        <v>432</v>
      </c>
      <c r="O10" s="789" t="s">
        <v>341</v>
      </c>
    </row>
    <row r="11" spans="2:15" x14ac:dyDescent="0.2">
      <c r="B11" s="737" t="s">
        <v>132</v>
      </c>
      <c r="C11" s="658" t="s">
        <v>143</v>
      </c>
      <c r="D11" s="782" t="s">
        <v>378</v>
      </c>
      <c r="E11" s="784" t="s">
        <v>358</v>
      </c>
      <c r="F11" s="783" t="s">
        <v>390</v>
      </c>
      <c r="G11" s="784" t="s">
        <v>367</v>
      </c>
      <c r="H11" s="737" t="s">
        <v>401</v>
      </c>
      <c r="I11" s="658" t="s">
        <v>325</v>
      </c>
      <c r="J11" s="652" t="s">
        <v>411</v>
      </c>
      <c r="K11" s="789" t="s">
        <v>316</v>
      </c>
      <c r="L11" s="652" t="s">
        <v>422</v>
      </c>
      <c r="M11" s="789" t="s">
        <v>338</v>
      </c>
      <c r="N11" s="652" t="s">
        <v>433</v>
      </c>
      <c r="O11" s="789" t="s">
        <v>339</v>
      </c>
    </row>
    <row r="12" spans="2:15" x14ac:dyDescent="0.2">
      <c r="B12" s="737" t="s">
        <v>191</v>
      </c>
      <c r="C12" s="658" t="s">
        <v>143</v>
      </c>
      <c r="D12" s="782" t="s">
        <v>379</v>
      </c>
      <c r="E12" s="784" t="s">
        <v>357</v>
      </c>
      <c r="F12" s="783" t="s">
        <v>391</v>
      </c>
      <c r="G12" s="784" t="s">
        <v>366</v>
      </c>
      <c r="H12" s="737" t="s">
        <v>400</v>
      </c>
      <c r="I12" s="658" t="s">
        <v>326</v>
      </c>
      <c r="J12" s="652" t="s">
        <v>412</v>
      </c>
      <c r="K12" s="789" t="s">
        <v>321</v>
      </c>
      <c r="L12" s="652" t="s">
        <v>423</v>
      </c>
      <c r="M12" s="789" t="s">
        <v>342</v>
      </c>
      <c r="N12" s="652" t="s">
        <v>434</v>
      </c>
      <c r="O12" s="789" t="s">
        <v>343</v>
      </c>
    </row>
    <row r="13" spans="2:15" x14ac:dyDescent="0.2">
      <c r="B13" s="737" t="s">
        <v>350</v>
      </c>
      <c r="C13" s="658" t="s">
        <v>143</v>
      </c>
      <c r="D13" s="782" t="s">
        <v>380</v>
      </c>
      <c r="E13" s="784" t="s">
        <v>356</v>
      </c>
      <c r="F13" s="783" t="s">
        <v>392</v>
      </c>
      <c r="G13" s="784" t="s">
        <v>365</v>
      </c>
      <c r="H13" s="737" t="s">
        <v>402</v>
      </c>
      <c r="I13" s="658" t="s">
        <v>329</v>
      </c>
      <c r="J13" s="652" t="s">
        <v>413</v>
      </c>
      <c r="K13" s="789" t="s">
        <v>320</v>
      </c>
      <c r="L13" s="652" t="s">
        <v>424</v>
      </c>
      <c r="M13" s="789" t="s">
        <v>346</v>
      </c>
      <c r="N13" s="652" t="s">
        <v>435</v>
      </c>
      <c r="O13" s="789" t="s">
        <v>347</v>
      </c>
    </row>
    <row r="14" spans="2:15" x14ac:dyDescent="0.2">
      <c r="B14" s="737" t="s">
        <v>283</v>
      </c>
      <c r="C14" s="658" t="s">
        <v>143</v>
      </c>
      <c r="D14" s="737" t="s">
        <v>381</v>
      </c>
      <c r="E14" s="789" t="s">
        <v>355</v>
      </c>
      <c r="F14" s="783" t="s">
        <v>393</v>
      </c>
      <c r="G14" s="784" t="s">
        <v>364</v>
      </c>
      <c r="H14" s="737" t="s">
        <v>403</v>
      </c>
      <c r="I14" s="658" t="s">
        <v>327</v>
      </c>
      <c r="J14" s="652" t="s">
        <v>414</v>
      </c>
      <c r="K14" s="789" t="s">
        <v>318</v>
      </c>
      <c r="L14" s="652" t="s">
        <v>425</v>
      </c>
      <c r="M14" s="789" t="s">
        <v>344</v>
      </c>
      <c r="N14" s="652" t="s">
        <v>436</v>
      </c>
      <c r="O14" s="789" t="s">
        <v>345</v>
      </c>
    </row>
    <row r="15" spans="2:15" x14ac:dyDescent="0.2">
      <c r="B15" s="739" t="s">
        <v>308</v>
      </c>
      <c r="C15" s="660" t="s">
        <v>143</v>
      </c>
      <c r="D15" s="739" t="s">
        <v>382</v>
      </c>
      <c r="E15" s="660" t="s">
        <v>354</v>
      </c>
      <c r="F15" s="786" t="s">
        <v>394</v>
      </c>
      <c r="G15" s="787" t="s">
        <v>363</v>
      </c>
      <c r="H15" s="739" t="s">
        <v>404</v>
      </c>
      <c r="I15" s="660" t="s">
        <v>328</v>
      </c>
      <c r="J15" s="791" t="s">
        <v>415</v>
      </c>
      <c r="K15" s="792" t="s">
        <v>319</v>
      </c>
      <c r="L15" s="791" t="s">
        <v>426</v>
      </c>
      <c r="M15" s="792" t="s">
        <v>348</v>
      </c>
      <c r="N15" s="791" t="s">
        <v>437</v>
      </c>
      <c r="O15" s="792" t="s">
        <v>349</v>
      </c>
    </row>
    <row r="18" spans="2:7" x14ac:dyDescent="0.2">
      <c r="D18" s="1091" t="s">
        <v>127</v>
      </c>
      <c r="E18" s="1092"/>
      <c r="F18" s="1092"/>
      <c r="G18" s="1093"/>
    </row>
    <row r="19" spans="2:7" x14ac:dyDescent="0.2">
      <c r="B19" s="1064" t="s">
        <v>306</v>
      </c>
      <c r="C19" s="1066"/>
      <c r="D19" s="1064" t="s">
        <v>81</v>
      </c>
      <c r="E19" s="1065"/>
      <c r="F19" s="1064" t="s">
        <v>82</v>
      </c>
      <c r="G19" s="1066"/>
    </row>
    <row r="20" spans="2:7" x14ac:dyDescent="0.2">
      <c r="B20" s="737"/>
      <c r="C20" s="658" t="s">
        <v>309</v>
      </c>
      <c r="D20" s="737" t="s">
        <v>372</v>
      </c>
      <c r="E20" s="653" t="s">
        <v>310</v>
      </c>
      <c r="F20" s="737" t="s">
        <v>372</v>
      </c>
      <c r="G20" s="658" t="s">
        <v>310</v>
      </c>
    </row>
    <row r="21" spans="2:7" x14ac:dyDescent="0.2">
      <c r="B21" s="737" t="s">
        <v>84</v>
      </c>
      <c r="C21" s="658"/>
      <c r="D21" s="797" t="s">
        <v>383</v>
      </c>
      <c r="E21" s="653" t="s">
        <v>311</v>
      </c>
      <c r="F21" s="782" t="s">
        <v>384</v>
      </c>
      <c r="G21" s="784" t="s">
        <v>311</v>
      </c>
    </row>
    <row r="22" spans="2:7" x14ac:dyDescent="0.2">
      <c r="B22" s="737" t="s">
        <v>281</v>
      </c>
      <c r="C22" s="784" t="s">
        <v>307</v>
      </c>
      <c r="D22" s="782" t="s">
        <v>373</v>
      </c>
      <c r="E22" s="783" t="s">
        <v>359</v>
      </c>
      <c r="F22" s="782" t="s">
        <v>385</v>
      </c>
      <c r="G22" s="784" t="s">
        <v>371</v>
      </c>
    </row>
    <row r="23" spans="2:7" x14ac:dyDescent="0.2">
      <c r="B23" s="737" t="s">
        <v>129</v>
      </c>
      <c r="C23" s="658" t="s">
        <v>142</v>
      </c>
      <c r="D23" s="782" t="s">
        <v>374</v>
      </c>
      <c r="E23" s="783" t="s">
        <v>360</v>
      </c>
      <c r="F23" s="782" t="s">
        <v>386</v>
      </c>
      <c r="G23" s="784" t="s">
        <v>370</v>
      </c>
    </row>
    <row r="24" spans="2:7" x14ac:dyDescent="0.2">
      <c r="B24" s="737" t="s">
        <v>130</v>
      </c>
      <c r="C24" s="658" t="s">
        <v>142</v>
      </c>
      <c r="D24" s="782" t="s">
        <v>375</v>
      </c>
      <c r="E24" s="783" t="s">
        <v>361</v>
      </c>
      <c r="F24" s="782" t="s">
        <v>387</v>
      </c>
      <c r="G24" s="784" t="s">
        <v>369</v>
      </c>
    </row>
    <row r="25" spans="2:7" x14ac:dyDescent="0.2">
      <c r="B25" s="737" t="s">
        <v>134</v>
      </c>
      <c r="C25" s="658" t="s">
        <v>144</v>
      </c>
      <c r="D25" s="782" t="s">
        <v>376</v>
      </c>
      <c r="E25" s="783" t="s">
        <v>362</v>
      </c>
      <c r="F25" s="782" t="s">
        <v>388</v>
      </c>
      <c r="G25" s="784" t="s">
        <v>368</v>
      </c>
    </row>
    <row r="26" spans="2:7" x14ac:dyDescent="0.2">
      <c r="B26" s="737" t="s">
        <v>131</v>
      </c>
      <c r="C26" s="658" t="s">
        <v>143</v>
      </c>
      <c r="D26" s="782" t="s">
        <v>377</v>
      </c>
      <c r="E26" s="783" t="s">
        <v>352</v>
      </c>
      <c r="F26" s="782" t="s">
        <v>389</v>
      </c>
      <c r="G26" s="784" t="s">
        <v>353</v>
      </c>
    </row>
    <row r="27" spans="2:7" x14ac:dyDescent="0.2">
      <c r="B27" s="737" t="s">
        <v>132</v>
      </c>
      <c r="C27" s="658" t="s">
        <v>143</v>
      </c>
      <c r="D27" s="782" t="s">
        <v>378</v>
      </c>
      <c r="E27" s="783" t="s">
        <v>358</v>
      </c>
      <c r="F27" s="782" t="s">
        <v>390</v>
      </c>
      <c r="G27" s="784" t="s">
        <v>367</v>
      </c>
    </row>
    <row r="28" spans="2:7" x14ac:dyDescent="0.2">
      <c r="B28" s="737" t="s">
        <v>191</v>
      </c>
      <c r="C28" s="658" t="s">
        <v>143</v>
      </c>
      <c r="D28" s="782" t="s">
        <v>379</v>
      </c>
      <c r="E28" s="783" t="s">
        <v>357</v>
      </c>
      <c r="F28" s="782" t="s">
        <v>391</v>
      </c>
      <c r="G28" s="784" t="s">
        <v>366</v>
      </c>
    </row>
    <row r="29" spans="2:7" x14ac:dyDescent="0.2">
      <c r="B29" s="737" t="s">
        <v>350</v>
      </c>
      <c r="C29" s="658" t="s">
        <v>143</v>
      </c>
      <c r="D29" s="782" t="s">
        <v>380</v>
      </c>
      <c r="E29" s="783" t="s">
        <v>356</v>
      </c>
      <c r="F29" s="782" t="s">
        <v>392</v>
      </c>
      <c r="G29" s="784" t="s">
        <v>365</v>
      </c>
    </row>
    <row r="30" spans="2:7" x14ac:dyDescent="0.2">
      <c r="B30" s="737" t="s">
        <v>283</v>
      </c>
      <c r="C30" s="658" t="s">
        <v>143</v>
      </c>
      <c r="D30" s="737" t="s">
        <v>381</v>
      </c>
      <c r="E30" s="652" t="s">
        <v>355</v>
      </c>
      <c r="F30" s="782" t="s">
        <v>393</v>
      </c>
      <c r="G30" s="784" t="s">
        <v>364</v>
      </c>
    </row>
    <row r="31" spans="2:7" x14ac:dyDescent="0.2">
      <c r="B31" s="739" t="s">
        <v>308</v>
      </c>
      <c r="C31" s="660" t="s">
        <v>143</v>
      </c>
      <c r="D31" s="739" t="s">
        <v>382</v>
      </c>
      <c r="E31" s="659" t="s">
        <v>354</v>
      </c>
      <c r="F31" s="785" t="s">
        <v>394</v>
      </c>
      <c r="G31" s="787" t="s">
        <v>363</v>
      </c>
    </row>
    <row r="34" spans="2:7" x14ac:dyDescent="0.2">
      <c r="D34" s="1091" t="s">
        <v>294</v>
      </c>
      <c r="E34" s="1092"/>
      <c r="F34" s="1092"/>
      <c r="G34" s="1093"/>
    </row>
    <row r="35" spans="2:7" x14ac:dyDescent="0.2">
      <c r="B35" s="1064" t="s">
        <v>306</v>
      </c>
      <c r="C35" s="1066"/>
      <c r="D35" s="1064" t="s">
        <v>81</v>
      </c>
      <c r="E35" s="1066"/>
      <c r="F35" s="1051" t="s">
        <v>82</v>
      </c>
      <c r="G35" s="1089"/>
    </row>
    <row r="36" spans="2:7" x14ac:dyDescent="0.2">
      <c r="B36" s="737"/>
      <c r="C36" s="658" t="s">
        <v>309</v>
      </c>
      <c r="D36" s="737" t="s">
        <v>372</v>
      </c>
      <c r="E36" s="658" t="s">
        <v>310</v>
      </c>
      <c r="F36" s="652" t="s">
        <v>372</v>
      </c>
      <c r="G36" s="789" t="s">
        <v>310</v>
      </c>
    </row>
    <row r="37" spans="2:7" x14ac:dyDescent="0.2">
      <c r="B37" s="737" t="s">
        <v>84</v>
      </c>
      <c r="C37" s="658"/>
      <c r="D37" s="737" t="s">
        <v>395</v>
      </c>
      <c r="E37" s="658" t="s">
        <v>311</v>
      </c>
      <c r="F37" s="652" t="s">
        <v>405</v>
      </c>
      <c r="G37" s="789" t="s">
        <v>311</v>
      </c>
    </row>
    <row r="38" spans="2:7" x14ac:dyDescent="0.2">
      <c r="B38" s="737" t="s">
        <v>281</v>
      </c>
      <c r="C38" s="784" t="s">
        <v>307</v>
      </c>
      <c r="D38" s="737" t="s">
        <v>396</v>
      </c>
      <c r="E38" s="658" t="s">
        <v>351</v>
      </c>
      <c r="F38" s="652" t="s">
        <v>406</v>
      </c>
      <c r="G38" s="789" t="s">
        <v>312</v>
      </c>
    </row>
    <row r="39" spans="2:7" x14ac:dyDescent="0.2">
      <c r="B39" s="737" t="s">
        <v>129</v>
      </c>
      <c r="C39" s="658" t="s">
        <v>142</v>
      </c>
      <c r="D39" s="737" t="s">
        <v>397</v>
      </c>
      <c r="E39" s="658" t="s">
        <v>322</v>
      </c>
      <c r="F39" s="652" t="s">
        <v>407</v>
      </c>
      <c r="G39" s="789" t="s">
        <v>313</v>
      </c>
    </row>
    <row r="40" spans="2:7" x14ac:dyDescent="0.2">
      <c r="B40" s="737" t="s">
        <v>130</v>
      </c>
      <c r="C40" s="658" t="s">
        <v>142</v>
      </c>
      <c r="D40" s="737" t="s">
        <v>398</v>
      </c>
      <c r="E40" s="658" t="s">
        <v>323</v>
      </c>
      <c r="F40" s="652" t="s">
        <v>408</v>
      </c>
      <c r="G40" s="789" t="s">
        <v>314</v>
      </c>
    </row>
    <row r="41" spans="2:7" x14ac:dyDescent="0.2">
      <c r="B41" s="737" t="s">
        <v>134</v>
      </c>
      <c r="C41" s="658" t="s">
        <v>144</v>
      </c>
      <c r="D41" s="737" t="s">
        <v>399</v>
      </c>
      <c r="E41" s="658" t="s">
        <v>324</v>
      </c>
      <c r="F41" s="652" t="s">
        <v>409</v>
      </c>
      <c r="G41" s="789" t="s">
        <v>315</v>
      </c>
    </row>
    <row r="42" spans="2:7" x14ac:dyDescent="0.2">
      <c r="B42" s="737" t="s">
        <v>131</v>
      </c>
      <c r="C42" s="658" t="s">
        <v>143</v>
      </c>
      <c r="D42" s="737" t="s">
        <v>400</v>
      </c>
      <c r="E42" s="658" t="s">
        <v>326</v>
      </c>
      <c r="F42" s="652" t="s">
        <v>410</v>
      </c>
      <c r="G42" s="789" t="s">
        <v>317</v>
      </c>
    </row>
    <row r="43" spans="2:7" x14ac:dyDescent="0.2">
      <c r="B43" s="737" t="s">
        <v>132</v>
      </c>
      <c r="C43" s="658" t="s">
        <v>143</v>
      </c>
      <c r="D43" s="737" t="s">
        <v>401</v>
      </c>
      <c r="E43" s="658" t="s">
        <v>325</v>
      </c>
      <c r="F43" s="652" t="s">
        <v>411</v>
      </c>
      <c r="G43" s="789" t="s">
        <v>316</v>
      </c>
    </row>
    <row r="44" spans="2:7" x14ac:dyDescent="0.2">
      <c r="B44" s="737" t="s">
        <v>191</v>
      </c>
      <c r="C44" s="658" t="s">
        <v>143</v>
      </c>
      <c r="D44" s="737" t="s">
        <v>400</v>
      </c>
      <c r="E44" s="658" t="s">
        <v>326</v>
      </c>
      <c r="F44" s="652" t="s">
        <v>412</v>
      </c>
      <c r="G44" s="789" t="s">
        <v>321</v>
      </c>
    </row>
    <row r="45" spans="2:7" x14ac:dyDescent="0.2">
      <c r="B45" s="737" t="s">
        <v>350</v>
      </c>
      <c r="C45" s="658" t="s">
        <v>143</v>
      </c>
      <c r="D45" s="737" t="s">
        <v>402</v>
      </c>
      <c r="E45" s="658" t="s">
        <v>329</v>
      </c>
      <c r="F45" s="652" t="s">
        <v>413</v>
      </c>
      <c r="G45" s="789" t="s">
        <v>320</v>
      </c>
    </row>
    <row r="46" spans="2:7" x14ac:dyDescent="0.2">
      <c r="B46" s="737" t="s">
        <v>283</v>
      </c>
      <c r="C46" s="658" t="s">
        <v>143</v>
      </c>
      <c r="D46" s="737" t="s">
        <v>403</v>
      </c>
      <c r="E46" s="658" t="s">
        <v>327</v>
      </c>
      <c r="F46" s="652" t="s">
        <v>414</v>
      </c>
      <c r="G46" s="789" t="s">
        <v>318</v>
      </c>
    </row>
    <row r="47" spans="2:7" x14ac:dyDescent="0.2">
      <c r="B47" s="737" t="s">
        <v>554</v>
      </c>
      <c r="C47" s="658" t="s">
        <v>143</v>
      </c>
      <c r="D47" s="737" t="s">
        <v>555</v>
      </c>
      <c r="E47" s="658" t="s">
        <v>556</v>
      </c>
      <c r="F47" s="652" t="s">
        <v>557</v>
      </c>
      <c r="G47" s="789" t="s">
        <v>558</v>
      </c>
    </row>
    <row r="48" spans="2:7" x14ac:dyDescent="0.2">
      <c r="B48" s="739" t="s">
        <v>308</v>
      </c>
      <c r="C48" s="660" t="s">
        <v>143</v>
      </c>
      <c r="D48" s="739" t="s">
        <v>404</v>
      </c>
      <c r="E48" s="660" t="s">
        <v>328</v>
      </c>
      <c r="F48" s="791" t="s">
        <v>415</v>
      </c>
      <c r="G48" s="792" t="s">
        <v>319</v>
      </c>
    </row>
    <row r="51" spans="2:7" x14ac:dyDescent="0.2">
      <c r="D51" s="1091" t="s">
        <v>298</v>
      </c>
      <c r="E51" s="1092"/>
      <c r="F51" s="1092"/>
      <c r="G51" s="1093"/>
    </row>
    <row r="52" spans="2:7" x14ac:dyDescent="0.2">
      <c r="B52" s="1064" t="s">
        <v>306</v>
      </c>
      <c r="C52" s="1066"/>
      <c r="D52" s="1065" t="s">
        <v>81</v>
      </c>
      <c r="E52" s="1066"/>
      <c r="F52" s="1051" t="s">
        <v>82</v>
      </c>
      <c r="G52" s="1089"/>
    </row>
    <row r="53" spans="2:7" x14ac:dyDescent="0.2">
      <c r="B53" s="737"/>
      <c r="C53" s="658" t="s">
        <v>309</v>
      </c>
      <c r="D53" s="653" t="s">
        <v>372</v>
      </c>
      <c r="E53" s="658" t="s">
        <v>310</v>
      </c>
      <c r="F53" s="653" t="s">
        <v>372</v>
      </c>
      <c r="G53" s="789" t="s">
        <v>310</v>
      </c>
    </row>
    <row r="54" spans="2:7" x14ac:dyDescent="0.2">
      <c r="B54" s="737" t="s">
        <v>84</v>
      </c>
      <c r="C54" s="658"/>
      <c r="D54" s="652" t="s">
        <v>416</v>
      </c>
      <c r="E54" s="789" t="s">
        <v>311</v>
      </c>
      <c r="F54" s="652" t="s">
        <v>427</v>
      </c>
      <c r="G54" s="789" t="s">
        <v>311</v>
      </c>
    </row>
    <row r="55" spans="2:7" x14ac:dyDescent="0.2">
      <c r="B55" s="737" t="s">
        <v>281</v>
      </c>
      <c r="C55" s="784" t="s">
        <v>307</v>
      </c>
      <c r="D55" s="652" t="s">
        <v>417</v>
      </c>
      <c r="E55" s="789" t="s">
        <v>330</v>
      </c>
      <c r="F55" s="652" t="s">
        <v>428</v>
      </c>
      <c r="G55" s="789" t="s">
        <v>331</v>
      </c>
    </row>
    <row r="56" spans="2:7" x14ac:dyDescent="0.2">
      <c r="B56" s="737" t="s">
        <v>129</v>
      </c>
      <c r="C56" s="658" t="s">
        <v>142</v>
      </c>
      <c r="D56" s="652" t="s">
        <v>418</v>
      </c>
      <c r="E56" s="789" t="s">
        <v>332</v>
      </c>
      <c r="F56" s="652" t="s">
        <v>429</v>
      </c>
      <c r="G56" s="789" t="s">
        <v>333</v>
      </c>
    </row>
    <row r="57" spans="2:7" x14ac:dyDescent="0.2">
      <c r="B57" s="737" t="s">
        <v>130</v>
      </c>
      <c r="C57" s="658" t="s">
        <v>142</v>
      </c>
      <c r="D57" s="652" t="s">
        <v>419</v>
      </c>
      <c r="E57" s="789" t="s">
        <v>334</v>
      </c>
      <c r="F57" s="652" t="s">
        <v>430</v>
      </c>
      <c r="G57" s="789" t="s">
        <v>335</v>
      </c>
    </row>
    <row r="58" spans="2:7" x14ac:dyDescent="0.2">
      <c r="B58" s="737" t="s">
        <v>134</v>
      </c>
      <c r="C58" s="658" t="s">
        <v>144</v>
      </c>
      <c r="D58" s="652" t="s">
        <v>420</v>
      </c>
      <c r="E58" s="789" t="s">
        <v>336</v>
      </c>
      <c r="F58" s="652" t="s">
        <v>431</v>
      </c>
      <c r="G58" s="789" t="s">
        <v>337</v>
      </c>
    </row>
    <row r="59" spans="2:7" x14ac:dyDescent="0.2">
      <c r="B59" s="737" t="s">
        <v>131</v>
      </c>
      <c r="C59" s="658" t="s">
        <v>143</v>
      </c>
      <c r="D59" s="652" t="s">
        <v>421</v>
      </c>
      <c r="E59" s="789" t="s">
        <v>340</v>
      </c>
      <c r="F59" s="652" t="s">
        <v>432</v>
      </c>
      <c r="G59" s="789" t="s">
        <v>341</v>
      </c>
    </row>
    <row r="60" spans="2:7" x14ac:dyDescent="0.2">
      <c r="B60" s="737" t="s">
        <v>132</v>
      </c>
      <c r="C60" s="658" t="s">
        <v>143</v>
      </c>
      <c r="D60" s="652" t="s">
        <v>422</v>
      </c>
      <c r="E60" s="789" t="s">
        <v>338</v>
      </c>
      <c r="F60" s="652" t="s">
        <v>433</v>
      </c>
      <c r="G60" s="789" t="s">
        <v>339</v>
      </c>
    </row>
    <row r="61" spans="2:7" x14ac:dyDescent="0.2">
      <c r="B61" s="737" t="s">
        <v>191</v>
      </c>
      <c r="C61" s="658" t="s">
        <v>143</v>
      </c>
      <c r="D61" s="652" t="s">
        <v>423</v>
      </c>
      <c r="E61" s="789" t="s">
        <v>342</v>
      </c>
      <c r="F61" s="652" t="s">
        <v>434</v>
      </c>
      <c r="G61" s="789" t="s">
        <v>343</v>
      </c>
    </row>
    <row r="62" spans="2:7" x14ac:dyDescent="0.2">
      <c r="B62" s="737" t="s">
        <v>350</v>
      </c>
      <c r="C62" s="658" t="s">
        <v>143</v>
      </c>
      <c r="D62" s="652" t="s">
        <v>424</v>
      </c>
      <c r="E62" s="789" t="s">
        <v>346</v>
      </c>
      <c r="F62" s="652" t="s">
        <v>435</v>
      </c>
      <c r="G62" s="789" t="s">
        <v>347</v>
      </c>
    </row>
    <row r="63" spans="2:7" x14ac:dyDescent="0.2">
      <c r="B63" s="737" t="s">
        <v>283</v>
      </c>
      <c r="C63" s="658" t="s">
        <v>143</v>
      </c>
      <c r="D63" s="652" t="s">
        <v>425</v>
      </c>
      <c r="E63" s="789" t="s">
        <v>344</v>
      </c>
      <c r="F63" s="652" t="s">
        <v>436</v>
      </c>
      <c r="G63" s="789" t="s">
        <v>345</v>
      </c>
    </row>
    <row r="64" spans="2:7" x14ac:dyDescent="0.2">
      <c r="B64" s="739" t="s">
        <v>308</v>
      </c>
      <c r="C64" s="660" t="s">
        <v>143</v>
      </c>
      <c r="D64" s="791" t="s">
        <v>426</v>
      </c>
      <c r="E64" s="792" t="s">
        <v>348</v>
      </c>
      <c r="F64" s="791" t="s">
        <v>437</v>
      </c>
      <c r="G64" s="792" t="s">
        <v>349</v>
      </c>
    </row>
    <row r="67" spans="2:18" x14ac:dyDescent="0.2">
      <c r="D67" s="1050" t="s">
        <v>81</v>
      </c>
      <c r="E67" s="1051"/>
      <c r="F67" s="1051"/>
      <c r="G67" s="1051"/>
      <c r="H67" s="1051"/>
      <c r="I67" s="1089"/>
      <c r="M67" s="1050" t="s">
        <v>82</v>
      </c>
      <c r="N67" s="1051"/>
      <c r="O67" s="1051"/>
      <c r="P67" s="1051"/>
      <c r="Q67" s="1051"/>
      <c r="R67" s="1089"/>
    </row>
    <row r="68" spans="2:18" x14ac:dyDescent="0.2">
      <c r="B68" s="1064" t="s">
        <v>306</v>
      </c>
      <c r="C68" s="1066"/>
      <c r="D68" s="1064" t="s">
        <v>127</v>
      </c>
      <c r="E68" s="1066"/>
      <c r="F68" s="1064" t="s">
        <v>294</v>
      </c>
      <c r="G68" s="1066"/>
      <c r="H68" s="1065" t="s">
        <v>298</v>
      </c>
      <c r="I68" s="1066"/>
      <c r="K68" s="1064" t="s">
        <v>306</v>
      </c>
      <c r="L68" s="1066"/>
      <c r="M68" s="1064" t="s">
        <v>127</v>
      </c>
      <c r="N68" s="1066"/>
      <c r="O68" s="1064" t="s">
        <v>294</v>
      </c>
      <c r="P68" s="1066"/>
      <c r="Q68" s="1065" t="s">
        <v>298</v>
      </c>
      <c r="R68" s="1066"/>
    </row>
    <row r="69" spans="2:18" x14ac:dyDescent="0.2">
      <c r="B69" s="737"/>
      <c r="C69" s="658" t="s">
        <v>309</v>
      </c>
      <c r="D69" s="737" t="s">
        <v>372</v>
      </c>
      <c r="E69" s="658" t="s">
        <v>310</v>
      </c>
      <c r="F69" s="737" t="s">
        <v>372</v>
      </c>
      <c r="G69" s="658" t="s">
        <v>310</v>
      </c>
      <c r="H69" s="653" t="s">
        <v>372</v>
      </c>
      <c r="I69" s="658" t="s">
        <v>310</v>
      </c>
      <c r="K69" s="737"/>
      <c r="L69" s="658" t="s">
        <v>309</v>
      </c>
      <c r="M69" s="653" t="s">
        <v>372</v>
      </c>
      <c r="N69" s="658" t="s">
        <v>310</v>
      </c>
      <c r="O69" s="652" t="s">
        <v>372</v>
      </c>
      <c r="P69" s="789" t="s">
        <v>310</v>
      </c>
      <c r="Q69" s="653" t="s">
        <v>372</v>
      </c>
      <c r="R69" s="789" t="s">
        <v>310</v>
      </c>
    </row>
    <row r="70" spans="2:18" x14ac:dyDescent="0.2">
      <c r="B70" s="737" t="s">
        <v>84</v>
      </c>
      <c r="C70" s="658"/>
      <c r="D70" s="797" t="s">
        <v>383</v>
      </c>
      <c r="E70" s="658" t="s">
        <v>311</v>
      </c>
      <c r="F70" s="737" t="s">
        <v>395</v>
      </c>
      <c r="G70" s="658" t="s">
        <v>311</v>
      </c>
      <c r="H70" s="652" t="s">
        <v>416</v>
      </c>
      <c r="I70" s="789" t="s">
        <v>311</v>
      </c>
      <c r="K70" s="737" t="s">
        <v>84</v>
      </c>
      <c r="L70" s="658"/>
      <c r="M70" s="783" t="s">
        <v>384</v>
      </c>
      <c r="N70" s="784" t="s">
        <v>311</v>
      </c>
      <c r="O70" s="652" t="s">
        <v>405</v>
      </c>
      <c r="P70" s="789" t="s">
        <v>311</v>
      </c>
      <c r="Q70" s="652" t="s">
        <v>427</v>
      </c>
      <c r="R70" s="789" t="s">
        <v>311</v>
      </c>
    </row>
    <row r="71" spans="2:18" x14ac:dyDescent="0.2">
      <c r="B71" s="737" t="s">
        <v>281</v>
      </c>
      <c r="C71" s="784" t="s">
        <v>307</v>
      </c>
      <c r="D71" s="782" t="s">
        <v>373</v>
      </c>
      <c r="E71" s="784" t="s">
        <v>359</v>
      </c>
      <c r="F71" s="737" t="s">
        <v>396</v>
      </c>
      <c r="G71" s="658" t="s">
        <v>351</v>
      </c>
      <c r="H71" s="652" t="s">
        <v>417</v>
      </c>
      <c r="I71" s="789" t="s">
        <v>330</v>
      </c>
      <c r="K71" s="737" t="s">
        <v>281</v>
      </c>
      <c r="L71" s="784" t="s">
        <v>307</v>
      </c>
      <c r="M71" s="783" t="s">
        <v>385</v>
      </c>
      <c r="N71" s="784" t="s">
        <v>371</v>
      </c>
      <c r="O71" s="652" t="s">
        <v>406</v>
      </c>
      <c r="P71" s="789" t="s">
        <v>312</v>
      </c>
      <c r="Q71" s="652" t="s">
        <v>428</v>
      </c>
      <c r="R71" s="789" t="s">
        <v>331</v>
      </c>
    </row>
    <row r="72" spans="2:18" x14ac:dyDescent="0.2">
      <c r="B72" s="737" t="s">
        <v>129</v>
      </c>
      <c r="C72" s="658" t="s">
        <v>142</v>
      </c>
      <c r="D72" s="782" t="s">
        <v>374</v>
      </c>
      <c r="E72" s="784" t="s">
        <v>360</v>
      </c>
      <c r="F72" s="737" t="s">
        <v>397</v>
      </c>
      <c r="G72" s="658" t="s">
        <v>322</v>
      </c>
      <c r="H72" s="652" t="s">
        <v>418</v>
      </c>
      <c r="I72" s="789" t="s">
        <v>332</v>
      </c>
      <c r="K72" s="737" t="s">
        <v>129</v>
      </c>
      <c r="L72" s="658" t="s">
        <v>142</v>
      </c>
      <c r="M72" s="783" t="s">
        <v>386</v>
      </c>
      <c r="N72" s="784" t="s">
        <v>370</v>
      </c>
      <c r="O72" s="652" t="s">
        <v>407</v>
      </c>
      <c r="P72" s="789" t="s">
        <v>313</v>
      </c>
      <c r="Q72" s="652" t="s">
        <v>429</v>
      </c>
      <c r="R72" s="789" t="s">
        <v>333</v>
      </c>
    </row>
    <row r="73" spans="2:18" x14ac:dyDescent="0.2">
      <c r="B73" s="737" t="s">
        <v>130</v>
      </c>
      <c r="C73" s="658" t="s">
        <v>142</v>
      </c>
      <c r="D73" s="782" t="s">
        <v>375</v>
      </c>
      <c r="E73" s="784" t="s">
        <v>361</v>
      </c>
      <c r="F73" s="737" t="s">
        <v>398</v>
      </c>
      <c r="G73" s="658" t="s">
        <v>323</v>
      </c>
      <c r="H73" s="652" t="s">
        <v>419</v>
      </c>
      <c r="I73" s="789" t="s">
        <v>334</v>
      </c>
      <c r="K73" s="737" t="s">
        <v>130</v>
      </c>
      <c r="L73" s="658" t="s">
        <v>142</v>
      </c>
      <c r="M73" s="783" t="s">
        <v>387</v>
      </c>
      <c r="N73" s="784" t="s">
        <v>369</v>
      </c>
      <c r="O73" s="652" t="s">
        <v>408</v>
      </c>
      <c r="P73" s="789" t="s">
        <v>314</v>
      </c>
      <c r="Q73" s="652" t="s">
        <v>430</v>
      </c>
      <c r="R73" s="789" t="s">
        <v>335</v>
      </c>
    </row>
    <row r="74" spans="2:18" x14ac:dyDescent="0.2">
      <c r="B74" s="737" t="s">
        <v>134</v>
      </c>
      <c r="C74" s="658" t="s">
        <v>144</v>
      </c>
      <c r="D74" s="782" t="s">
        <v>376</v>
      </c>
      <c r="E74" s="784" t="s">
        <v>362</v>
      </c>
      <c r="F74" s="737" t="s">
        <v>399</v>
      </c>
      <c r="G74" s="658" t="s">
        <v>324</v>
      </c>
      <c r="H74" s="652" t="s">
        <v>420</v>
      </c>
      <c r="I74" s="789" t="s">
        <v>336</v>
      </c>
      <c r="K74" s="737" t="s">
        <v>134</v>
      </c>
      <c r="L74" s="658" t="s">
        <v>144</v>
      </c>
      <c r="M74" s="783" t="s">
        <v>388</v>
      </c>
      <c r="N74" s="784" t="s">
        <v>368</v>
      </c>
      <c r="O74" s="652" t="s">
        <v>409</v>
      </c>
      <c r="P74" s="789" t="s">
        <v>315</v>
      </c>
      <c r="Q74" s="652" t="s">
        <v>431</v>
      </c>
      <c r="R74" s="789" t="s">
        <v>337</v>
      </c>
    </row>
    <row r="75" spans="2:18" x14ac:dyDescent="0.2">
      <c r="B75" s="737" t="s">
        <v>131</v>
      </c>
      <c r="C75" s="658" t="s">
        <v>143</v>
      </c>
      <c r="D75" s="782" t="s">
        <v>377</v>
      </c>
      <c r="E75" s="784" t="s">
        <v>352</v>
      </c>
      <c r="F75" s="737" t="s">
        <v>400</v>
      </c>
      <c r="G75" s="658" t="s">
        <v>326</v>
      </c>
      <c r="H75" s="652" t="s">
        <v>421</v>
      </c>
      <c r="I75" s="789" t="s">
        <v>340</v>
      </c>
      <c r="K75" s="737" t="s">
        <v>131</v>
      </c>
      <c r="L75" s="658" t="s">
        <v>143</v>
      </c>
      <c r="M75" s="783" t="s">
        <v>389</v>
      </c>
      <c r="N75" s="784" t="s">
        <v>353</v>
      </c>
      <c r="O75" s="652" t="s">
        <v>410</v>
      </c>
      <c r="P75" s="789" t="s">
        <v>317</v>
      </c>
      <c r="Q75" s="652" t="s">
        <v>432</v>
      </c>
      <c r="R75" s="789" t="s">
        <v>341</v>
      </c>
    </row>
    <row r="76" spans="2:18" x14ac:dyDescent="0.2">
      <c r="B76" s="737" t="s">
        <v>132</v>
      </c>
      <c r="C76" s="658" t="s">
        <v>143</v>
      </c>
      <c r="D76" s="782" t="s">
        <v>378</v>
      </c>
      <c r="E76" s="784" t="s">
        <v>358</v>
      </c>
      <c r="F76" s="737" t="s">
        <v>401</v>
      </c>
      <c r="G76" s="658" t="s">
        <v>325</v>
      </c>
      <c r="H76" s="652" t="s">
        <v>422</v>
      </c>
      <c r="I76" s="789" t="s">
        <v>338</v>
      </c>
      <c r="K76" s="737" t="s">
        <v>132</v>
      </c>
      <c r="L76" s="658" t="s">
        <v>143</v>
      </c>
      <c r="M76" s="783" t="s">
        <v>390</v>
      </c>
      <c r="N76" s="784" t="s">
        <v>367</v>
      </c>
      <c r="O76" s="652" t="s">
        <v>411</v>
      </c>
      <c r="P76" s="789" t="s">
        <v>316</v>
      </c>
      <c r="Q76" s="652" t="s">
        <v>433</v>
      </c>
      <c r="R76" s="789" t="s">
        <v>339</v>
      </c>
    </row>
    <row r="77" spans="2:18" x14ac:dyDescent="0.2">
      <c r="B77" s="737" t="s">
        <v>191</v>
      </c>
      <c r="C77" s="658" t="s">
        <v>143</v>
      </c>
      <c r="D77" s="782" t="s">
        <v>379</v>
      </c>
      <c r="E77" s="784" t="s">
        <v>357</v>
      </c>
      <c r="F77" s="737" t="s">
        <v>400</v>
      </c>
      <c r="G77" s="658" t="s">
        <v>326</v>
      </c>
      <c r="H77" s="652" t="s">
        <v>423</v>
      </c>
      <c r="I77" s="789" t="s">
        <v>342</v>
      </c>
      <c r="K77" s="737" t="s">
        <v>191</v>
      </c>
      <c r="L77" s="658" t="s">
        <v>143</v>
      </c>
      <c r="M77" s="783" t="s">
        <v>391</v>
      </c>
      <c r="N77" s="784" t="s">
        <v>366</v>
      </c>
      <c r="O77" s="652" t="s">
        <v>412</v>
      </c>
      <c r="P77" s="789" t="s">
        <v>321</v>
      </c>
      <c r="Q77" s="652" t="s">
        <v>434</v>
      </c>
      <c r="R77" s="789" t="s">
        <v>343</v>
      </c>
    </row>
    <row r="78" spans="2:18" x14ac:dyDescent="0.2">
      <c r="B78" s="737" t="s">
        <v>350</v>
      </c>
      <c r="C78" s="658" t="s">
        <v>143</v>
      </c>
      <c r="D78" s="782" t="s">
        <v>380</v>
      </c>
      <c r="E78" s="784" t="s">
        <v>356</v>
      </c>
      <c r="F78" s="737" t="s">
        <v>402</v>
      </c>
      <c r="G78" s="658" t="s">
        <v>329</v>
      </c>
      <c r="H78" s="652" t="s">
        <v>424</v>
      </c>
      <c r="I78" s="789" t="s">
        <v>346</v>
      </c>
      <c r="K78" s="737" t="s">
        <v>350</v>
      </c>
      <c r="L78" s="658" t="s">
        <v>143</v>
      </c>
      <c r="M78" s="783" t="s">
        <v>392</v>
      </c>
      <c r="N78" s="784" t="s">
        <v>365</v>
      </c>
      <c r="O78" s="652" t="s">
        <v>413</v>
      </c>
      <c r="P78" s="789" t="s">
        <v>320</v>
      </c>
      <c r="Q78" s="652" t="s">
        <v>435</v>
      </c>
      <c r="R78" s="789" t="s">
        <v>347</v>
      </c>
    </row>
    <row r="79" spans="2:18" x14ac:dyDescent="0.2">
      <c r="B79" s="737" t="s">
        <v>283</v>
      </c>
      <c r="C79" s="658" t="s">
        <v>143</v>
      </c>
      <c r="D79" s="737" t="s">
        <v>381</v>
      </c>
      <c r="E79" s="652" t="s">
        <v>355</v>
      </c>
      <c r="F79" s="737" t="s">
        <v>403</v>
      </c>
      <c r="G79" s="658" t="s">
        <v>327</v>
      </c>
      <c r="H79" s="652" t="s">
        <v>425</v>
      </c>
      <c r="I79" s="789" t="s">
        <v>344</v>
      </c>
      <c r="K79" s="737" t="s">
        <v>283</v>
      </c>
      <c r="L79" s="658" t="s">
        <v>143</v>
      </c>
      <c r="M79" s="783" t="s">
        <v>393</v>
      </c>
      <c r="N79" s="784" t="s">
        <v>364</v>
      </c>
      <c r="O79" s="652" t="s">
        <v>414</v>
      </c>
      <c r="P79" s="789" t="s">
        <v>318</v>
      </c>
      <c r="Q79" s="652" t="s">
        <v>436</v>
      </c>
      <c r="R79" s="789" t="s">
        <v>345</v>
      </c>
    </row>
    <row r="80" spans="2:18" x14ac:dyDescent="0.2">
      <c r="B80" s="739" t="s">
        <v>308</v>
      </c>
      <c r="C80" s="660" t="s">
        <v>143</v>
      </c>
      <c r="D80" s="739" t="s">
        <v>382</v>
      </c>
      <c r="E80" s="660" t="s">
        <v>354</v>
      </c>
      <c r="F80" s="739" t="s">
        <v>404</v>
      </c>
      <c r="G80" s="660" t="s">
        <v>328</v>
      </c>
      <c r="H80" s="791" t="s">
        <v>426</v>
      </c>
      <c r="I80" s="792" t="s">
        <v>348</v>
      </c>
      <c r="K80" s="739" t="s">
        <v>308</v>
      </c>
      <c r="L80" s="660" t="s">
        <v>143</v>
      </c>
      <c r="M80" s="786" t="s">
        <v>394</v>
      </c>
      <c r="N80" s="787" t="s">
        <v>363</v>
      </c>
      <c r="O80" s="791" t="s">
        <v>415</v>
      </c>
      <c r="P80" s="792" t="s">
        <v>319</v>
      </c>
      <c r="Q80" s="791" t="s">
        <v>437</v>
      </c>
      <c r="R80" s="792" t="s">
        <v>349</v>
      </c>
    </row>
    <row r="83" spans="3:16" x14ac:dyDescent="0.2">
      <c r="C83" s="661" t="s">
        <v>150</v>
      </c>
      <c r="D83" s="1076" t="s">
        <v>184</v>
      </c>
      <c r="E83" s="1077"/>
      <c r="I83" s="1090" t="s">
        <v>294</v>
      </c>
      <c r="J83" s="1090"/>
      <c r="K83" s="1090" t="s">
        <v>298</v>
      </c>
      <c r="L83" s="1090"/>
    </row>
    <row r="84" spans="3:16" ht="17" thickBot="1" x14ac:dyDescent="0.25">
      <c r="C84" s="766" t="s">
        <v>73</v>
      </c>
      <c r="D84" s="765" t="s">
        <v>81</v>
      </c>
      <c r="E84" s="682" t="s">
        <v>82</v>
      </c>
      <c r="G84" s="1088" t="s">
        <v>306</v>
      </c>
      <c r="H84" s="1088"/>
      <c r="I84" s="857" t="s">
        <v>145</v>
      </c>
      <c r="J84" s="857" t="s">
        <v>151</v>
      </c>
      <c r="K84" s="857" t="s">
        <v>145</v>
      </c>
      <c r="L84" s="857" t="s">
        <v>151</v>
      </c>
      <c r="M84" s="856"/>
      <c r="N84" s="856"/>
      <c r="O84" s="856"/>
      <c r="P84" s="856"/>
    </row>
    <row r="85" spans="3:16" ht="18" thickTop="1" thickBot="1" x14ac:dyDescent="0.25">
      <c r="C85" s="665">
        <v>5</v>
      </c>
      <c r="D85" s="690">
        <v>17.55</v>
      </c>
      <c r="E85" s="691">
        <v>19.866666666666667</v>
      </c>
      <c r="G85" s="858"/>
      <c r="H85" s="858" t="s">
        <v>309</v>
      </c>
      <c r="I85" s="858" t="s">
        <v>310</v>
      </c>
      <c r="J85" s="859" t="s">
        <v>310</v>
      </c>
      <c r="K85" s="858" t="s">
        <v>310</v>
      </c>
      <c r="L85" s="859" t="s">
        <v>310</v>
      </c>
    </row>
    <row r="86" spans="3:16" x14ac:dyDescent="0.2">
      <c r="C86" s="667">
        <v>12</v>
      </c>
      <c r="D86" s="698">
        <v>19.166666666666664</v>
      </c>
      <c r="E86" s="699">
        <v>18.133333333333336</v>
      </c>
      <c r="G86" s="653" t="s">
        <v>84</v>
      </c>
      <c r="H86" s="653"/>
      <c r="I86" s="653" t="s">
        <v>311</v>
      </c>
      <c r="J86" s="652" t="s">
        <v>311</v>
      </c>
      <c r="K86" s="652" t="s">
        <v>311</v>
      </c>
      <c r="L86" s="652" t="s">
        <v>311</v>
      </c>
    </row>
    <row r="87" spans="3:16" x14ac:dyDescent="0.2">
      <c r="C87" s="667">
        <v>19</v>
      </c>
      <c r="D87" s="698">
        <v>21.1</v>
      </c>
      <c r="E87" s="699">
        <v>22.56666666666667</v>
      </c>
      <c r="G87" s="653" t="s">
        <v>281</v>
      </c>
      <c r="H87" s="783" t="s">
        <v>307</v>
      </c>
      <c r="I87" s="653" t="s">
        <v>351</v>
      </c>
      <c r="J87" s="652" t="s">
        <v>312</v>
      </c>
      <c r="K87" s="652" t="s">
        <v>330</v>
      </c>
      <c r="L87" s="652" t="s">
        <v>331</v>
      </c>
    </row>
    <row r="88" spans="3:16" x14ac:dyDescent="0.2">
      <c r="C88" s="669">
        <v>26</v>
      </c>
      <c r="D88" s="706">
        <v>21.150000000000002</v>
      </c>
      <c r="E88" s="707">
        <v>20.299999999999997</v>
      </c>
      <c r="G88" s="653" t="s">
        <v>129</v>
      </c>
      <c r="H88" s="653" t="s">
        <v>142</v>
      </c>
      <c r="I88" s="653" t="s">
        <v>322</v>
      </c>
      <c r="J88" s="652" t="s">
        <v>313</v>
      </c>
      <c r="K88" s="652" t="s">
        <v>332</v>
      </c>
      <c r="L88" s="652" t="s">
        <v>333</v>
      </c>
    </row>
    <row r="89" spans="3:16" x14ac:dyDescent="0.2">
      <c r="C89" s="665">
        <v>33</v>
      </c>
      <c r="D89" s="709">
        <v>20.25</v>
      </c>
      <c r="E89" s="709">
        <v>19.633333333333333</v>
      </c>
      <c r="G89" s="653" t="s">
        <v>130</v>
      </c>
      <c r="H89" s="653" t="s">
        <v>142</v>
      </c>
      <c r="I89" s="653" t="s">
        <v>323</v>
      </c>
      <c r="J89" s="652" t="s">
        <v>314</v>
      </c>
      <c r="K89" s="652" t="s">
        <v>334</v>
      </c>
      <c r="L89" s="652" t="s">
        <v>335</v>
      </c>
    </row>
    <row r="90" spans="3:16" x14ac:dyDescent="0.2">
      <c r="C90" s="667">
        <v>40</v>
      </c>
      <c r="D90" s="709">
        <v>20.666666666666668</v>
      </c>
      <c r="E90" s="709">
        <v>21</v>
      </c>
      <c r="G90" s="653" t="s">
        <v>134</v>
      </c>
      <c r="H90" s="653" t="s">
        <v>144</v>
      </c>
      <c r="I90" s="653" t="s">
        <v>324</v>
      </c>
      <c r="J90" s="652" t="s">
        <v>315</v>
      </c>
      <c r="K90" s="652" t="s">
        <v>336</v>
      </c>
      <c r="L90" s="652" t="s">
        <v>337</v>
      </c>
    </row>
    <row r="91" spans="3:16" x14ac:dyDescent="0.2">
      <c r="C91" s="671">
        <v>61</v>
      </c>
      <c r="D91" s="690">
        <v>38</v>
      </c>
      <c r="E91" s="727">
        <v>27.333333333333332</v>
      </c>
      <c r="G91" s="653" t="s">
        <v>131</v>
      </c>
      <c r="H91" s="653" t="s">
        <v>143</v>
      </c>
      <c r="I91" s="653" t="s">
        <v>326</v>
      </c>
      <c r="J91" s="652" t="s">
        <v>317</v>
      </c>
      <c r="K91" s="652" t="s">
        <v>340</v>
      </c>
      <c r="L91" s="652" t="s">
        <v>341</v>
      </c>
    </row>
    <row r="92" spans="3:16" x14ac:dyDescent="0.2">
      <c r="C92" s="672">
        <v>68</v>
      </c>
      <c r="D92" s="698">
        <v>29.333333333333332</v>
      </c>
      <c r="E92" s="709">
        <v>21.333333333333332</v>
      </c>
      <c r="G92" s="653" t="s">
        <v>132</v>
      </c>
      <c r="H92" s="653" t="s">
        <v>143</v>
      </c>
      <c r="I92" s="653" t="s">
        <v>325</v>
      </c>
      <c r="J92" s="652" t="s">
        <v>316</v>
      </c>
      <c r="K92" s="652" t="s">
        <v>338</v>
      </c>
      <c r="L92" s="652" t="s">
        <v>339</v>
      </c>
    </row>
    <row r="93" spans="3:16" x14ac:dyDescent="0.2">
      <c r="C93" s="673">
        <v>75</v>
      </c>
      <c r="D93" s="698">
        <v>42.333333333333336</v>
      </c>
      <c r="E93" s="709">
        <v>25</v>
      </c>
      <c r="G93" s="653" t="s">
        <v>191</v>
      </c>
      <c r="H93" s="653" t="s">
        <v>143</v>
      </c>
      <c r="I93" s="653" t="s">
        <v>326</v>
      </c>
      <c r="J93" s="652" t="s">
        <v>321</v>
      </c>
      <c r="K93" s="652" t="s">
        <v>342</v>
      </c>
      <c r="L93" s="652" t="s">
        <v>343</v>
      </c>
    </row>
    <row r="94" spans="3:16" x14ac:dyDescent="0.2">
      <c r="C94" s="674">
        <v>82</v>
      </c>
      <c r="D94" s="706">
        <v>35.666666666666664</v>
      </c>
      <c r="E94" s="736">
        <v>29</v>
      </c>
      <c r="G94" s="653" t="s">
        <v>350</v>
      </c>
      <c r="H94" s="653" t="s">
        <v>143</v>
      </c>
      <c r="I94" s="653" t="s">
        <v>329</v>
      </c>
      <c r="J94" s="652" t="s">
        <v>320</v>
      </c>
      <c r="K94" s="652" t="s">
        <v>346</v>
      </c>
      <c r="L94" s="652" t="s">
        <v>347</v>
      </c>
    </row>
    <row r="95" spans="3:16" x14ac:dyDescent="0.2">
      <c r="C95" s="675">
        <v>89</v>
      </c>
      <c r="D95" s="709">
        <v>34.666666666666664</v>
      </c>
      <c r="E95" s="709">
        <v>31</v>
      </c>
      <c r="G95" s="653" t="s">
        <v>283</v>
      </c>
      <c r="H95" s="653" t="s">
        <v>143</v>
      </c>
      <c r="I95" s="653" t="s">
        <v>327</v>
      </c>
      <c r="J95" s="652" t="s">
        <v>318</v>
      </c>
      <c r="K95" s="652" t="s">
        <v>344</v>
      </c>
      <c r="L95" s="652" t="s">
        <v>345</v>
      </c>
    </row>
    <row r="96" spans="3:16" ht="17" thickBot="1" x14ac:dyDescent="0.25">
      <c r="C96" s="673">
        <v>96</v>
      </c>
      <c r="D96" s="709">
        <v>34.333333333333336</v>
      </c>
      <c r="E96" s="709">
        <v>30.333333333333332</v>
      </c>
      <c r="G96" s="860" t="s">
        <v>308</v>
      </c>
      <c r="H96" s="860" t="s">
        <v>143</v>
      </c>
      <c r="I96" s="860" t="s">
        <v>328</v>
      </c>
      <c r="J96" s="855" t="s">
        <v>319</v>
      </c>
      <c r="K96" s="855" t="s">
        <v>348</v>
      </c>
      <c r="L96" s="855" t="s">
        <v>349</v>
      </c>
    </row>
    <row r="97" spans="3:5" x14ac:dyDescent="0.2">
      <c r="C97" s="673">
        <v>103</v>
      </c>
      <c r="D97" s="698">
        <v>35.666666666666664</v>
      </c>
      <c r="E97" s="709">
        <v>29</v>
      </c>
    </row>
    <row r="98" spans="3:5" x14ac:dyDescent="0.2">
      <c r="C98" s="674">
        <v>110</v>
      </c>
      <c r="D98" s="706">
        <v>34.666666666666664</v>
      </c>
      <c r="E98" s="736">
        <v>31</v>
      </c>
    </row>
    <row r="99" spans="3:5" x14ac:dyDescent="0.2">
      <c r="C99" s="675">
        <v>117</v>
      </c>
      <c r="D99" s="690">
        <v>34.333333333333336</v>
      </c>
      <c r="E99" s="727">
        <v>30.3333333333333</v>
      </c>
    </row>
    <row r="100" spans="3:5" x14ac:dyDescent="0.2">
      <c r="C100" s="673">
        <v>124</v>
      </c>
      <c r="D100" s="709">
        <v>42</v>
      </c>
      <c r="E100" s="709">
        <v>30.6666666666667</v>
      </c>
    </row>
    <row r="101" spans="3:5" x14ac:dyDescent="0.2">
      <c r="C101" s="673">
        <v>131</v>
      </c>
      <c r="D101" s="709">
        <v>54</v>
      </c>
      <c r="E101" s="709">
        <v>46</v>
      </c>
    </row>
    <row r="102" spans="3:5" x14ac:dyDescent="0.2">
      <c r="C102" s="674">
        <v>138</v>
      </c>
      <c r="D102" s="706">
        <v>38.666666666666664</v>
      </c>
      <c r="E102" s="736">
        <v>36</v>
      </c>
    </row>
    <row r="103" spans="3:5" x14ac:dyDescent="0.2">
      <c r="C103" s="653" t="s">
        <v>125</v>
      </c>
      <c r="D103" s="839">
        <f>MIN(D85:D102)</f>
        <v>17.55</v>
      </c>
      <c r="E103" s="839">
        <f>MIN(E85:E102)</f>
        <v>18.133333333333336</v>
      </c>
    </row>
    <row r="104" spans="3:5" x14ac:dyDescent="0.2">
      <c r="C104" s="653" t="s">
        <v>126</v>
      </c>
      <c r="D104" s="839">
        <f>MAX(D85:D102)</f>
        <v>54</v>
      </c>
      <c r="E104" s="839">
        <f>MAX(E85:E102)</f>
        <v>46</v>
      </c>
    </row>
    <row r="105" spans="3:5" x14ac:dyDescent="0.2">
      <c r="C105" s="653" t="s">
        <v>177</v>
      </c>
      <c r="D105" s="839">
        <f>AVERAGE(D85:D102)</f>
        <v>31.863888888888894</v>
      </c>
      <c r="E105" s="839">
        <f>AVERAGE(E85:E102)</f>
        <v>27.138888888888889</v>
      </c>
    </row>
    <row r="106" spans="3:5" x14ac:dyDescent="0.2">
      <c r="C106" s="653" t="s">
        <v>88</v>
      </c>
      <c r="D106" s="653">
        <f>_xlfn.STDEV.S(D85:D102)</f>
        <v>10.019205821526828</v>
      </c>
      <c r="E106" s="653">
        <f>_xlfn.STDEV.S(E85:E102)</f>
        <v>7.0203741776896269</v>
      </c>
    </row>
  </sheetData>
  <mergeCells count="36">
    <mergeCell ref="B3:C3"/>
    <mergeCell ref="D2:G2"/>
    <mergeCell ref="H3:I3"/>
    <mergeCell ref="J3:K3"/>
    <mergeCell ref="H2:K2"/>
    <mergeCell ref="L2:O2"/>
    <mergeCell ref="L3:M3"/>
    <mergeCell ref="N3:O3"/>
    <mergeCell ref="D3:E3"/>
    <mergeCell ref="F3:G3"/>
    <mergeCell ref="D51:G51"/>
    <mergeCell ref="D52:E52"/>
    <mergeCell ref="F52:G52"/>
    <mergeCell ref="D18:G18"/>
    <mergeCell ref="B19:C19"/>
    <mergeCell ref="D19:E19"/>
    <mergeCell ref="F19:G19"/>
    <mergeCell ref="B35:C35"/>
    <mergeCell ref="D34:G34"/>
    <mergeCell ref="D35:E35"/>
    <mergeCell ref="F35:G35"/>
    <mergeCell ref="B68:C68"/>
    <mergeCell ref="D68:E68"/>
    <mergeCell ref="F68:G68"/>
    <mergeCell ref="H68:I68"/>
    <mergeCell ref="B52:C52"/>
    <mergeCell ref="G84:H84"/>
    <mergeCell ref="D83:E83"/>
    <mergeCell ref="D67:I67"/>
    <mergeCell ref="M67:R67"/>
    <mergeCell ref="K68:L68"/>
    <mergeCell ref="M68:N68"/>
    <mergeCell ref="O68:P68"/>
    <mergeCell ref="Q68:R68"/>
    <mergeCell ref="I83:J83"/>
    <mergeCell ref="K83:L8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2F5F2-0988-0247-B86B-E9E37F811CE6}">
  <dimension ref="B2:G15"/>
  <sheetViews>
    <sheetView workbookViewId="0">
      <selection activeCell="H19" sqref="H19"/>
    </sheetView>
  </sheetViews>
  <sheetFormatPr baseColWidth="10" defaultRowHeight="16" x14ac:dyDescent="0.2"/>
  <cols>
    <col min="6" max="6" width="11.83203125" bestFit="1" customWidth="1"/>
  </cols>
  <sheetData>
    <row r="2" spans="2:7" x14ac:dyDescent="0.2">
      <c r="B2" s="653"/>
      <c r="C2" s="763" t="s">
        <v>578</v>
      </c>
      <c r="D2" s="1062" t="s">
        <v>579</v>
      </c>
      <c r="E2" s="1063"/>
      <c r="F2" s="1062" t="s">
        <v>580</v>
      </c>
      <c r="G2" s="1063"/>
    </row>
    <row r="3" spans="2:7" x14ac:dyDescent="0.2">
      <c r="B3" s="738" t="s">
        <v>150</v>
      </c>
      <c r="C3" s="750" t="s">
        <v>309</v>
      </c>
      <c r="D3" s="738" t="s">
        <v>372</v>
      </c>
      <c r="E3" s="657" t="s">
        <v>177</v>
      </c>
      <c r="F3" s="738" t="s">
        <v>372</v>
      </c>
      <c r="G3" s="657" t="s">
        <v>177</v>
      </c>
    </row>
    <row r="4" spans="2:7" x14ac:dyDescent="0.2">
      <c r="B4" s="737" t="s">
        <v>84</v>
      </c>
      <c r="C4" s="751"/>
      <c r="D4" s="737" t="s">
        <v>562</v>
      </c>
      <c r="E4" s="658" t="s">
        <v>570</v>
      </c>
      <c r="F4" s="737" t="s">
        <v>582</v>
      </c>
      <c r="G4" s="658"/>
    </row>
    <row r="5" spans="2:7" x14ac:dyDescent="0.2">
      <c r="B5" s="737" t="s">
        <v>350</v>
      </c>
      <c r="C5" s="751" t="s">
        <v>143</v>
      </c>
      <c r="D5" s="737" t="s">
        <v>563</v>
      </c>
      <c r="E5" s="658" t="s">
        <v>571</v>
      </c>
      <c r="F5" s="737" t="s">
        <v>581</v>
      </c>
      <c r="G5" s="658">
        <v>1209</v>
      </c>
    </row>
    <row r="6" spans="2:7" x14ac:dyDescent="0.2">
      <c r="B6" s="737" t="s">
        <v>131</v>
      </c>
      <c r="C6" s="751" t="s">
        <v>143</v>
      </c>
      <c r="D6" s="737" t="s">
        <v>564</v>
      </c>
      <c r="E6" s="658" t="s">
        <v>572</v>
      </c>
      <c r="F6" s="737" t="s">
        <v>583</v>
      </c>
      <c r="G6" s="658">
        <v>4221</v>
      </c>
    </row>
    <row r="7" spans="2:7" x14ac:dyDescent="0.2">
      <c r="B7" s="737" t="s">
        <v>132</v>
      </c>
      <c r="C7" s="751" t="s">
        <v>143</v>
      </c>
      <c r="D7" s="737" t="s">
        <v>565</v>
      </c>
      <c r="E7" s="658" t="s">
        <v>573</v>
      </c>
      <c r="F7" s="737" t="s">
        <v>584</v>
      </c>
      <c r="G7" s="658">
        <v>1164</v>
      </c>
    </row>
    <row r="8" spans="2:7" x14ac:dyDescent="0.2">
      <c r="B8" s="737" t="s">
        <v>559</v>
      </c>
      <c r="C8" s="751" t="s">
        <v>143</v>
      </c>
      <c r="D8" s="737" t="s">
        <v>566</v>
      </c>
      <c r="E8" s="658" t="s">
        <v>574</v>
      </c>
      <c r="F8" s="737" t="s">
        <v>585</v>
      </c>
      <c r="G8" s="658">
        <v>427</v>
      </c>
    </row>
    <row r="9" spans="2:7" x14ac:dyDescent="0.2">
      <c r="B9" s="737" t="s">
        <v>560</v>
      </c>
      <c r="C9" s="751" t="s">
        <v>143</v>
      </c>
      <c r="D9" s="737" t="s">
        <v>567</v>
      </c>
      <c r="E9" s="658" t="s">
        <v>575</v>
      </c>
      <c r="F9" s="737" t="s">
        <v>586</v>
      </c>
      <c r="G9" s="658">
        <v>546</v>
      </c>
    </row>
    <row r="10" spans="2:7" x14ac:dyDescent="0.2">
      <c r="B10" s="737" t="s">
        <v>561</v>
      </c>
      <c r="C10" s="751" t="s">
        <v>143</v>
      </c>
      <c r="D10" s="737" t="s">
        <v>568</v>
      </c>
      <c r="E10" s="658" t="s">
        <v>576</v>
      </c>
      <c r="F10" s="737" t="s">
        <v>587</v>
      </c>
      <c r="G10" s="658" t="s">
        <v>587</v>
      </c>
    </row>
    <row r="11" spans="2:7" x14ac:dyDescent="0.2">
      <c r="B11" s="739" t="s">
        <v>135</v>
      </c>
      <c r="C11" s="752" t="s">
        <v>143</v>
      </c>
      <c r="D11" s="739" t="s">
        <v>569</v>
      </c>
      <c r="E11" s="660" t="s">
        <v>577</v>
      </c>
      <c r="F11" s="739" t="s">
        <v>587</v>
      </c>
      <c r="G11" s="660" t="s">
        <v>587</v>
      </c>
    </row>
    <row r="14" spans="2:7" x14ac:dyDescent="0.2">
      <c r="B14" s="55"/>
      <c r="C14" s="656" t="s">
        <v>588</v>
      </c>
      <c r="D14" s="656" t="s">
        <v>589</v>
      </c>
      <c r="E14" s="657" t="s">
        <v>590</v>
      </c>
    </row>
    <row r="15" spans="2:7" x14ac:dyDescent="0.2">
      <c r="B15" s="46" t="s">
        <v>591</v>
      </c>
      <c r="C15" s="19">
        <v>20</v>
      </c>
      <c r="D15" s="19">
        <v>25</v>
      </c>
      <c r="E15" s="48">
        <v>15</v>
      </c>
    </row>
  </sheetData>
  <mergeCells count="2">
    <mergeCell ref="D2:E2"/>
    <mergeCell ref="F2:G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419E3-C371-7B45-A6AF-B594F21DD655}">
  <dimension ref="C1:V63"/>
  <sheetViews>
    <sheetView topLeftCell="D1" workbookViewId="0">
      <selection activeCell="J30" sqref="J30"/>
    </sheetView>
  </sheetViews>
  <sheetFormatPr baseColWidth="10" defaultColWidth="8.83203125" defaultRowHeight="16" x14ac:dyDescent="0.2"/>
  <cols>
    <col min="3" max="3" width="22.83203125" customWidth="1"/>
    <col min="4" max="4" width="21.33203125" customWidth="1"/>
    <col min="5" max="6" width="17.5" customWidth="1"/>
    <col min="7" max="7" width="18.33203125" customWidth="1"/>
    <col min="8" max="8" width="17.1640625" customWidth="1"/>
    <col min="10" max="10" width="27.5" customWidth="1"/>
    <col min="11" max="11" width="13.5" bestFit="1" customWidth="1"/>
    <col min="12" max="12" width="20" customWidth="1"/>
    <col min="13" max="13" width="13.33203125" customWidth="1"/>
    <col min="14" max="14" width="12.83203125" customWidth="1"/>
    <col min="15" max="15" width="12.1640625" customWidth="1"/>
    <col min="16" max="16" width="13.6640625" customWidth="1"/>
    <col min="17" max="17" width="15" customWidth="1"/>
    <col min="21" max="21" width="23" customWidth="1"/>
    <col min="22" max="22" width="17.5" bestFit="1" customWidth="1"/>
  </cols>
  <sheetData>
    <row r="1" spans="3:22" ht="17" thickBot="1" x14ac:dyDescent="0.25"/>
    <row r="2" spans="3:22" ht="17" thickBot="1" x14ac:dyDescent="0.25">
      <c r="J2" s="810" t="s">
        <v>463</v>
      </c>
      <c r="K2" s="811" t="s">
        <v>464</v>
      </c>
      <c r="L2" t="s">
        <v>465</v>
      </c>
      <c r="O2" t="s">
        <v>466</v>
      </c>
      <c r="P2" t="s">
        <v>467</v>
      </c>
      <c r="Q2" t="s">
        <v>468</v>
      </c>
    </row>
    <row r="3" spans="3:22" ht="21.75" customHeight="1" x14ac:dyDescent="0.2">
      <c r="C3" s="812" t="s">
        <v>306</v>
      </c>
      <c r="D3" s="813" t="s">
        <v>540</v>
      </c>
      <c r="E3" s="813" t="s">
        <v>541</v>
      </c>
      <c r="F3" s="813" t="s">
        <v>542</v>
      </c>
      <c r="G3" s="813" t="s">
        <v>467</v>
      </c>
      <c r="H3" s="814" t="s">
        <v>543</v>
      </c>
      <c r="J3" s="815" t="s">
        <v>470</v>
      </c>
      <c r="K3" s="816">
        <v>7.2550000000000002E-4</v>
      </c>
      <c r="M3">
        <f>((((0.0161+0.0132)/2)+((0.0129+0.01)/2)+((0.015+0.011)/2)+((0.015+0.0096)/2)+((0.0151+0.0115)/2)+((0.0126+0.0086)/2)))/6</f>
        <v>1.2549999999999999E-2</v>
      </c>
      <c r="U3" s="126" t="s">
        <v>465</v>
      </c>
      <c r="V3" s="126" t="s">
        <v>471</v>
      </c>
    </row>
    <row r="4" spans="3:22" x14ac:dyDescent="0.2">
      <c r="C4" s="817" t="s">
        <v>472</v>
      </c>
      <c r="D4" s="126">
        <v>300</v>
      </c>
      <c r="E4" s="126">
        <v>300</v>
      </c>
      <c r="F4" s="126">
        <v>300</v>
      </c>
      <c r="G4" s="126">
        <v>300</v>
      </c>
      <c r="H4" s="130">
        <v>300</v>
      </c>
      <c r="J4" s="817" t="s">
        <v>473</v>
      </c>
      <c r="K4" s="130">
        <v>993.95</v>
      </c>
      <c r="U4" s="126" t="s">
        <v>474</v>
      </c>
      <c r="V4" s="818">
        <f>((((0.0161+0.0132)/2)+((0.0129+0.01)/2)+((0.015+0.011)/2)+((0.015+0.0096)/2)+((0.0151+0.0115)/2)+((0.0126+0.0086)/2)))/6</f>
        <v>1.2549999999999999E-2</v>
      </c>
    </row>
    <row r="5" spans="3:22" ht="17" thickBot="1" x14ac:dyDescent="0.25">
      <c r="C5" s="817" t="s">
        <v>475</v>
      </c>
      <c r="D5" s="126">
        <f>D6*D4</f>
        <v>58.5</v>
      </c>
      <c r="E5" s="126">
        <f t="shared" ref="E5:H5" si="0">E6*E4</f>
        <v>58.5</v>
      </c>
      <c r="F5" s="126">
        <f t="shared" si="0"/>
        <v>58.5</v>
      </c>
      <c r="G5" s="126">
        <f t="shared" si="0"/>
        <v>58.5</v>
      </c>
      <c r="H5" s="126">
        <f t="shared" si="0"/>
        <v>58.5</v>
      </c>
      <c r="J5" s="819" t="s">
        <v>476</v>
      </c>
      <c r="K5" s="820">
        <v>0.09</v>
      </c>
      <c r="U5" s="126" t="s">
        <v>469</v>
      </c>
      <c r="V5" s="818">
        <f>(((0.006+0.0036)/2)+((0.0039+0.0023)/2)+((0.008+0.0046)/2)+((0.0114+0.0055)/2)+((0.0077+0.005)/2)+((0.006+0.0032)/2))/6</f>
        <v>5.5999999999999999E-3</v>
      </c>
    </row>
    <row r="6" spans="3:22" x14ac:dyDescent="0.2">
      <c r="C6" s="817" t="s">
        <v>477</v>
      </c>
      <c r="D6" s="126">
        <v>0.19500000000000001</v>
      </c>
      <c r="E6" s="126">
        <v>0.19500000000000001</v>
      </c>
      <c r="F6" s="126">
        <v>0.19500000000000001</v>
      </c>
      <c r="G6" s="126">
        <v>0.19500000000000001</v>
      </c>
      <c r="H6" s="130">
        <v>0.19500000000000001</v>
      </c>
      <c r="U6" s="126" t="s">
        <v>478</v>
      </c>
      <c r="V6" s="818">
        <f>(0.015+0.016+0.0162+0.016+0.0155)/5</f>
        <v>1.5740000000000001E-2</v>
      </c>
    </row>
    <row r="7" spans="3:22" x14ac:dyDescent="0.2">
      <c r="C7" s="817" t="s">
        <v>479</v>
      </c>
      <c r="D7" s="126">
        <v>195</v>
      </c>
      <c r="E7" s="126">
        <v>195</v>
      </c>
      <c r="F7" s="126">
        <v>195</v>
      </c>
      <c r="G7" s="126">
        <v>195</v>
      </c>
      <c r="H7" s="130">
        <v>195</v>
      </c>
      <c r="U7" s="126" t="s">
        <v>480</v>
      </c>
      <c r="V7" s="818">
        <f>(((0.0084+0.0064)/2)+((0.0087+0.0059)/2)+((0.0069+0.0059)/2)+((0.0065+0.0039)/2)+((0.0103+0.0089)/2)+((0.0071+0.0046)/2))/6</f>
        <v>6.9583333333333337E-3</v>
      </c>
    </row>
    <row r="8" spans="3:22" x14ac:dyDescent="0.2">
      <c r="C8" s="817" t="s">
        <v>481</v>
      </c>
      <c r="D8" s="126">
        <v>0.66</v>
      </c>
      <c r="E8" s="126">
        <v>0.66</v>
      </c>
      <c r="F8" s="126">
        <v>0.66</v>
      </c>
      <c r="G8" s="126">
        <v>0.66</v>
      </c>
      <c r="H8" s="130">
        <v>0.66</v>
      </c>
      <c r="U8" s="126" t="s">
        <v>468</v>
      </c>
      <c r="V8" s="818">
        <f>(((0.0246+0.0111)/2)+((0.0204+0.0144)/2)+((0.0239+0.0114)/2)+((0.0105+0.0074)/2)+((0.0114+0.0057)/2)+((0.0199+0.0159)/2))/6</f>
        <v>1.4716666666666668E-2</v>
      </c>
    </row>
    <row r="9" spans="3:22" x14ac:dyDescent="0.2">
      <c r="C9" s="817" t="s">
        <v>482</v>
      </c>
      <c r="D9" s="126">
        <f>((((0.0161+0.0132)/2)+((0.0129+0.01)/2)+((0.015+0.011)/2)+((0.015+0.0096)/2)+((0.0151+0.0115)/2)+((0.0126+0.0086)/2)))/6</f>
        <v>1.2549999999999999E-2</v>
      </c>
      <c r="E9" s="126">
        <f>(((0.006+0.0036)/2)+((0.0039+0.0023)/2)+((0.008+0.0046)/2)+((0.0114+0.0055)/2)+((0.0077+0.005)/2)+((0.006+0.0032)/2))/6</f>
        <v>5.5999999999999999E-3</v>
      </c>
      <c r="F9" s="126">
        <f>(0.015+0.016+0.0162+0.016+0.0155)/5</f>
        <v>1.5740000000000001E-2</v>
      </c>
      <c r="G9" s="126">
        <f>(((0.0084+0.0064)/2)+((0.0087+0.0059)/2)+((0.0069+0.0059)/2)+((0.0065+0.0039)/2)+((0.0103+0.0089)/2)+((0.0071+0.0046)/2))/6</f>
        <v>6.9583333333333337E-3</v>
      </c>
      <c r="H9" s="130">
        <f>(((0.0246+0.0111)/2)+((0.0204+0.0144)/2)+((0.0239+0.0114)/2)+((0.0105+0.0074)/2)+((0.0114+0.0057)/2)+((0.0199+0.0159)/2))/6</f>
        <v>1.4716666666666668E-2</v>
      </c>
    </row>
    <row r="10" spans="3:22" x14ac:dyDescent="0.2">
      <c r="C10" s="821" t="s">
        <v>483</v>
      </c>
      <c r="D10" s="822">
        <f>D9*D8</f>
        <v>8.2829999999999987E-3</v>
      </c>
      <c r="E10" s="822">
        <f t="shared" ref="E10:H10" si="1">E9*E8</f>
        <v>3.6960000000000001E-3</v>
      </c>
      <c r="F10" s="822">
        <f t="shared" si="1"/>
        <v>1.0388400000000001E-2</v>
      </c>
      <c r="G10" s="822">
        <f t="shared" si="1"/>
        <v>4.5925000000000002E-3</v>
      </c>
      <c r="H10" s="822">
        <f t="shared" si="1"/>
        <v>9.7130000000000011E-3</v>
      </c>
    </row>
    <row r="11" spans="3:22" ht="17" thickBot="1" x14ac:dyDescent="0.25">
      <c r="C11" s="821" t="s">
        <v>484</v>
      </c>
      <c r="D11" s="822">
        <f>'[3]Data of packing materials'!G9</f>
        <v>0.66</v>
      </c>
      <c r="E11" s="822">
        <f>'[3]Data of packing materials'!C9</f>
        <v>0.36206896551724138</v>
      </c>
      <c r="F11" s="822">
        <f>'[3]Data of packing materials'!E9</f>
        <v>0.39655172413793105</v>
      </c>
      <c r="G11" s="822">
        <f>'[3]Data of packing materials'!F9</f>
        <v>0.56896551724137934</v>
      </c>
      <c r="H11" s="823">
        <f>'[3]Data of packing materials'!D9</f>
        <v>0.34482758620689657</v>
      </c>
    </row>
    <row r="12" spans="3:22" ht="17" thickBot="1" x14ac:dyDescent="0.25">
      <c r="C12" s="824" t="s">
        <v>485</v>
      </c>
      <c r="D12" s="825">
        <f>(2*(D11^3)*(D8^2)*(D9^2))/(4*75*((1-D11)^2))</f>
        <v>1.1375173676553637E-6</v>
      </c>
      <c r="E12" s="825">
        <f t="shared" ref="E12:H12" si="2">(2*(E11^3)*(E8^2)*(E9^2))/(4*75*((1-E11)^2))</f>
        <v>1.0621824183773707E-8</v>
      </c>
      <c r="F12" s="825">
        <f t="shared" si="2"/>
        <v>1.2320419455139765E-7</v>
      </c>
      <c r="G12" s="825">
        <f t="shared" si="2"/>
        <v>1.3939297258965522E-7</v>
      </c>
      <c r="H12" s="826">
        <f t="shared" si="2"/>
        <v>6.0077287865762432E-8</v>
      </c>
    </row>
    <row r="13" spans="3:22" x14ac:dyDescent="0.2">
      <c r="K13" s="55" t="s">
        <v>552</v>
      </c>
      <c r="L13" s="57">
        <v>2.9999999999999997E-4</v>
      </c>
    </row>
    <row r="14" spans="3:22" x14ac:dyDescent="0.2">
      <c r="K14" s="29" t="s">
        <v>511</v>
      </c>
      <c r="L14" s="27">
        <f>3.14 *(0.065/2)^2</f>
        <v>3.3166250000000006E-3</v>
      </c>
    </row>
    <row r="15" spans="3:22" x14ac:dyDescent="0.2">
      <c r="C15" t="s">
        <v>486</v>
      </c>
      <c r="D15" t="s">
        <v>487</v>
      </c>
      <c r="E15" t="s">
        <v>487</v>
      </c>
      <c r="F15" t="s">
        <v>487</v>
      </c>
      <c r="G15" t="s">
        <v>487</v>
      </c>
      <c r="H15" t="s">
        <v>487</v>
      </c>
      <c r="K15" s="46" t="s">
        <v>553</v>
      </c>
      <c r="L15" s="48">
        <f>L13/L14</f>
        <v>9.0453397655749418E-2</v>
      </c>
    </row>
    <row r="16" spans="3:22" x14ac:dyDescent="0.2">
      <c r="C16">
        <v>3.8550000000000004E-6</v>
      </c>
      <c r="D16">
        <f>((150*K$3*C16*K$5*(1-D$11)^2)/(D$8^2*D$9^2*D$11^3)+((1.75*K$4*C16^2*K$5*(1-D$11))/(D$8*D$9*D$11^3)))</f>
        <v>2.216142585053572E-4</v>
      </c>
      <c r="E16">
        <f>(((150*K$3*C16*K$5*((1-E$11)^2))/((E$8^2)*(E$9^2)*(E$11^3)))+((1.75*K$5*K$4*(1-E$11)*(C16^2))/(E$8*E$9*(E$11^3))))</f>
        <v>2.3706105419259712E-2</v>
      </c>
      <c r="F16">
        <f>(((150*K$3*C16*K$5*((1-F$11)^2))/((F$8^2)*(F$9^2)*(F$11^3)))+((1.75*K$5*K$4*(1-F$11)*(C16^2))/(F$8*F$9*(F$11^3))))</f>
        <v>2.0452162841434235E-3</v>
      </c>
      <c r="G16">
        <f>(((150*K$3*C16*K$5*((1-G$11)^2))/((G$8^2)*(G$9^2)*(G$11^3)))+((1.75*K$5*K$4*(1-G$11)*(C16^2))/(G$8*G$9*(G$11^3))))</f>
        <v>1.806959631231807E-3</v>
      </c>
      <c r="H16">
        <f>(((150*K$3*C16*K$5*((1-H$11)^2))/((H$8^2)*(H$9^2)*(H$11^3)))+((1.75*K$5*K$4*(1-H$11)*(C16^2))/(H$8*H$9*(H$11^3))))</f>
        <v>4.193634008193621E-3</v>
      </c>
    </row>
    <row r="17" spans="3:8" x14ac:dyDescent="0.2">
      <c r="C17">
        <v>3.9999999999999998E-6</v>
      </c>
      <c r="D17">
        <f t="shared" ref="D17:D63" si="3">((150*K$3*C17*K$5*(1-D$11)^2)/(D$8^2*D$9^2*D$11^3)+((1.75*K$4*C17^2*K$5*(1-D$11))/(D$8*D$9*D$11^3)))</f>
        <v>2.2996290778089264E-4</v>
      </c>
      <c r="E17">
        <f t="shared" ref="E17:E63" si="4">(((150*K$3*C17*K$5*((1-E$11)^2))/((E$8^2)*(E$9^2)*(E$11^3)))+((1.75*K$5*K$4*(1-E$11)*(C17^2))/(E$8*E$9*(E$11^3))))</f>
        <v>2.459810492663829E-2</v>
      </c>
      <c r="F17">
        <f t="shared" ref="F17:F63" si="5">(((150*K$3*C17*K$5*((1-F$11)^2))/((F$8^2)*(F$9^2)*(F$11^3)))+((1.75*K$5*K$4*(1-F$11)*(C17^2))/(F$8*F$9*(F$11^3))))</f>
        <v>2.1222285837673616E-3</v>
      </c>
      <c r="G17">
        <f t="shared" ref="G17:G63" si="6">(((150*K$3*C17*K$5*((1-G$11)^2))/((G$8^2)*(G$9^2)*(G$11^3)))+((1.75*K$5*K$4*(1-G$11)*(C17^2))/(G$8*G$9*(G$11^3))))</f>
        <v>1.8749719551202978E-3</v>
      </c>
      <c r="H17">
        <f t="shared" ref="H17:H63" si="7">(((150*K$3*C17*K$5*((1-H$11)^2))/((H$8^2)*(H$9^2)*(H$11^3)))+((1.75*K$5*K$4*(1-H$11)*(C17^2))/(H$8*H$9*(H$11^3))))</f>
        <v>4.351520586762499E-3</v>
      </c>
    </row>
    <row r="18" spans="3:8" x14ac:dyDescent="0.2">
      <c r="C18">
        <v>5.0000000000000004E-6</v>
      </c>
      <c r="D18">
        <f t="shared" si="3"/>
        <v>2.8756539167837798E-4</v>
      </c>
      <c r="E18">
        <f t="shared" si="4"/>
        <v>3.0750477473320353E-2</v>
      </c>
      <c r="F18">
        <f t="shared" si="5"/>
        <v>2.6535148630548087E-3</v>
      </c>
      <c r="G18">
        <f t="shared" si="6"/>
        <v>2.3441138035576034E-3</v>
      </c>
      <c r="H18">
        <f t="shared" si="7"/>
        <v>5.4406884234100752E-3</v>
      </c>
    </row>
    <row r="19" spans="3:8" x14ac:dyDescent="0.2">
      <c r="C19">
        <v>6.0000000000000002E-6</v>
      </c>
      <c r="D19">
        <f t="shared" si="3"/>
        <v>3.4521257835676809E-4</v>
      </c>
      <c r="E19">
        <f t="shared" si="4"/>
        <v>3.6903988546011408E-2</v>
      </c>
      <c r="F19">
        <f t="shared" si="5"/>
        <v>3.1850927956804981E-3</v>
      </c>
      <c r="G19">
        <f t="shared" si="6"/>
        <v>2.813415195857801E-3</v>
      </c>
      <c r="H19">
        <f t="shared" si="7"/>
        <v>6.5303713360404326E-3</v>
      </c>
    </row>
    <row r="20" spans="3:8" x14ac:dyDescent="0.2">
      <c r="C20">
        <v>6.9999999999999999E-6</v>
      </c>
      <c r="D20">
        <f t="shared" si="3"/>
        <v>4.0290446781606311E-4</v>
      </c>
      <c r="E20">
        <f t="shared" si="4"/>
        <v>4.3058638144711461E-2</v>
      </c>
      <c r="F20">
        <f t="shared" si="5"/>
        <v>3.7169623816444295E-3</v>
      </c>
      <c r="G20">
        <f t="shared" si="6"/>
        <v>3.2828761320208904E-3</v>
      </c>
      <c r="H20">
        <f t="shared" si="7"/>
        <v>7.6205693246535694E-3</v>
      </c>
    </row>
    <row r="21" spans="3:8" x14ac:dyDescent="0.2">
      <c r="C21">
        <v>7.9999999999999996E-6</v>
      </c>
      <c r="D21">
        <f t="shared" si="3"/>
        <v>4.6064106005626299E-4</v>
      </c>
      <c r="E21">
        <f t="shared" si="4"/>
        <v>4.9214426269420526E-2</v>
      </c>
      <c r="F21">
        <f t="shared" si="5"/>
        <v>4.2491236209466045E-3</v>
      </c>
      <c r="G21">
        <f t="shared" si="6"/>
        <v>3.7524966120468729E-3</v>
      </c>
      <c r="H21">
        <f t="shared" si="7"/>
        <v>8.711282389249491E-3</v>
      </c>
    </row>
    <row r="22" spans="3:8" x14ac:dyDescent="0.2">
      <c r="C22">
        <v>9.0000000000000002E-6</v>
      </c>
      <c r="D22">
        <f t="shared" si="3"/>
        <v>5.1842235507736773E-4</v>
      </c>
      <c r="E22">
        <f t="shared" si="4"/>
        <v>5.5371352920138575E-2</v>
      </c>
      <c r="F22">
        <f t="shared" si="5"/>
        <v>4.7815765135870228E-3</v>
      </c>
      <c r="G22">
        <f t="shared" si="6"/>
        <v>4.2222766359357473E-3</v>
      </c>
      <c r="H22">
        <f t="shared" si="7"/>
        <v>9.8025105298281904E-3</v>
      </c>
    </row>
    <row r="23" spans="3:8" x14ac:dyDescent="0.2">
      <c r="C23">
        <v>1.0000000000000001E-5</v>
      </c>
      <c r="D23">
        <f t="shared" si="3"/>
        <v>5.7624835287937732E-4</v>
      </c>
      <c r="E23">
        <f t="shared" si="4"/>
        <v>6.1529418096865622E-2</v>
      </c>
      <c r="F23">
        <f t="shared" si="5"/>
        <v>5.3143210595656817E-3</v>
      </c>
      <c r="G23">
        <f t="shared" si="6"/>
        <v>4.6922162036875147E-3</v>
      </c>
      <c r="H23">
        <f t="shared" si="7"/>
        <v>1.0894253746389672E-2</v>
      </c>
    </row>
    <row r="24" spans="3:8" x14ac:dyDescent="0.2">
      <c r="C24">
        <v>1.1E-5</v>
      </c>
      <c r="D24">
        <f t="shared" si="3"/>
        <v>6.3411905346229182E-4</v>
      </c>
      <c r="E24">
        <f t="shared" si="4"/>
        <v>6.7688621799601653E-2</v>
      </c>
      <c r="F24">
        <f t="shared" si="5"/>
        <v>5.8473572588825838E-3</v>
      </c>
      <c r="G24">
        <f t="shared" si="6"/>
        <v>5.1623153153021739E-3</v>
      </c>
      <c r="H24">
        <f t="shared" si="7"/>
        <v>1.1986512038933932E-2</v>
      </c>
    </row>
    <row r="25" spans="3:8" x14ac:dyDescent="0.2">
      <c r="C25">
        <v>1.2E-5</v>
      </c>
      <c r="D25">
        <f t="shared" si="3"/>
        <v>6.9203445682611102E-4</v>
      </c>
      <c r="E25">
        <f t="shared" si="4"/>
        <v>7.3848964028346689E-2</v>
      </c>
      <c r="F25">
        <f t="shared" si="5"/>
        <v>6.3806851115377275E-3</v>
      </c>
      <c r="G25">
        <f t="shared" si="6"/>
        <v>5.6325739707797258E-3</v>
      </c>
      <c r="H25">
        <f t="shared" si="7"/>
        <v>1.3079285407460974E-2</v>
      </c>
    </row>
    <row r="26" spans="3:8" x14ac:dyDescent="0.2">
      <c r="C26">
        <v>1.2999999999999999E-5</v>
      </c>
      <c r="D26">
        <f t="shared" si="3"/>
        <v>7.4999456297083513E-4</v>
      </c>
      <c r="E26">
        <f t="shared" si="4"/>
        <v>8.0010444783100737E-2</v>
      </c>
      <c r="F26">
        <f t="shared" si="5"/>
        <v>6.9143046175311152E-3</v>
      </c>
      <c r="G26">
        <f t="shared" si="6"/>
        <v>6.1029921701201695E-3</v>
      </c>
      <c r="H26">
        <f t="shared" si="7"/>
        <v>1.4172573851970797E-2</v>
      </c>
    </row>
    <row r="27" spans="3:8" x14ac:dyDescent="0.2">
      <c r="C27">
        <v>1.4E-5</v>
      </c>
      <c r="D27">
        <f t="shared" si="3"/>
        <v>8.0799937189646404E-4</v>
      </c>
      <c r="E27">
        <f t="shared" si="4"/>
        <v>8.6173064063863769E-2</v>
      </c>
      <c r="F27">
        <f t="shared" si="5"/>
        <v>7.4482157768627445E-3</v>
      </c>
      <c r="G27">
        <f t="shared" si="6"/>
        <v>6.5735699133235058E-3</v>
      </c>
      <c r="H27">
        <f t="shared" si="7"/>
        <v>1.52663773724634E-2</v>
      </c>
    </row>
    <row r="28" spans="3:8" x14ac:dyDescent="0.2">
      <c r="C28">
        <v>1.5E-5</v>
      </c>
      <c r="D28">
        <f t="shared" si="3"/>
        <v>8.6604888360299818E-4</v>
      </c>
      <c r="E28">
        <f t="shared" si="4"/>
        <v>9.2336821870635799E-2</v>
      </c>
      <c r="F28">
        <f t="shared" si="5"/>
        <v>7.982418589532617E-3</v>
      </c>
      <c r="G28">
        <f t="shared" si="6"/>
        <v>7.0443072003897357E-3</v>
      </c>
      <c r="H28">
        <f t="shared" si="7"/>
        <v>1.6360695968938785E-2</v>
      </c>
    </row>
    <row r="29" spans="3:8" x14ac:dyDescent="0.2">
      <c r="C29">
        <v>1.5999999999999999E-5</v>
      </c>
      <c r="D29">
        <f t="shared" si="3"/>
        <v>9.241430980904367E-4</v>
      </c>
      <c r="E29">
        <f t="shared" si="4"/>
        <v>9.8501718203416841E-2</v>
      </c>
      <c r="F29">
        <f t="shared" si="5"/>
        <v>8.5169130555407327E-3</v>
      </c>
      <c r="G29">
        <f t="shared" si="6"/>
        <v>7.5152040313188557E-3</v>
      </c>
      <c r="H29">
        <f t="shared" si="7"/>
        <v>1.7455529641396954E-2</v>
      </c>
    </row>
    <row r="30" spans="3:8" x14ac:dyDescent="0.2">
      <c r="C30">
        <v>1.7E-5</v>
      </c>
      <c r="D30">
        <f t="shared" si="3"/>
        <v>9.8228201535878034E-4</v>
      </c>
      <c r="E30">
        <f t="shared" si="4"/>
        <v>0.10466775306220685</v>
      </c>
      <c r="F30">
        <f t="shared" si="5"/>
        <v>9.051699174887089E-3</v>
      </c>
      <c r="G30">
        <f t="shared" si="6"/>
        <v>7.9862604061108674E-3</v>
      </c>
      <c r="H30">
        <f t="shared" si="7"/>
        <v>1.8550878389837898E-2</v>
      </c>
    </row>
    <row r="31" spans="3:8" x14ac:dyDescent="0.2">
      <c r="C31">
        <v>1.8E-5</v>
      </c>
      <c r="D31">
        <f t="shared" si="3"/>
        <v>1.0404656354080287E-3</v>
      </c>
      <c r="E31">
        <f t="shared" si="4"/>
        <v>0.11083492644700589</v>
      </c>
      <c r="F31">
        <f t="shared" si="5"/>
        <v>9.5867769475716912E-3</v>
      </c>
      <c r="G31">
        <f t="shared" si="6"/>
        <v>8.4574763247657753E-3</v>
      </c>
      <c r="H31">
        <f t="shared" si="7"/>
        <v>1.9646742214261624E-2</v>
      </c>
    </row>
    <row r="32" spans="3:8" x14ac:dyDescent="0.2">
      <c r="C32">
        <v>1.9000000000000001E-5</v>
      </c>
      <c r="D32">
        <f t="shared" si="3"/>
        <v>1.0986939582381819E-3</v>
      </c>
      <c r="E32">
        <f t="shared" si="4"/>
        <v>0.11700323835781389</v>
      </c>
      <c r="F32">
        <f t="shared" si="5"/>
        <v>1.0122146373594534E-2</v>
      </c>
      <c r="G32">
        <f t="shared" si="6"/>
        <v>8.9288517872835732E-3</v>
      </c>
      <c r="H32">
        <f t="shared" si="7"/>
        <v>2.0743121114668132E-2</v>
      </c>
    </row>
    <row r="33" spans="3:8" x14ac:dyDescent="0.2">
      <c r="C33">
        <v>2.0000000000000002E-5</v>
      </c>
      <c r="D33">
        <f t="shared" si="3"/>
        <v>1.1569669838492401E-3</v>
      </c>
      <c r="E33">
        <f t="shared" si="4"/>
        <v>0.12317268879463092</v>
      </c>
      <c r="F33">
        <f t="shared" si="5"/>
        <v>1.0657807452955618E-2</v>
      </c>
      <c r="G33">
        <f t="shared" si="6"/>
        <v>9.4003867936642647E-3</v>
      </c>
      <c r="H33">
        <f t="shared" si="7"/>
        <v>2.1840015091057423E-2</v>
      </c>
    </row>
    <row r="34" spans="3:8" x14ac:dyDescent="0.2">
      <c r="C34">
        <v>2.0999999999999999E-5</v>
      </c>
      <c r="D34">
        <f t="shared" si="3"/>
        <v>1.2152847122412032E-3</v>
      </c>
      <c r="E34">
        <f t="shared" si="4"/>
        <v>0.12934327775745691</v>
      </c>
      <c r="F34">
        <f t="shared" si="5"/>
        <v>1.1193760185654947E-2</v>
      </c>
      <c r="G34">
        <f t="shared" si="6"/>
        <v>9.8720813439078462E-3</v>
      </c>
      <c r="H34">
        <f t="shared" si="7"/>
        <v>2.2937424143429492E-2</v>
      </c>
    </row>
    <row r="35" spans="3:8" x14ac:dyDescent="0.2">
      <c r="C35">
        <v>2.1999999999999999E-5</v>
      </c>
      <c r="D35">
        <f t="shared" si="3"/>
        <v>1.2736471434140709E-3</v>
      </c>
      <c r="E35">
        <f t="shared" si="4"/>
        <v>0.1355150052462919</v>
      </c>
      <c r="F35">
        <f t="shared" si="5"/>
        <v>1.1730004571692517E-2</v>
      </c>
      <c r="G35">
        <f t="shared" si="6"/>
        <v>1.0343935438014321E-2</v>
      </c>
      <c r="H35">
        <f t="shared" si="7"/>
        <v>2.403534827178434E-2</v>
      </c>
    </row>
    <row r="36" spans="3:8" x14ac:dyDescent="0.2">
      <c r="C36">
        <v>2.3E-5</v>
      </c>
      <c r="D36">
        <f t="shared" si="3"/>
        <v>1.3320542773678436E-3</v>
      </c>
      <c r="E36">
        <f t="shared" si="4"/>
        <v>0.14168787126113594</v>
      </c>
      <c r="F36">
        <f t="shared" si="5"/>
        <v>1.2266540611068329E-2</v>
      </c>
      <c r="G36">
        <f t="shared" si="6"/>
        <v>1.081594907598369E-2</v>
      </c>
      <c r="H36">
        <f t="shared" si="7"/>
        <v>2.5133787476121969E-2</v>
      </c>
    </row>
    <row r="37" spans="3:8" x14ac:dyDescent="0.2">
      <c r="C37">
        <v>2.4000000000000001E-5</v>
      </c>
      <c r="D37">
        <f t="shared" si="3"/>
        <v>1.390506114102521E-3</v>
      </c>
      <c r="E37">
        <f t="shared" si="4"/>
        <v>0.1478618758019889</v>
      </c>
      <c r="F37">
        <f t="shared" si="5"/>
        <v>1.2803368303782384E-2</v>
      </c>
      <c r="G37">
        <f t="shared" si="6"/>
        <v>1.1288122257815949E-2</v>
      </c>
      <c r="H37">
        <f t="shared" si="7"/>
        <v>2.6232741756442385E-2</v>
      </c>
    </row>
    <row r="38" spans="3:8" x14ac:dyDescent="0.2">
      <c r="C38">
        <v>2.5000000000000001E-5</v>
      </c>
      <c r="D38">
        <f t="shared" si="3"/>
        <v>1.4490026536181037E-3</v>
      </c>
      <c r="E38">
        <f t="shared" si="4"/>
        <v>0.15403701886885096</v>
      </c>
      <c r="F38">
        <f t="shared" si="5"/>
        <v>1.3340487649834684E-2</v>
      </c>
      <c r="G38">
        <f t="shared" si="6"/>
        <v>1.1760454983511104E-2</v>
      </c>
      <c r="H38">
        <f t="shared" si="7"/>
        <v>2.7332211112745582E-2</v>
      </c>
    </row>
    <row r="39" spans="3:8" x14ac:dyDescent="0.2">
      <c r="C39">
        <v>2.5999999999999998E-5</v>
      </c>
      <c r="D39">
        <f t="shared" si="3"/>
        <v>1.5075438959145906E-3</v>
      </c>
      <c r="E39">
        <f t="shared" si="4"/>
        <v>0.16021330046172191</v>
      </c>
      <c r="F39">
        <f t="shared" si="5"/>
        <v>1.3877898649225222E-2</v>
      </c>
      <c r="G39">
        <f t="shared" si="6"/>
        <v>1.2232947253069145E-2</v>
      </c>
      <c r="H39">
        <f t="shared" si="7"/>
        <v>2.8432195545031548E-2</v>
      </c>
    </row>
    <row r="40" spans="3:8" x14ac:dyDescent="0.2">
      <c r="C40">
        <v>2.6999999999999999E-5</v>
      </c>
      <c r="D40">
        <f t="shared" si="3"/>
        <v>1.566129840991983E-3</v>
      </c>
      <c r="E40">
        <f t="shared" si="4"/>
        <v>0.16639072058060189</v>
      </c>
      <c r="F40">
        <f t="shared" si="5"/>
        <v>1.4415601301954004E-2</v>
      </c>
      <c r="G40">
        <f t="shared" si="6"/>
        <v>1.2705599066490082E-2</v>
      </c>
      <c r="H40">
        <f t="shared" si="7"/>
        <v>2.9532695053300299E-2</v>
      </c>
    </row>
    <row r="41" spans="3:8" x14ac:dyDescent="0.2">
      <c r="C41">
        <v>2.8E-5</v>
      </c>
      <c r="D41">
        <f t="shared" si="3"/>
        <v>1.6247604888502795E-3</v>
      </c>
      <c r="E41">
        <f t="shared" si="4"/>
        <v>0.17256927922549087</v>
      </c>
      <c r="F41">
        <f t="shared" si="5"/>
        <v>1.4953595608021029E-2</v>
      </c>
      <c r="G41">
        <f t="shared" si="6"/>
        <v>1.317841042377391E-2</v>
      </c>
      <c r="H41">
        <f t="shared" si="7"/>
        <v>3.0633709637551836E-2</v>
      </c>
    </row>
    <row r="42" spans="3:8" x14ac:dyDescent="0.2">
      <c r="C42">
        <v>2.9E-5</v>
      </c>
      <c r="D42">
        <f t="shared" si="3"/>
        <v>1.6834358394894817E-3</v>
      </c>
      <c r="E42">
        <f t="shared" si="4"/>
        <v>0.17874897639638887</v>
      </c>
      <c r="F42">
        <f t="shared" si="5"/>
        <v>1.5491881567426299E-2</v>
      </c>
      <c r="G42">
        <f t="shared" si="6"/>
        <v>1.3651381324920634E-2</v>
      </c>
      <c r="H42">
        <f t="shared" si="7"/>
        <v>3.1735239297786155E-2</v>
      </c>
    </row>
    <row r="43" spans="3:8" x14ac:dyDescent="0.2">
      <c r="C43">
        <v>3.0000000000000001E-5</v>
      </c>
      <c r="D43">
        <f t="shared" si="3"/>
        <v>1.7421558929095885E-3</v>
      </c>
      <c r="E43">
        <f t="shared" si="4"/>
        <v>0.18492981209329587</v>
      </c>
      <c r="F43">
        <f t="shared" si="5"/>
        <v>1.603045918016981E-2</v>
      </c>
      <c r="G43">
        <f t="shared" si="6"/>
        <v>1.4124511769930247E-2</v>
      </c>
      <c r="H43">
        <f t="shared" si="7"/>
        <v>3.2837284034003253E-2</v>
      </c>
    </row>
    <row r="44" spans="3:8" x14ac:dyDescent="0.2">
      <c r="C44">
        <v>3.1000000000000001E-5</v>
      </c>
      <c r="D44">
        <f t="shared" si="3"/>
        <v>1.8009206491106E-3</v>
      </c>
      <c r="E44">
        <f t="shared" si="4"/>
        <v>0.19111178631621187</v>
      </c>
      <c r="F44">
        <f t="shared" si="5"/>
        <v>1.6569328446251565E-2</v>
      </c>
      <c r="G44">
        <f t="shared" si="6"/>
        <v>1.4597801758802754E-2</v>
      </c>
      <c r="H44">
        <f t="shared" si="7"/>
        <v>3.3939843846203133E-2</v>
      </c>
    </row>
    <row r="45" spans="3:8" x14ac:dyDescent="0.2">
      <c r="C45">
        <v>3.1999999999999999E-5</v>
      </c>
      <c r="D45">
        <f t="shared" si="3"/>
        <v>1.859730108092516E-3</v>
      </c>
      <c r="E45">
        <f t="shared" si="4"/>
        <v>0.19729489906513684</v>
      </c>
      <c r="F45">
        <f t="shared" si="5"/>
        <v>1.7108489365671557E-2</v>
      </c>
      <c r="G45">
        <f t="shared" si="6"/>
        <v>1.5071251291538152E-2</v>
      </c>
      <c r="H45">
        <f t="shared" si="7"/>
        <v>3.5042918734385795E-2</v>
      </c>
    </row>
    <row r="46" spans="3:8" x14ac:dyDescent="0.2">
      <c r="C46">
        <v>3.3000000000000003E-5</v>
      </c>
      <c r="D46">
        <f t="shared" si="3"/>
        <v>1.9185842698553376E-3</v>
      </c>
      <c r="E46">
        <f t="shared" si="4"/>
        <v>0.2034791503400708</v>
      </c>
      <c r="F46">
        <f t="shared" si="5"/>
        <v>1.7647941938429799E-2</v>
      </c>
      <c r="G46">
        <f t="shared" si="6"/>
        <v>1.5544860368136444E-2</v>
      </c>
      <c r="H46">
        <f t="shared" si="7"/>
        <v>3.6146508698551232E-2</v>
      </c>
    </row>
    <row r="47" spans="3:8" x14ac:dyDescent="0.2">
      <c r="C47">
        <v>3.4E-5</v>
      </c>
      <c r="D47">
        <f t="shared" si="3"/>
        <v>1.9774831343990639E-3</v>
      </c>
      <c r="E47">
        <f t="shared" si="4"/>
        <v>0.20966454014101374</v>
      </c>
      <c r="F47">
        <f t="shared" si="5"/>
        <v>1.8187686164526276E-2</v>
      </c>
      <c r="G47">
        <f t="shared" si="6"/>
        <v>1.6018628988597624E-2</v>
      </c>
      <c r="H47">
        <f t="shared" si="7"/>
        <v>3.7250613738699451E-2</v>
      </c>
    </row>
    <row r="48" spans="3:8" x14ac:dyDescent="0.2">
      <c r="C48">
        <v>3.4999999999999997E-5</v>
      </c>
      <c r="D48">
        <f t="shared" si="3"/>
        <v>2.0364267017236944E-3</v>
      </c>
      <c r="E48">
        <f t="shared" si="4"/>
        <v>0.2158510684679657</v>
      </c>
      <c r="F48">
        <f t="shared" si="5"/>
        <v>1.8727722043961E-2</v>
      </c>
      <c r="G48">
        <f t="shared" si="6"/>
        <v>1.6492557152921701E-2</v>
      </c>
      <c r="H48">
        <f t="shared" si="7"/>
        <v>3.8355233854830452E-2</v>
      </c>
    </row>
    <row r="49" spans="3:8" x14ac:dyDescent="0.2">
      <c r="C49">
        <v>3.6000000000000001E-5</v>
      </c>
      <c r="D49">
        <f t="shared" si="3"/>
        <v>2.0954149718292302E-3</v>
      </c>
      <c r="E49">
        <f t="shared" si="4"/>
        <v>0.22203873532092669</v>
      </c>
      <c r="F49">
        <f t="shared" si="5"/>
        <v>1.9268049576733972E-2</v>
      </c>
      <c r="G49">
        <f t="shared" si="6"/>
        <v>1.696664486110867E-2</v>
      </c>
      <c r="H49">
        <f t="shared" si="7"/>
        <v>3.9460369046944235E-2</v>
      </c>
    </row>
    <row r="50" spans="3:8" x14ac:dyDescent="0.2">
      <c r="C50">
        <v>3.6999999999999998E-5</v>
      </c>
      <c r="D50">
        <f t="shared" si="3"/>
        <v>2.154447944715671E-3</v>
      </c>
      <c r="E50">
        <f t="shared" si="4"/>
        <v>0.22822754069989667</v>
      </c>
      <c r="F50">
        <f t="shared" si="5"/>
        <v>1.9808668762845177E-2</v>
      </c>
      <c r="G50">
        <f t="shared" si="6"/>
        <v>1.7440892113158531E-2</v>
      </c>
      <c r="H50">
        <f t="shared" si="7"/>
        <v>4.0566019315040801E-2</v>
      </c>
    </row>
    <row r="51" spans="3:8" x14ac:dyDescent="0.2">
      <c r="C51">
        <v>3.8000000000000002E-5</v>
      </c>
      <c r="D51">
        <f t="shared" si="3"/>
        <v>2.2135256203830167E-3</v>
      </c>
      <c r="E51">
        <f t="shared" si="4"/>
        <v>0.23441748460487558</v>
      </c>
      <c r="F51">
        <f t="shared" si="5"/>
        <v>2.0349579602294627E-2</v>
      </c>
      <c r="G51">
        <f t="shared" si="6"/>
        <v>1.791529890907128E-2</v>
      </c>
      <c r="H51">
        <f t="shared" si="7"/>
        <v>4.1672184659120141E-2</v>
      </c>
    </row>
    <row r="52" spans="3:8" x14ac:dyDescent="0.2">
      <c r="C52">
        <v>3.8999999999999999E-5</v>
      </c>
      <c r="D52">
        <f t="shared" si="3"/>
        <v>2.2726479988312669E-3</v>
      </c>
      <c r="E52">
        <f t="shared" si="4"/>
        <v>0.2406085670358635</v>
      </c>
      <c r="F52">
        <f t="shared" si="5"/>
        <v>2.0890782095082321E-2</v>
      </c>
      <c r="G52">
        <f t="shared" si="6"/>
        <v>1.8389865248846924E-2</v>
      </c>
      <c r="H52">
        <f t="shared" si="7"/>
        <v>4.277886507918225E-2</v>
      </c>
    </row>
    <row r="53" spans="3:8" x14ac:dyDescent="0.2">
      <c r="C53">
        <v>4.0000000000000003E-5</v>
      </c>
      <c r="D53">
        <f t="shared" si="3"/>
        <v>2.3318150800604219E-3</v>
      </c>
      <c r="E53">
        <f t="shared" si="4"/>
        <v>0.24680078799286051</v>
      </c>
      <c r="F53">
        <f t="shared" si="5"/>
        <v>2.1432276241208258E-2</v>
      </c>
      <c r="G53">
        <f t="shared" si="6"/>
        <v>1.8864591132485467E-2</v>
      </c>
      <c r="H53">
        <f t="shared" si="7"/>
        <v>4.3886060575227169E-2</v>
      </c>
    </row>
    <row r="54" spans="3:8" x14ac:dyDescent="0.2">
      <c r="C54">
        <v>4.1E-5</v>
      </c>
      <c r="D54">
        <f t="shared" si="3"/>
        <v>2.3910268640704824E-3</v>
      </c>
      <c r="E54">
        <f t="shared" si="4"/>
        <v>0.25299414747586646</v>
      </c>
      <c r="F54">
        <f t="shared" si="5"/>
        <v>2.1974062040672437E-2</v>
      </c>
      <c r="G54">
        <f t="shared" si="6"/>
        <v>1.9339476559986895E-2</v>
      </c>
      <c r="H54">
        <f t="shared" si="7"/>
        <v>4.4993771147254849E-2</v>
      </c>
    </row>
    <row r="55" spans="3:8" x14ac:dyDescent="0.2">
      <c r="C55">
        <v>4.1999999999999998E-5</v>
      </c>
      <c r="D55">
        <f t="shared" si="3"/>
        <v>2.4502833508614472E-3</v>
      </c>
      <c r="E55">
        <f t="shared" si="4"/>
        <v>0.25918864548488135</v>
      </c>
      <c r="F55">
        <f t="shared" si="5"/>
        <v>2.2516139493474859E-2</v>
      </c>
      <c r="G55">
        <f t="shared" si="6"/>
        <v>1.9814521531351215E-2</v>
      </c>
      <c r="H55">
        <f t="shared" si="7"/>
        <v>4.6101996795265325E-2</v>
      </c>
    </row>
    <row r="56" spans="3:8" x14ac:dyDescent="0.2">
      <c r="C56">
        <v>4.3000000000000002E-5</v>
      </c>
      <c r="D56">
        <f t="shared" si="3"/>
        <v>2.5095845404333171E-3</v>
      </c>
      <c r="E56">
        <f t="shared" si="4"/>
        <v>0.26538428201990533</v>
      </c>
      <c r="F56">
        <f t="shared" si="5"/>
        <v>2.3058508599615526E-2</v>
      </c>
      <c r="G56">
        <f t="shared" si="6"/>
        <v>2.0289726046578433E-2</v>
      </c>
      <c r="H56">
        <f t="shared" si="7"/>
        <v>4.7210737519258569E-2</v>
      </c>
    </row>
    <row r="57" spans="3:8" x14ac:dyDescent="0.2">
      <c r="C57">
        <v>4.3999999999999999E-5</v>
      </c>
      <c r="D57">
        <f t="shared" si="3"/>
        <v>2.5689304327860918E-3</v>
      </c>
      <c r="E57">
        <f t="shared" si="4"/>
        <v>0.27158105708093822</v>
      </c>
      <c r="F57">
        <f t="shared" si="5"/>
        <v>2.360116935909443E-2</v>
      </c>
      <c r="G57">
        <f t="shared" si="6"/>
        <v>2.0765090105668536E-2</v>
      </c>
      <c r="H57">
        <f t="shared" si="7"/>
        <v>4.8319993319234596E-2</v>
      </c>
    </row>
    <row r="58" spans="3:8" x14ac:dyDescent="0.2">
      <c r="C58">
        <v>4.5000000000000003E-5</v>
      </c>
      <c r="D58">
        <f t="shared" si="3"/>
        <v>2.628321027919771E-3</v>
      </c>
      <c r="E58">
        <f t="shared" si="4"/>
        <v>0.27777897066798019</v>
      </c>
      <c r="F58">
        <f t="shared" si="5"/>
        <v>2.4144121771911581E-2</v>
      </c>
      <c r="G58">
        <f t="shared" si="6"/>
        <v>2.1240613708621535E-2</v>
      </c>
      <c r="H58">
        <f t="shared" si="7"/>
        <v>4.9429764195193404E-2</v>
      </c>
    </row>
    <row r="59" spans="3:8" x14ac:dyDescent="0.2">
      <c r="C59">
        <v>4.6E-5</v>
      </c>
      <c r="D59">
        <f t="shared" si="3"/>
        <v>2.6877563258343551E-3</v>
      </c>
      <c r="E59">
        <f t="shared" si="4"/>
        <v>0.28397802278103113</v>
      </c>
      <c r="F59">
        <f t="shared" si="5"/>
        <v>2.4687365838066966E-2</v>
      </c>
      <c r="G59">
        <f t="shared" si="6"/>
        <v>2.1716296855437429E-2</v>
      </c>
      <c r="H59">
        <f t="shared" si="7"/>
        <v>5.0540050147134988E-2</v>
      </c>
    </row>
    <row r="60" spans="3:8" x14ac:dyDescent="0.2">
      <c r="C60">
        <v>4.6999999999999997E-5</v>
      </c>
      <c r="D60">
        <f t="shared" si="3"/>
        <v>2.7472363265298441E-3</v>
      </c>
      <c r="E60">
        <f t="shared" si="4"/>
        <v>0.29017821342009092</v>
      </c>
      <c r="F60">
        <f t="shared" si="5"/>
        <v>2.5230901557560598E-2</v>
      </c>
      <c r="G60">
        <f t="shared" si="6"/>
        <v>2.2192139546116204E-2</v>
      </c>
      <c r="H60">
        <f t="shared" si="7"/>
        <v>5.1650851175059354E-2</v>
      </c>
    </row>
    <row r="61" spans="3:8" x14ac:dyDescent="0.2">
      <c r="C61">
        <v>4.8000000000000001E-5</v>
      </c>
      <c r="D61">
        <f t="shared" si="3"/>
        <v>2.8067610300062384E-3</v>
      </c>
      <c r="E61">
        <f t="shared" si="4"/>
        <v>0.29637954258515986</v>
      </c>
      <c r="F61">
        <f t="shared" si="5"/>
        <v>2.5774728930392475E-2</v>
      </c>
      <c r="G61">
        <f t="shared" si="6"/>
        <v>2.2668141780657888E-2</v>
      </c>
      <c r="H61">
        <f t="shared" si="7"/>
        <v>5.2762167278966515E-2</v>
      </c>
    </row>
    <row r="62" spans="3:8" x14ac:dyDescent="0.2">
      <c r="C62">
        <v>4.8999999999999998E-5</v>
      </c>
      <c r="D62">
        <f t="shared" si="3"/>
        <v>2.8663304362635373E-3</v>
      </c>
      <c r="E62">
        <f t="shared" si="4"/>
        <v>0.30258201027623782</v>
      </c>
      <c r="F62">
        <f t="shared" si="5"/>
        <v>2.6318847956562599E-2</v>
      </c>
      <c r="G62">
        <f t="shared" si="6"/>
        <v>2.3144303559062451E-2</v>
      </c>
      <c r="H62">
        <f t="shared" si="7"/>
        <v>5.3873998458856445E-2</v>
      </c>
    </row>
    <row r="63" spans="3:8" x14ac:dyDescent="0.2">
      <c r="C63">
        <v>5.0000000000000002E-5</v>
      </c>
      <c r="D63">
        <f t="shared" si="3"/>
        <v>2.9259445453017415E-3</v>
      </c>
      <c r="E63">
        <f t="shared" si="4"/>
        <v>0.30878561649332481</v>
      </c>
      <c r="F63">
        <f t="shared" si="5"/>
        <v>2.6863258636070964E-2</v>
      </c>
      <c r="G63">
        <f t="shared" si="6"/>
        <v>2.3620624881329922E-2</v>
      </c>
      <c r="H63">
        <f t="shared" si="7"/>
        <v>5.4986344714729171E-2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6027-D660-DF4E-ADC1-38E0FFD816D4}">
  <dimension ref="B2:G29"/>
  <sheetViews>
    <sheetView topLeftCell="B1" zoomScale="90" workbookViewId="0">
      <selection activeCell="C31" sqref="C31"/>
    </sheetView>
  </sheetViews>
  <sheetFormatPr baseColWidth="10" defaultColWidth="8.83203125" defaultRowHeight="16" x14ac:dyDescent="0.2"/>
  <cols>
    <col min="2" max="2" width="27.6640625" customWidth="1"/>
    <col min="3" max="3" width="11.6640625" customWidth="1"/>
    <col min="4" max="5" width="13.5" customWidth="1"/>
    <col min="6" max="6" width="19.33203125" customWidth="1"/>
    <col min="7" max="7" width="21.1640625" customWidth="1"/>
  </cols>
  <sheetData>
    <row r="2" spans="2:7" x14ac:dyDescent="0.2">
      <c r="B2" t="s">
        <v>488</v>
      </c>
      <c r="C2">
        <v>0.05</v>
      </c>
    </row>
    <row r="3" spans="2:7" x14ac:dyDescent="0.2">
      <c r="B3" t="s">
        <v>489</v>
      </c>
      <c r="C3">
        <v>8.5999999999999993E-2</v>
      </c>
    </row>
    <row r="5" spans="2:7" ht="17" thickBot="1" x14ac:dyDescent="0.25"/>
    <row r="6" spans="2:7" x14ac:dyDescent="0.2">
      <c r="B6" s="827" t="s">
        <v>490</v>
      </c>
      <c r="C6" s="828" t="s">
        <v>491</v>
      </c>
      <c r="D6" s="828" t="s">
        <v>468</v>
      </c>
      <c r="E6" s="828" t="s">
        <v>492</v>
      </c>
      <c r="F6" s="828" t="s">
        <v>493</v>
      </c>
      <c r="G6" s="829" t="s">
        <v>494</v>
      </c>
    </row>
    <row r="7" spans="2:7" x14ac:dyDescent="0.2">
      <c r="B7" s="817" t="s">
        <v>495</v>
      </c>
      <c r="C7" s="126">
        <v>290</v>
      </c>
      <c r="D7" s="126">
        <v>290</v>
      </c>
      <c r="E7" s="126">
        <v>290</v>
      </c>
      <c r="F7" s="126">
        <f>290</f>
        <v>290</v>
      </c>
      <c r="G7" s="130">
        <v>290</v>
      </c>
    </row>
    <row r="8" spans="2:7" x14ac:dyDescent="0.2">
      <c r="B8" s="817" t="s">
        <v>496</v>
      </c>
      <c r="C8" s="126">
        <f>(290-185)</f>
        <v>105</v>
      </c>
      <c r="D8" s="126">
        <f>(290-190)</f>
        <v>100</v>
      </c>
      <c r="E8" s="126">
        <f>290-175</f>
        <v>115</v>
      </c>
      <c r="F8" s="126">
        <f>(290-125)</f>
        <v>165</v>
      </c>
      <c r="G8" s="130">
        <f>290-98.6</f>
        <v>191.4</v>
      </c>
    </row>
    <row r="9" spans="2:7" ht="17" thickBot="1" x14ac:dyDescent="0.25">
      <c r="B9" s="830" t="s">
        <v>484</v>
      </c>
      <c r="C9" s="831">
        <f>C8/C7</f>
        <v>0.36206896551724138</v>
      </c>
      <c r="D9" s="831">
        <f>D8/D7</f>
        <v>0.34482758620689657</v>
      </c>
      <c r="E9" s="831">
        <f>E8/E7</f>
        <v>0.39655172413793105</v>
      </c>
      <c r="F9" s="831">
        <f>F8/F7</f>
        <v>0.56896551724137934</v>
      </c>
      <c r="G9" s="832">
        <f>G8/G7</f>
        <v>0.66</v>
      </c>
    </row>
    <row r="10" spans="2:7" x14ac:dyDescent="0.2">
      <c r="B10" s="833" t="s">
        <v>497</v>
      </c>
      <c r="C10" s="834">
        <v>150</v>
      </c>
      <c r="D10" s="834">
        <v>150</v>
      </c>
      <c r="E10" s="834">
        <v>150</v>
      </c>
      <c r="F10" s="834">
        <v>150</v>
      </c>
      <c r="G10" s="835">
        <v>150</v>
      </c>
    </row>
    <row r="11" spans="2:7" x14ac:dyDescent="0.2">
      <c r="B11" s="817" t="s">
        <v>498</v>
      </c>
      <c r="C11" s="126">
        <f>178.9-31.4</f>
        <v>147.5</v>
      </c>
      <c r="D11" s="126">
        <f>178.6-31.4</f>
        <v>147.19999999999999</v>
      </c>
      <c r="E11" s="126">
        <f>178.7-31.4</f>
        <v>147.29999999999998</v>
      </c>
      <c r="F11" s="126">
        <f>180.9-31.4</f>
        <v>149.5</v>
      </c>
      <c r="G11" s="130">
        <f>178.5-31.4</f>
        <v>147.1</v>
      </c>
    </row>
    <row r="12" spans="2:7" x14ac:dyDescent="0.2">
      <c r="B12" s="817" t="s">
        <v>499</v>
      </c>
      <c r="C12" s="126">
        <f>51.93-31.4</f>
        <v>20.53</v>
      </c>
      <c r="D12" s="126">
        <f>131.5-31.4</f>
        <v>100.1</v>
      </c>
      <c r="E12" s="126">
        <f>159.6-31.4</f>
        <v>128.19999999999999</v>
      </c>
      <c r="F12" s="126">
        <f>51.34-31.4</f>
        <v>19.940000000000005</v>
      </c>
      <c r="G12" s="130">
        <f>50.53-31.4</f>
        <v>19.130000000000003</v>
      </c>
    </row>
    <row r="13" spans="2:7" x14ac:dyDescent="0.2">
      <c r="B13" s="817" t="s">
        <v>500</v>
      </c>
      <c r="C13" s="126">
        <f>C11-C12</f>
        <v>126.97</v>
      </c>
      <c r="D13" s="126">
        <f>D11-D12</f>
        <v>47.099999999999994</v>
      </c>
      <c r="E13" s="126">
        <f>E11-E12</f>
        <v>19.099999999999994</v>
      </c>
      <c r="F13" s="126">
        <f>F11-F12</f>
        <v>129.56</v>
      </c>
      <c r="G13" s="130">
        <f>G11-G12</f>
        <v>127.97</v>
      </c>
    </row>
    <row r="14" spans="2:7" ht="17" thickBot="1" x14ac:dyDescent="0.25">
      <c r="B14" s="830" t="s">
        <v>501</v>
      </c>
      <c r="C14" s="831">
        <f>C13/C11</f>
        <v>0.86081355932203385</v>
      </c>
      <c r="D14" s="831">
        <f>D13/D11</f>
        <v>0.31997282608695649</v>
      </c>
      <c r="E14" s="831">
        <f>E13/E11</f>
        <v>0.12966734555329257</v>
      </c>
      <c r="F14" s="831">
        <f>F13/F11</f>
        <v>0.86662207357859533</v>
      </c>
      <c r="G14" s="832">
        <f>G13/G11</f>
        <v>0.8699524133242692</v>
      </c>
    </row>
    <row r="16" spans="2:7" ht="17" thickBot="1" x14ac:dyDescent="0.25"/>
    <row r="17" spans="2:7" ht="17" thickBot="1" x14ac:dyDescent="0.25">
      <c r="B17" s="827" t="s">
        <v>490</v>
      </c>
      <c r="C17" s="828" t="s">
        <v>491</v>
      </c>
      <c r="D17" s="828" t="s">
        <v>468</v>
      </c>
      <c r="E17" s="828" t="s">
        <v>492</v>
      </c>
      <c r="F17" s="828" t="s">
        <v>493</v>
      </c>
      <c r="G17" s="829" t="s">
        <v>494</v>
      </c>
    </row>
    <row r="18" spans="2:7" x14ac:dyDescent="0.2">
      <c r="B18" s="833" t="s">
        <v>497</v>
      </c>
      <c r="C18" s="834">
        <v>150</v>
      </c>
      <c r="D18" s="834">
        <v>150</v>
      </c>
      <c r="E18" s="834">
        <v>150</v>
      </c>
      <c r="F18" s="834">
        <v>150</v>
      </c>
      <c r="G18" s="835">
        <v>150</v>
      </c>
    </row>
    <row r="19" spans="2:7" x14ac:dyDescent="0.2">
      <c r="B19" s="817" t="s">
        <v>498</v>
      </c>
      <c r="C19" s="126">
        <f>178.9-31.4</f>
        <v>147.5</v>
      </c>
      <c r="D19" s="126">
        <f>178.6-31.4</f>
        <v>147.19999999999999</v>
      </c>
      <c r="E19" s="126">
        <f>178.7-31.4</f>
        <v>147.29999999999998</v>
      </c>
      <c r="F19" s="126">
        <f>180.9-31.4</f>
        <v>149.5</v>
      </c>
      <c r="G19" s="130">
        <f>178.5-31.4</f>
        <v>147.1</v>
      </c>
    </row>
    <row r="20" spans="2:7" x14ac:dyDescent="0.2">
      <c r="B20" s="817" t="s">
        <v>499</v>
      </c>
      <c r="C20" s="126">
        <f>51.93-31.4</f>
        <v>20.53</v>
      </c>
      <c r="D20" s="126">
        <f>131.5-31.4</f>
        <v>100.1</v>
      </c>
      <c r="E20" s="126">
        <f>159.6-31.4</f>
        <v>128.19999999999999</v>
      </c>
      <c r="F20" s="126">
        <f>51.34-31.4</f>
        <v>19.940000000000005</v>
      </c>
      <c r="G20" s="130">
        <f>50.53-31.4</f>
        <v>19.130000000000003</v>
      </c>
    </row>
    <row r="21" spans="2:7" x14ac:dyDescent="0.2">
      <c r="B21" s="817" t="s">
        <v>500</v>
      </c>
      <c r="C21" s="126">
        <f>C19-C20</f>
        <v>126.97</v>
      </c>
      <c r="D21" s="126">
        <f>D19-D20</f>
        <v>47.099999999999994</v>
      </c>
      <c r="E21" s="126">
        <f>E19-E20</f>
        <v>19.099999999999994</v>
      </c>
      <c r="F21" s="126">
        <f>F19-F20</f>
        <v>129.56</v>
      </c>
      <c r="G21" s="130">
        <f>G19-G20</f>
        <v>127.97</v>
      </c>
    </row>
    <row r="22" spans="2:7" ht="17" thickBot="1" x14ac:dyDescent="0.25">
      <c r="B22" s="830" t="s">
        <v>501</v>
      </c>
      <c r="C22" s="831">
        <f>C21/C19</f>
        <v>0.86081355932203385</v>
      </c>
      <c r="D22" s="831">
        <f>D21/D19</f>
        <v>0.31997282608695649</v>
      </c>
      <c r="E22" s="831">
        <f>E21/E19</f>
        <v>0.12966734555329257</v>
      </c>
      <c r="F22" s="831">
        <f>F21/F19</f>
        <v>0.86662207357859533</v>
      </c>
      <c r="G22" s="832">
        <f>G21/G19</f>
        <v>0.8699524133242692</v>
      </c>
    </row>
    <row r="24" spans="2:7" ht="17" thickBot="1" x14ac:dyDescent="0.25"/>
    <row r="25" spans="2:7" x14ac:dyDescent="0.2">
      <c r="B25" s="827" t="s">
        <v>490</v>
      </c>
      <c r="C25" s="828" t="s">
        <v>491</v>
      </c>
      <c r="D25" s="828" t="s">
        <v>468</v>
      </c>
      <c r="E25" s="828" t="s">
        <v>492</v>
      </c>
      <c r="F25" s="828" t="s">
        <v>493</v>
      </c>
      <c r="G25" s="829" t="s">
        <v>494</v>
      </c>
    </row>
    <row r="26" spans="2:7" ht="17" thickBot="1" x14ac:dyDescent="0.25">
      <c r="B26" s="830" t="s">
        <v>484</v>
      </c>
      <c r="C26" s="831">
        <v>0.36206896551724138</v>
      </c>
      <c r="D26" s="831">
        <v>0.34482758620689657</v>
      </c>
      <c r="E26" s="831">
        <v>0.39655172413793105</v>
      </c>
      <c r="F26" s="831">
        <v>0.56896551724137934</v>
      </c>
      <c r="G26" s="832">
        <v>0.66</v>
      </c>
    </row>
    <row r="27" spans="2:7" ht="17" thickBot="1" x14ac:dyDescent="0.25"/>
    <row r="28" spans="2:7" x14ac:dyDescent="0.2">
      <c r="B28" s="827" t="s">
        <v>490</v>
      </c>
      <c r="C28" s="828" t="s">
        <v>491</v>
      </c>
      <c r="D28" s="828" t="s">
        <v>468</v>
      </c>
      <c r="E28" s="828" t="s">
        <v>492</v>
      </c>
      <c r="F28" s="828" t="s">
        <v>493</v>
      </c>
      <c r="G28" s="829" t="s">
        <v>494</v>
      </c>
    </row>
    <row r="29" spans="2:7" x14ac:dyDescent="0.2">
      <c r="B29" t="s">
        <v>501</v>
      </c>
      <c r="C29">
        <v>0.86081355932203385</v>
      </c>
      <c r="D29">
        <v>0.31997282608695649</v>
      </c>
      <c r="E29">
        <v>0.12966734555329257</v>
      </c>
      <c r="F29">
        <v>0.86662207357859533</v>
      </c>
      <c r="G29">
        <v>0.8699524133242692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17F75-F737-1A48-A5DE-BABF284813C7}">
  <dimension ref="B2:I66"/>
  <sheetViews>
    <sheetView workbookViewId="0">
      <selection activeCell="L37" sqref="L37"/>
    </sheetView>
  </sheetViews>
  <sheetFormatPr baseColWidth="10" defaultColWidth="8.83203125" defaultRowHeight="16" x14ac:dyDescent="0.2"/>
  <cols>
    <col min="2" max="2" width="31" customWidth="1"/>
    <col min="3" max="3" width="18.5" customWidth="1"/>
    <col min="4" max="4" width="19.6640625" customWidth="1"/>
    <col min="5" max="5" width="18.6640625" customWidth="1"/>
    <col min="6" max="6" width="16.5" customWidth="1"/>
    <col min="7" max="7" width="12" bestFit="1" customWidth="1"/>
  </cols>
  <sheetData>
    <row r="2" spans="2:9" x14ac:dyDescent="0.2">
      <c r="B2" s="126" t="s">
        <v>502</v>
      </c>
      <c r="C2" s="126" t="s">
        <v>503</v>
      </c>
      <c r="D2" s="126" t="s">
        <v>504</v>
      </c>
      <c r="E2" s="126" t="s">
        <v>505</v>
      </c>
    </row>
    <row r="3" spans="2:9" x14ac:dyDescent="0.2">
      <c r="B3" s="126" t="s">
        <v>470</v>
      </c>
      <c r="C3" s="126">
        <v>7.2550000000000002E-4</v>
      </c>
      <c r="D3" s="126">
        <v>7.2550000000000002E-4</v>
      </c>
      <c r="E3" s="126">
        <v>7.2550000000000002E-4</v>
      </c>
    </row>
    <row r="4" spans="2:9" x14ac:dyDescent="0.2">
      <c r="B4" s="126" t="s">
        <v>473</v>
      </c>
      <c r="C4" s="126">
        <v>993.95</v>
      </c>
      <c r="D4" s="126">
        <v>993.95</v>
      </c>
      <c r="E4" s="126">
        <v>993.95</v>
      </c>
      <c r="I4" s="780"/>
    </row>
    <row r="5" spans="2:9" x14ac:dyDescent="0.2">
      <c r="B5" s="126" t="s">
        <v>506</v>
      </c>
      <c r="C5" s="126">
        <v>1.028</v>
      </c>
      <c r="D5" s="126">
        <v>1.05</v>
      </c>
      <c r="E5" s="126">
        <v>1.075</v>
      </c>
    </row>
    <row r="6" spans="2:9" x14ac:dyDescent="0.2">
      <c r="B6" s="126" t="s">
        <v>507</v>
      </c>
      <c r="C6" s="126">
        <f>C5*C4</f>
        <v>1021.7806</v>
      </c>
      <c r="D6" s="126">
        <f t="shared" ref="D6:E6" si="0">D5*D4</f>
        <v>1043.6475</v>
      </c>
      <c r="E6" s="126">
        <f t="shared" si="0"/>
        <v>1068.4962499999999</v>
      </c>
    </row>
    <row r="7" spans="2:9" x14ac:dyDescent="0.2">
      <c r="B7" s="126" t="s">
        <v>508</v>
      </c>
      <c r="C7" s="126">
        <v>1.15E-3</v>
      </c>
      <c r="D7" s="126">
        <v>2.5999999999999999E-3</v>
      </c>
      <c r="E7" s="126">
        <v>4.2500000000000003E-3</v>
      </c>
    </row>
    <row r="8" spans="2:9" x14ac:dyDescent="0.2">
      <c r="B8" s="126" t="s">
        <v>509</v>
      </c>
      <c r="C8" s="126">
        <v>0.9</v>
      </c>
      <c r="D8" s="126">
        <v>0.71</v>
      </c>
      <c r="E8" s="126">
        <v>0.64</v>
      </c>
    </row>
    <row r="9" spans="2:9" x14ac:dyDescent="0.2">
      <c r="B9" s="126" t="s">
        <v>476</v>
      </c>
      <c r="C9" s="126">
        <v>0.25</v>
      </c>
      <c r="D9" s="126">
        <v>0.25</v>
      </c>
      <c r="E9" s="126">
        <v>0.25</v>
      </c>
    </row>
    <row r="10" spans="2:9" x14ac:dyDescent="0.2">
      <c r="B10" s="126" t="s">
        <v>510</v>
      </c>
      <c r="C10" s="126">
        <v>8.5999999999999993E-2</v>
      </c>
      <c r="D10" s="126">
        <v>8.5999999999999993E-2</v>
      </c>
      <c r="E10" s="126">
        <v>8.5999999999999993E-2</v>
      </c>
    </row>
    <row r="11" spans="2:9" x14ac:dyDescent="0.2">
      <c r="B11" s="126" t="s">
        <v>511</v>
      </c>
      <c r="C11" s="126">
        <f>(3.14159*C10^2)/4</f>
        <v>5.8087999099999989E-3</v>
      </c>
      <c r="D11" s="126">
        <f t="shared" ref="D11:E11" si="1">(3.14159*D10^2)/4</f>
        <v>5.8087999099999989E-3</v>
      </c>
      <c r="E11" s="126">
        <f t="shared" si="1"/>
        <v>5.8087999099999989E-3</v>
      </c>
    </row>
    <row r="12" spans="2:9" x14ac:dyDescent="0.2">
      <c r="B12" s="126" t="s">
        <v>512</v>
      </c>
      <c r="C12" s="126">
        <v>3.0000000000000001E-3</v>
      </c>
      <c r="D12" s="126">
        <v>3.0000000000000001E-3</v>
      </c>
      <c r="E12" s="126">
        <v>3.0000000000000001E-3</v>
      </c>
    </row>
    <row r="13" spans="2:9" x14ac:dyDescent="0.2">
      <c r="B13" s="126" t="s">
        <v>513</v>
      </c>
      <c r="C13" s="126">
        <v>9.0690835430845239E-3</v>
      </c>
      <c r="D13" s="126">
        <v>1.303353268619915E-2</v>
      </c>
      <c r="E13" s="126">
        <v>1.9154481231168179E-2</v>
      </c>
    </row>
    <row r="14" spans="2:9" x14ac:dyDescent="0.2">
      <c r="B14" s="126" t="s">
        <v>539</v>
      </c>
      <c r="C14" s="126">
        <v>1</v>
      </c>
      <c r="D14" s="126">
        <v>1</v>
      </c>
      <c r="E14" s="126">
        <v>1</v>
      </c>
    </row>
    <row r="15" spans="2:9" x14ac:dyDescent="0.2">
      <c r="B15" s="126" t="s">
        <v>515</v>
      </c>
      <c r="C15" s="126">
        <f>C14*(C6-C4)</f>
        <v>27.830600000000004</v>
      </c>
      <c r="D15" s="126">
        <f t="shared" ref="D15:E15" si="2">D14*(D6-D4)</f>
        <v>49.697499999999991</v>
      </c>
      <c r="E15" s="126">
        <f t="shared" si="2"/>
        <v>74.546249999999873</v>
      </c>
    </row>
    <row r="16" spans="2:9" x14ac:dyDescent="0.2">
      <c r="B16" s="126" t="s">
        <v>516</v>
      </c>
      <c r="C16" s="126">
        <f>((150*C$3*C13*(1-C8)/((C7^2)*(C8^3)))+((1.75*C$4*(C13^2)/(C7*(C8^3)))))</f>
        <v>273.01820456345553</v>
      </c>
      <c r="D16" s="126">
        <f>((150*D$3*D13*(1-D8)/((D7^2)*(D8^3)))+((1.75*D$4*(D13^2)/(D7*(D8^3)))))</f>
        <v>487.53251552598533</v>
      </c>
      <c r="E16" s="126">
        <f t="shared" ref="E16" si="3">((150*E$3*E13*(1-E8)/((E7^2)*(E8^3)))+((1.75*E$4*(E13^2)/(E7*(E8^3)))))</f>
        <v>731.29858963249694</v>
      </c>
    </row>
    <row r="18" spans="2:8" x14ac:dyDescent="0.2">
      <c r="B18" s="126" t="s">
        <v>486</v>
      </c>
      <c r="C18" s="126" t="s">
        <v>517</v>
      </c>
      <c r="D18" s="126" t="s">
        <v>518</v>
      </c>
      <c r="E18" s="126" t="s">
        <v>519</v>
      </c>
      <c r="F18" s="126" t="s">
        <v>520</v>
      </c>
      <c r="G18" s="126" t="s">
        <v>521</v>
      </c>
      <c r="H18" s="126" t="s">
        <v>198</v>
      </c>
    </row>
    <row r="19" spans="2:8" x14ac:dyDescent="0.2">
      <c r="B19" s="126">
        <v>3.8550000000000004E-6</v>
      </c>
      <c r="C19" s="126">
        <f>(((150*C$3*B19*C$9/(C$7^2))*((1-C$8)^2/(C$8^3)))+((1.75*C$9*C$4*(B19^2)/C$7)*((1-C$8)/(C$8^3))))</f>
        <v>1.0886229516712425E-3</v>
      </c>
      <c r="D19" s="126">
        <f>(((150*D$3*B19*C$9)/(D$7^2))*((1-D$8)^2/(D$8^3)))+((1.75*C$9*C$4*(B19^2)/D$7)*((1-D$8)/D$8^3))</f>
        <v>3.6475996859914538E-3</v>
      </c>
      <c r="E19" s="126">
        <f>(((150*C$3*B19*C$9)/(E$7^2))*((1-E$8)^2/(E$8^3))+((1.75*C$9*C$4*(B19^2)/E$7)*((1-E$8)/(E$8^3))))</f>
        <v>2.872738439569237E-3</v>
      </c>
      <c r="F19" s="126">
        <f>(B19*C$7*C$4)/(C$3*(1-C$8))</f>
        <v>6.073644159200553E-2</v>
      </c>
      <c r="G19" s="126">
        <f>C$11*B19</f>
        <v>2.2392923653049997E-8</v>
      </c>
      <c r="H19" s="126">
        <f>C$12/(G19*3600)</f>
        <v>37.214137208913776</v>
      </c>
    </row>
    <row r="20" spans="2:8" x14ac:dyDescent="0.2">
      <c r="B20" s="126">
        <v>3.9999999999999998E-6</v>
      </c>
      <c r="C20" s="126">
        <f t="shared" ref="C20:C66" si="4">(((150*C$3*B20*C$9/(C$7^2))*((1-C$8)^2/(C$8^3)))+((1.75*C$9*C$4*(B20^2)/C$7)*((1-C$8)/(C$8^3))))</f>
        <v>1.1295999437300488E-3</v>
      </c>
      <c r="D20" s="126">
        <f t="shared" ref="D20:D66" si="5">(((150*C$3*B20*C$9)/(D$7^2))*((1-D$8)^2/(D$8^3)))+((1.75*C$9*C$4*(B20^2)/D$7)*((1-D$8)/D$8^3))</f>
        <v>3.7848772361411013E-3</v>
      </c>
      <c r="E20" s="126">
        <f t="shared" ref="E20:E66" si="6">(((150*C$3*B20*C$9)/(E$7^2))*((1-E$8)^2/(E$8^3))+((1.75*C$9*C$4*(B20^2)/E$7)*((1-E$8)/(E$8^3))))</f>
        <v>2.9808736526858838E-3</v>
      </c>
      <c r="F20" s="126">
        <f t="shared" ref="F20:F66" si="7">(B20*C$7*C$4)/(C$3*(1-C$8))</f>
        <v>6.3020951068228817E-2</v>
      </c>
      <c r="G20" s="126">
        <f t="shared" ref="G20:G66" si="8">C$11*B20</f>
        <v>2.3235199639999996E-8</v>
      </c>
      <c r="H20" s="126">
        <f t="shared" ref="H20:H66" si="9">C$12/(G20*3600)</f>
        <v>35.865124735090653</v>
      </c>
    </row>
    <row r="21" spans="2:8" x14ac:dyDescent="0.2">
      <c r="B21" s="126">
        <v>5.0000000000000004E-6</v>
      </c>
      <c r="C21" s="126">
        <f t="shared" si="4"/>
        <v>1.4122592802470423E-3</v>
      </c>
      <c r="D21" s="126">
        <f t="shared" si="5"/>
        <v>4.7317741277116679E-3</v>
      </c>
      <c r="E21" s="126">
        <f t="shared" si="6"/>
        <v>3.7267946304334484E-3</v>
      </c>
      <c r="F21" s="126">
        <f t="shared" si="7"/>
        <v>7.8776188835286032E-2</v>
      </c>
      <c r="G21" s="126">
        <f t="shared" si="8"/>
        <v>2.9043999549999998E-8</v>
      </c>
      <c r="H21" s="126">
        <f t="shared" si="9"/>
        <v>28.692099788072522</v>
      </c>
    </row>
    <row r="22" spans="2:8" x14ac:dyDescent="0.2">
      <c r="B22" s="126">
        <v>6.0000000000000002E-6</v>
      </c>
      <c r="C22" s="126">
        <f t="shared" si="4"/>
        <v>1.6950223569978285E-3</v>
      </c>
      <c r="D22" s="126">
        <f t="shared" si="5"/>
        <v>5.6789420522963489E-3</v>
      </c>
      <c r="E22" s="126">
        <f t="shared" si="6"/>
        <v>4.4729966340114492E-3</v>
      </c>
      <c r="F22" s="126">
        <f t="shared" si="7"/>
        <v>9.4531426602343233E-2</v>
      </c>
      <c r="G22" s="126">
        <f t="shared" si="8"/>
        <v>3.4852799459999996E-8</v>
      </c>
      <c r="H22" s="126">
        <f t="shared" si="9"/>
        <v>23.910083156727104</v>
      </c>
    </row>
    <row r="23" spans="2:8" x14ac:dyDescent="0.2">
      <c r="B23" s="126">
        <v>6.9999999999999999E-6</v>
      </c>
      <c r="C23" s="126">
        <f t="shared" si="4"/>
        <v>1.9778891739824071E-3</v>
      </c>
      <c r="D23" s="126">
        <f t="shared" si="5"/>
        <v>6.626381009895147E-3</v>
      </c>
      <c r="E23" s="126">
        <f t="shared" si="6"/>
        <v>5.2194796634198867E-3</v>
      </c>
      <c r="F23" s="126">
        <f t="shared" si="7"/>
        <v>0.11028666436940042</v>
      </c>
      <c r="G23" s="126">
        <f t="shared" si="8"/>
        <v>4.0661599369999991E-8</v>
      </c>
      <c r="H23" s="126">
        <f t="shared" si="9"/>
        <v>20.494356991480377</v>
      </c>
    </row>
    <row r="24" spans="2:8" x14ac:dyDescent="0.2">
      <c r="B24" s="126">
        <v>7.9999999999999996E-6</v>
      </c>
      <c r="C24" s="126">
        <f t="shared" si="4"/>
        <v>2.2608597312007784E-3</v>
      </c>
      <c r="D24" s="126">
        <f t="shared" si="5"/>
        <v>7.5740910005080639E-3</v>
      </c>
      <c r="E24" s="126">
        <f t="shared" si="6"/>
        <v>5.9662437186587623E-3</v>
      </c>
      <c r="F24" s="126">
        <f t="shared" si="7"/>
        <v>0.12604190213645763</v>
      </c>
      <c r="G24" s="126">
        <f t="shared" si="8"/>
        <v>4.6470399279999992E-8</v>
      </c>
      <c r="H24" s="126">
        <f t="shared" si="9"/>
        <v>17.932562367545327</v>
      </c>
    </row>
    <row r="25" spans="2:8" x14ac:dyDescent="0.2">
      <c r="B25" s="126">
        <v>9.0000000000000002E-6</v>
      </c>
      <c r="C25" s="126">
        <f t="shared" si="4"/>
        <v>2.5439340286529427E-3</v>
      </c>
      <c r="D25" s="126">
        <f t="shared" si="5"/>
        <v>8.5220720241350953E-3</v>
      </c>
      <c r="E25" s="126">
        <f t="shared" si="6"/>
        <v>6.7132887997280758E-3</v>
      </c>
      <c r="F25" s="126">
        <f t="shared" si="7"/>
        <v>0.14179713990351486</v>
      </c>
      <c r="G25" s="126">
        <f t="shared" si="8"/>
        <v>5.2279199189999994E-8</v>
      </c>
      <c r="H25" s="126">
        <f t="shared" si="9"/>
        <v>15.940055437818067</v>
      </c>
    </row>
    <row r="26" spans="2:8" x14ac:dyDescent="0.2">
      <c r="B26" s="126">
        <v>1.0000000000000001E-5</v>
      </c>
      <c r="C26" s="126">
        <f t="shared" si="4"/>
        <v>2.8271120663388985E-3</v>
      </c>
      <c r="D26" s="126">
        <f t="shared" si="5"/>
        <v>9.4703240807762438E-3</v>
      </c>
      <c r="E26" s="126">
        <f t="shared" si="6"/>
        <v>7.4606149066278257E-3</v>
      </c>
      <c r="F26" s="126">
        <f t="shared" si="7"/>
        <v>0.15755237767057206</v>
      </c>
      <c r="G26" s="126">
        <f t="shared" si="8"/>
        <v>5.8087999099999995E-8</v>
      </c>
      <c r="H26" s="126">
        <f t="shared" si="9"/>
        <v>14.346049894036261</v>
      </c>
    </row>
    <row r="27" spans="2:8" x14ac:dyDescent="0.2">
      <c r="B27" s="126">
        <v>1.1E-5</v>
      </c>
      <c r="C27" s="126">
        <f t="shared" si="4"/>
        <v>3.1103938442586482E-3</v>
      </c>
      <c r="D27" s="126">
        <f t="shared" si="5"/>
        <v>1.0418847170431508E-2</v>
      </c>
      <c r="E27" s="126">
        <f t="shared" si="6"/>
        <v>8.208222039358011E-3</v>
      </c>
      <c r="F27" s="126">
        <f t="shared" si="7"/>
        <v>0.17330761543762926</v>
      </c>
      <c r="G27" s="126">
        <f t="shared" si="8"/>
        <v>6.3896799009999983E-8</v>
      </c>
      <c r="H27" s="126">
        <f t="shared" si="9"/>
        <v>13.041863540032967</v>
      </c>
    </row>
    <row r="28" spans="2:8" x14ac:dyDescent="0.2">
      <c r="B28" s="126">
        <v>1.2E-5</v>
      </c>
      <c r="C28" s="126">
        <f t="shared" si="4"/>
        <v>3.3937793624121896E-3</v>
      </c>
      <c r="D28" s="126">
        <f t="shared" si="5"/>
        <v>1.1367641293100885E-2</v>
      </c>
      <c r="E28" s="126">
        <f t="shared" si="6"/>
        <v>8.9561101979186361E-3</v>
      </c>
      <c r="F28" s="126">
        <f t="shared" si="7"/>
        <v>0.18906285320468647</v>
      </c>
      <c r="G28" s="126">
        <f t="shared" si="8"/>
        <v>6.9705598919999992E-8</v>
      </c>
      <c r="H28" s="126">
        <f t="shared" si="9"/>
        <v>11.955041578363552</v>
      </c>
    </row>
    <row r="29" spans="2:8" x14ac:dyDescent="0.2">
      <c r="B29" s="126">
        <v>1.2999999999999999E-5</v>
      </c>
      <c r="C29" s="126">
        <f t="shared" si="4"/>
        <v>3.6772686207995238E-3</v>
      </c>
      <c r="D29" s="126">
        <f t="shared" si="5"/>
        <v>1.2316706448784383E-2</v>
      </c>
      <c r="E29" s="126">
        <f t="shared" si="6"/>
        <v>9.7042793823096957E-3</v>
      </c>
      <c r="F29" s="126">
        <f t="shared" si="7"/>
        <v>0.20481809097174364</v>
      </c>
      <c r="G29" s="126">
        <f t="shared" si="8"/>
        <v>7.5514398829999986E-8</v>
      </c>
      <c r="H29" s="126">
        <f t="shared" si="9"/>
        <v>11.03542299541251</v>
      </c>
    </row>
    <row r="30" spans="2:8" x14ac:dyDescent="0.2">
      <c r="B30" s="126">
        <v>1.4E-5</v>
      </c>
      <c r="C30" s="126">
        <f t="shared" si="4"/>
        <v>3.9608616194206506E-3</v>
      </c>
      <c r="D30" s="126">
        <f t="shared" si="5"/>
        <v>1.3266042637481993E-2</v>
      </c>
      <c r="E30" s="126">
        <f t="shared" si="6"/>
        <v>1.0452729592531195E-2</v>
      </c>
      <c r="F30" s="126">
        <f t="shared" si="7"/>
        <v>0.22057332873880084</v>
      </c>
      <c r="G30" s="126">
        <f t="shared" si="8"/>
        <v>8.1323198739999981E-8</v>
      </c>
      <c r="H30" s="126">
        <f t="shared" si="9"/>
        <v>10.247178495740188</v>
      </c>
    </row>
    <row r="31" spans="2:8" x14ac:dyDescent="0.2">
      <c r="B31" s="126">
        <v>1.5E-5</v>
      </c>
      <c r="C31" s="126">
        <f t="shared" si="4"/>
        <v>4.2445583582755696E-3</v>
      </c>
      <c r="D31" s="126">
        <f t="shared" si="5"/>
        <v>1.4215649859193727E-2</v>
      </c>
      <c r="E31" s="126">
        <f t="shared" si="6"/>
        <v>1.1201460828583131E-2</v>
      </c>
      <c r="F31" s="126">
        <f t="shared" si="7"/>
        <v>0.23632856650585807</v>
      </c>
      <c r="G31" s="126">
        <f t="shared" si="8"/>
        <v>8.7131998649999989E-8</v>
      </c>
      <c r="H31" s="126">
        <f t="shared" si="9"/>
        <v>9.5640332626908418</v>
      </c>
    </row>
    <row r="32" spans="2:8" x14ac:dyDescent="0.2">
      <c r="B32" s="126">
        <v>1.5999999999999999E-5</v>
      </c>
      <c r="C32" s="126">
        <f t="shared" si="4"/>
        <v>4.5283588373642809E-3</v>
      </c>
      <c r="D32" s="126">
        <f t="shared" si="5"/>
        <v>1.5165528113919571E-2</v>
      </c>
      <c r="E32" s="126">
        <f t="shared" si="6"/>
        <v>1.1950473090465503E-2</v>
      </c>
      <c r="F32" s="126">
        <f t="shared" si="7"/>
        <v>0.25208380427291527</v>
      </c>
      <c r="G32" s="126">
        <f t="shared" si="8"/>
        <v>9.2940798559999984E-8</v>
      </c>
      <c r="H32" s="126">
        <f t="shared" si="9"/>
        <v>8.9662811837726633</v>
      </c>
    </row>
    <row r="33" spans="2:8" x14ac:dyDescent="0.2">
      <c r="B33" s="126">
        <v>1.7E-5</v>
      </c>
      <c r="C33" s="126">
        <f t="shared" si="4"/>
        <v>4.8122630566867861E-3</v>
      </c>
      <c r="D33" s="126">
        <f t="shared" si="5"/>
        <v>1.611567740165953E-2</v>
      </c>
      <c r="E33" s="126">
        <f t="shared" si="6"/>
        <v>1.2699766378178313E-2</v>
      </c>
      <c r="F33" s="126">
        <f t="shared" si="7"/>
        <v>0.2678390420399725</v>
      </c>
      <c r="G33" s="126">
        <f t="shared" si="8"/>
        <v>9.8749598469999979E-8</v>
      </c>
      <c r="H33" s="126">
        <f t="shared" si="9"/>
        <v>8.4388528788448607</v>
      </c>
    </row>
    <row r="34" spans="2:8" x14ac:dyDescent="0.2">
      <c r="B34" s="126">
        <v>1.8E-5</v>
      </c>
      <c r="C34" s="126">
        <f t="shared" si="4"/>
        <v>5.0962710162430836E-3</v>
      </c>
      <c r="D34" s="126">
        <f t="shared" si="5"/>
        <v>1.706609772241361E-2</v>
      </c>
      <c r="E34" s="126">
        <f t="shared" si="6"/>
        <v>1.3449340691721561E-2</v>
      </c>
      <c r="F34" s="126">
        <f t="shared" si="7"/>
        <v>0.28359427980702973</v>
      </c>
      <c r="G34" s="126">
        <f t="shared" si="8"/>
        <v>1.0455839837999999E-7</v>
      </c>
      <c r="H34" s="126">
        <f t="shared" si="9"/>
        <v>7.9700277189090336</v>
      </c>
    </row>
    <row r="35" spans="2:8" x14ac:dyDescent="0.2">
      <c r="B35" s="126">
        <v>1.9000000000000001E-5</v>
      </c>
      <c r="C35" s="126">
        <f t="shared" si="4"/>
        <v>5.3803827160331724E-3</v>
      </c>
      <c r="D35" s="126">
        <f t="shared" si="5"/>
        <v>1.8016789076181806E-2</v>
      </c>
      <c r="E35" s="126">
        <f t="shared" si="6"/>
        <v>1.4199196031095243E-2</v>
      </c>
      <c r="F35" s="126">
        <f t="shared" si="7"/>
        <v>0.2993495175740869</v>
      </c>
      <c r="G35" s="126">
        <f t="shared" si="8"/>
        <v>1.1036719828999998E-7</v>
      </c>
      <c r="H35" s="126">
        <f t="shared" si="9"/>
        <v>7.5505525758085588</v>
      </c>
    </row>
    <row r="36" spans="2:8" x14ac:dyDescent="0.2">
      <c r="B36" s="126">
        <v>2.0000000000000002E-5</v>
      </c>
      <c r="C36" s="126">
        <f t="shared" si="4"/>
        <v>5.6645981560570543E-3</v>
      </c>
      <c r="D36" s="126">
        <f t="shared" si="5"/>
        <v>1.896775146296412E-2</v>
      </c>
      <c r="E36" s="126">
        <f t="shared" si="6"/>
        <v>1.4949332396299366E-2</v>
      </c>
      <c r="F36" s="126">
        <f t="shared" si="7"/>
        <v>0.31510475534114413</v>
      </c>
      <c r="G36" s="126">
        <f t="shared" si="8"/>
        <v>1.1617599819999999E-7</v>
      </c>
      <c r="H36" s="126">
        <f t="shared" si="9"/>
        <v>7.1730249470181304</v>
      </c>
    </row>
    <row r="37" spans="2:8" x14ac:dyDescent="0.2">
      <c r="B37" s="126">
        <v>2.0999999999999999E-5</v>
      </c>
      <c r="C37" s="126">
        <f t="shared" si="4"/>
        <v>5.9489173363147284E-3</v>
      </c>
      <c r="D37" s="126">
        <f t="shared" si="5"/>
        <v>1.9918984882760539E-2</v>
      </c>
      <c r="E37" s="126">
        <f t="shared" si="6"/>
        <v>1.5699749787333919E-2</v>
      </c>
      <c r="F37" s="126">
        <f t="shared" si="7"/>
        <v>0.3308599931082013</v>
      </c>
      <c r="G37" s="126">
        <f t="shared" si="8"/>
        <v>1.2198479810999996E-7</v>
      </c>
      <c r="H37" s="126">
        <f t="shared" si="9"/>
        <v>6.8314523304934598</v>
      </c>
    </row>
    <row r="38" spans="2:8" x14ac:dyDescent="0.2">
      <c r="B38" s="126">
        <v>2.1999999999999999E-5</v>
      </c>
      <c r="C38" s="126">
        <f t="shared" si="4"/>
        <v>6.2333402568061965E-3</v>
      </c>
      <c r="D38" s="126">
        <f t="shared" si="5"/>
        <v>2.0870489335571087E-2</v>
      </c>
      <c r="E38" s="126">
        <f t="shared" si="6"/>
        <v>1.6450448204198918E-2</v>
      </c>
      <c r="F38" s="126">
        <f t="shared" si="7"/>
        <v>0.34661523087525853</v>
      </c>
      <c r="G38" s="126">
        <f t="shared" si="8"/>
        <v>1.2779359801999997E-7</v>
      </c>
      <c r="H38" s="126">
        <f t="shared" si="9"/>
        <v>6.5209317700164835</v>
      </c>
    </row>
    <row r="39" spans="2:8" x14ac:dyDescent="0.2">
      <c r="B39" s="126">
        <v>2.3E-5</v>
      </c>
      <c r="C39" s="126">
        <f t="shared" si="4"/>
        <v>6.5178669175314551E-3</v>
      </c>
      <c r="D39" s="126">
        <f t="shared" si="5"/>
        <v>2.1822264821395744E-2</v>
      </c>
      <c r="E39" s="126">
        <f t="shared" si="6"/>
        <v>1.7201427646894349E-2</v>
      </c>
      <c r="F39" s="126">
        <f t="shared" si="7"/>
        <v>0.3623704686423157</v>
      </c>
      <c r="G39" s="126">
        <f t="shared" si="8"/>
        <v>1.3360239792999997E-7</v>
      </c>
      <c r="H39" s="126">
        <f t="shared" si="9"/>
        <v>6.2374129974070707</v>
      </c>
    </row>
    <row r="40" spans="2:8" x14ac:dyDescent="0.2">
      <c r="B40" s="126">
        <v>2.4000000000000001E-5</v>
      </c>
      <c r="C40" s="126">
        <f t="shared" si="4"/>
        <v>6.8024973184905094E-3</v>
      </c>
      <c r="D40" s="126">
        <f t="shared" si="5"/>
        <v>2.277431134023452E-2</v>
      </c>
      <c r="E40" s="126">
        <f t="shared" si="6"/>
        <v>1.7952688115420223E-2</v>
      </c>
      <c r="F40" s="126">
        <f t="shared" si="7"/>
        <v>0.37812570640937293</v>
      </c>
      <c r="G40" s="126">
        <f t="shared" si="8"/>
        <v>1.3941119783999998E-7</v>
      </c>
      <c r="H40" s="126">
        <f t="shared" si="9"/>
        <v>5.9775207891817761</v>
      </c>
    </row>
    <row r="41" spans="2:8" x14ac:dyDescent="0.2">
      <c r="B41" s="126">
        <v>2.5000000000000001E-5</v>
      </c>
      <c r="C41" s="126">
        <f t="shared" si="4"/>
        <v>7.087231459683355E-3</v>
      </c>
      <c r="D41" s="126">
        <f t="shared" si="5"/>
        <v>2.3726628892087414E-2</v>
      </c>
      <c r="E41" s="126">
        <f t="shared" si="6"/>
        <v>1.8704229609776527E-2</v>
      </c>
      <c r="F41" s="126">
        <f t="shared" si="7"/>
        <v>0.3938809441764301</v>
      </c>
      <c r="G41" s="126">
        <f t="shared" si="8"/>
        <v>1.4521999774999999E-7</v>
      </c>
      <c r="H41" s="126">
        <f t="shared" si="9"/>
        <v>5.7384199576145045</v>
      </c>
    </row>
    <row r="42" spans="2:8" x14ac:dyDescent="0.2">
      <c r="B42" s="126">
        <v>2.5999999999999998E-5</v>
      </c>
      <c r="C42" s="126">
        <f t="shared" si="4"/>
        <v>7.3720693411099911E-3</v>
      </c>
      <c r="D42" s="126">
        <f t="shared" si="5"/>
        <v>2.4679217476954424E-2</v>
      </c>
      <c r="E42" s="126">
        <f t="shared" si="6"/>
        <v>1.9456052129963271E-2</v>
      </c>
      <c r="F42" s="126">
        <f t="shared" si="7"/>
        <v>0.40963618194348728</v>
      </c>
      <c r="G42" s="126">
        <f t="shared" si="8"/>
        <v>1.5102879765999997E-7</v>
      </c>
      <c r="H42" s="126">
        <f t="shared" si="9"/>
        <v>5.5177114977062551</v>
      </c>
    </row>
    <row r="43" spans="2:8" x14ac:dyDescent="0.2">
      <c r="B43" s="126">
        <v>2.6999999999999999E-5</v>
      </c>
      <c r="C43" s="126">
        <f t="shared" si="4"/>
        <v>7.6570109627704204E-3</v>
      </c>
      <c r="D43" s="126">
        <f t="shared" si="5"/>
        <v>2.5632077094835542E-2</v>
      </c>
      <c r="E43" s="126">
        <f t="shared" si="6"/>
        <v>2.0208155675980451E-2</v>
      </c>
      <c r="F43" s="126">
        <f t="shared" si="7"/>
        <v>0.4253914197105445</v>
      </c>
      <c r="G43" s="126">
        <f t="shared" si="8"/>
        <v>1.5683759756999995E-7</v>
      </c>
      <c r="H43" s="126">
        <f t="shared" si="9"/>
        <v>5.3133518126060242</v>
      </c>
    </row>
    <row r="44" spans="2:8" x14ac:dyDescent="0.2">
      <c r="B44" s="126">
        <v>2.8E-5</v>
      </c>
      <c r="C44" s="126">
        <f t="shared" si="4"/>
        <v>7.9420563246646435E-3</v>
      </c>
      <c r="D44" s="126">
        <f t="shared" si="5"/>
        <v>2.6585207745730786E-2</v>
      </c>
      <c r="E44" s="126">
        <f t="shared" si="6"/>
        <v>2.096054024782807E-2</v>
      </c>
      <c r="F44" s="126">
        <f t="shared" si="7"/>
        <v>0.44114665747760168</v>
      </c>
      <c r="G44" s="126">
        <f t="shared" si="8"/>
        <v>1.6264639747999996E-7</v>
      </c>
      <c r="H44" s="126">
        <f t="shared" si="9"/>
        <v>5.1235892478700942</v>
      </c>
    </row>
    <row r="45" spans="2:8" x14ac:dyDescent="0.2">
      <c r="B45" s="126">
        <v>2.9E-5</v>
      </c>
      <c r="C45" s="126">
        <f t="shared" si="4"/>
        <v>8.2272054267926598E-3</v>
      </c>
      <c r="D45" s="126">
        <f t="shared" si="5"/>
        <v>2.7538609429640148E-2</v>
      </c>
      <c r="E45" s="126">
        <f t="shared" si="6"/>
        <v>2.1713205845506126E-2</v>
      </c>
      <c r="F45" s="126">
        <f t="shared" si="7"/>
        <v>0.45690189524465896</v>
      </c>
      <c r="G45" s="126">
        <f t="shared" si="8"/>
        <v>1.6845519738999997E-7</v>
      </c>
      <c r="H45" s="126">
        <f t="shared" si="9"/>
        <v>4.9469137565642285</v>
      </c>
    </row>
    <row r="46" spans="2:8" x14ac:dyDescent="0.2">
      <c r="B46" s="126">
        <v>3.0000000000000001E-5</v>
      </c>
      <c r="C46" s="126">
        <f t="shared" si="4"/>
        <v>8.5124582691544683E-3</v>
      </c>
      <c r="D46" s="126">
        <f t="shared" si="5"/>
        <v>2.8492282146563623E-2</v>
      </c>
      <c r="E46" s="126">
        <f t="shared" si="6"/>
        <v>2.2466152469014622E-2</v>
      </c>
      <c r="F46" s="126">
        <f t="shared" si="7"/>
        <v>0.47265713301171614</v>
      </c>
      <c r="G46" s="126">
        <f t="shared" si="8"/>
        <v>1.7426399729999998E-7</v>
      </c>
      <c r="H46" s="126">
        <f t="shared" si="9"/>
        <v>4.7820166313454209</v>
      </c>
    </row>
    <row r="47" spans="2:8" x14ac:dyDescent="0.2">
      <c r="B47" s="126">
        <v>3.1000000000000001E-5</v>
      </c>
      <c r="C47" s="126">
        <f t="shared" si="4"/>
        <v>8.7978148517500673E-3</v>
      </c>
      <c r="D47" s="126">
        <f t="shared" si="5"/>
        <v>2.944622589650121E-2</v>
      </c>
      <c r="E47" s="126">
        <f t="shared" si="6"/>
        <v>2.321938011835355E-2</v>
      </c>
      <c r="F47" s="126">
        <f t="shared" si="7"/>
        <v>0.48841237077877331</v>
      </c>
      <c r="G47" s="126">
        <f t="shared" si="8"/>
        <v>1.8007279720999996E-7</v>
      </c>
      <c r="H47" s="126">
        <f t="shared" si="9"/>
        <v>4.6277580303342782</v>
      </c>
    </row>
    <row r="48" spans="2:8" x14ac:dyDescent="0.2">
      <c r="B48" s="126">
        <v>3.1999999999999999E-5</v>
      </c>
      <c r="C48" s="126">
        <f t="shared" si="4"/>
        <v>9.0832751745794603E-3</v>
      </c>
      <c r="D48" s="126">
        <f t="shared" si="5"/>
        <v>3.0400440679452918E-2</v>
      </c>
      <c r="E48" s="126">
        <f t="shared" si="6"/>
        <v>2.3972888793522915E-2</v>
      </c>
      <c r="F48" s="126">
        <f t="shared" si="7"/>
        <v>0.50416760854583054</v>
      </c>
      <c r="G48" s="126">
        <f t="shared" si="8"/>
        <v>1.8588159711999997E-7</v>
      </c>
      <c r="H48" s="126">
        <f t="shared" si="9"/>
        <v>4.4831405918863316</v>
      </c>
    </row>
    <row r="49" spans="2:8" x14ac:dyDescent="0.2">
      <c r="B49" s="126">
        <v>3.3000000000000003E-5</v>
      </c>
      <c r="C49" s="126">
        <f t="shared" si="4"/>
        <v>9.3688392376426472E-3</v>
      </c>
      <c r="D49" s="126">
        <f t="shared" si="5"/>
        <v>3.1354926495418739E-2</v>
      </c>
      <c r="E49" s="126">
        <f t="shared" si="6"/>
        <v>2.4726678494522723E-2</v>
      </c>
      <c r="F49" s="126">
        <f t="shared" si="7"/>
        <v>0.51992284631288777</v>
      </c>
      <c r="G49" s="126">
        <f t="shared" si="8"/>
        <v>1.9169039702999998E-7</v>
      </c>
      <c r="H49" s="126">
        <f t="shared" si="9"/>
        <v>4.3472878466776548</v>
      </c>
    </row>
    <row r="50" spans="2:8" x14ac:dyDescent="0.2">
      <c r="B50" s="126">
        <v>3.4E-5</v>
      </c>
      <c r="C50" s="126">
        <f t="shared" si="4"/>
        <v>9.6545070409396246E-3</v>
      </c>
      <c r="D50" s="126">
        <f t="shared" si="5"/>
        <v>3.2309683344398675E-2</v>
      </c>
      <c r="E50" s="126">
        <f t="shared" si="6"/>
        <v>2.5480749221352964E-2</v>
      </c>
      <c r="F50" s="126">
        <f t="shared" si="7"/>
        <v>0.53567808407994499</v>
      </c>
      <c r="G50" s="126">
        <f t="shared" si="8"/>
        <v>1.9749919693999996E-7</v>
      </c>
      <c r="H50" s="126">
        <f t="shared" si="9"/>
        <v>4.2194264394224303</v>
      </c>
    </row>
    <row r="51" spans="2:8" x14ac:dyDescent="0.2">
      <c r="B51" s="126">
        <v>3.4999999999999997E-5</v>
      </c>
      <c r="C51" s="126">
        <f t="shared" si="4"/>
        <v>9.9402785844703943E-3</v>
      </c>
      <c r="D51" s="126">
        <f t="shared" si="5"/>
        <v>3.3264711226392733E-2</v>
      </c>
      <c r="E51" s="126">
        <f t="shared" si="6"/>
        <v>2.6235100974013641E-2</v>
      </c>
      <c r="F51" s="126">
        <f t="shared" si="7"/>
        <v>0.55143332184700211</v>
      </c>
      <c r="G51" s="126">
        <f t="shared" si="8"/>
        <v>2.0330799684999994E-7</v>
      </c>
      <c r="H51" s="126">
        <f t="shared" si="9"/>
        <v>4.0988713982960752</v>
      </c>
    </row>
    <row r="52" spans="2:8" x14ac:dyDescent="0.2">
      <c r="B52" s="126">
        <v>3.6000000000000001E-5</v>
      </c>
      <c r="C52" s="126">
        <f t="shared" si="4"/>
        <v>1.022615386823496E-2</v>
      </c>
      <c r="D52" s="126">
        <f t="shared" si="5"/>
        <v>3.4220010141400907E-2</v>
      </c>
      <c r="E52" s="126">
        <f t="shared" si="6"/>
        <v>2.6989733752504762E-2</v>
      </c>
      <c r="F52" s="126">
        <f t="shared" si="7"/>
        <v>0.56718855961405945</v>
      </c>
      <c r="G52" s="126">
        <f t="shared" si="8"/>
        <v>2.0911679675999997E-7</v>
      </c>
      <c r="H52" s="126">
        <f t="shared" si="9"/>
        <v>3.9850138594545168</v>
      </c>
    </row>
    <row r="53" spans="2:8" x14ac:dyDescent="0.2">
      <c r="B53" s="126">
        <v>3.6999999999999998E-5</v>
      </c>
      <c r="C53" s="126">
        <f t="shared" si="4"/>
        <v>1.0512132892233315E-2</v>
      </c>
      <c r="D53" s="126">
        <f t="shared" si="5"/>
        <v>3.5175580089423196E-2</v>
      </c>
      <c r="E53" s="126">
        <f t="shared" si="6"/>
        <v>2.7744647556826312E-2</v>
      </c>
      <c r="F53" s="126">
        <f t="shared" si="7"/>
        <v>0.58294379738111657</v>
      </c>
      <c r="G53" s="126">
        <f t="shared" si="8"/>
        <v>2.1492559666999996E-7</v>
      </c>
      <c r="H53" s="126">
        <f t="shared" si="9"/>
        <v>3.8773107821719628</v>
      </c>
    </row>
    <row r="54" spans="2:8" x14ac:dyDescent="0.2">
      <c r="B54" s="126">
        <v>3.8000000000000002E-5</v>
      </c>
      <c r="C54" s="126">
        <f t="shared" si="4"/>
        <v>1.0798215656465462E-2</v>
      </c>
      <c r="D54" s="126">
        <f t="shared" si="5"/>
        <v>3.61314210704596E-2</v>
      </c>
      <c r="E54" s="126">
        <f t="shared" si="6"/>
        <v>2.8499842386978298E-2</v>
      </c>
      <c r="F54" s="126">
        <f t="shared" si="7"/>
        <v>0.5986990351481738</v>
      </c>
      <c r="G54" s="126">
        <f t="shared" si="8"/>
        <v>2.2073439657999996E-7</v>
      </c>
      <c r="H54" s="126">
        <f t="shared" si="9"/>
        <v>3.7752762879042794</v>
      </c>
    </row>
    <row r="55" spans="2:8" x14ac:dyDescent="0.2">
      <c r="B55" s="126">
        <v>3.8999999999999999E-5</v>
      </c>
      <c r="C55" s="126">
        <f t="shared" si="4"/>
        <v>1.1084402160931404E-2</v>
      </c>
      <c r="D55" s="126">
        <f t="shared" si="5"/>
        <v>3.708753308451012E-2</v>
      </c>
      <c r="E55" s="126">
        <f t="shared" si="6"/>
        <v>2.9255318242960723E-2</v>
      </c>
      <c r="F55" s="126">
        <f t="shared" si="7"/>
        <v>0.61445427291523103</v>
      </c>
      <c r="G55" s="126">
        <f t="shared" si="8"/>
        <v>2.2654319648999995E-7</v>
      </c>
      <c r="H55" s="126">
        <f t="shared" si="9"/>
        <v>3.6784743318041699</v>
      </c>
    </row>
    <row r="56" spans="2:8" x14ac:dyDescent="0.2">
      <c r="B56" s="126">
        <v>4.0000000000000003E-5</v>
      </c>
      <c r="C56" s="126">
        <f t="shared" si="4"/>
        <v>1.1370692405631136E-2</v>
      </c>
      <c r="D56" s="126">
        <f t="shared" si="5"/>
        <v>3.8043916131574762E-2</v>
      </c>
      <c r="E56" s="126">
        <f t="shared" si="6"/>
        <v>3.0011075124773596E-2</v>
      </c>
      <c r="F56" s="126">
        <f t="shared" si="7"/>
        <v>0.63020951068228825</v>
      </c>
      <c r="G56" s="126">
        <f t="shared" si="8"/>
        <v>2.3235199639999998E-7</v>
      </c>
      <c r="H56" s="126">
        <f t="shared" si="9"/>
        <v>3.5865124735090652</v>
      </c>
    </row>
    <row r="57" spans="2:8" x14ac:dyDescent="0.2">
      <c r="B57" s="126">
        <v>4.1E-5</v>
      </c>
      <c r="C57" s="126">
        <f t="shared" si="4"/>
        <v>1.1657086390564663E-2</v>
      </c>
      <c r="D57" s="126">
        <f t="shared" si="5"/>
        <v>3.9000570211653512E-2</v>
      </c>
      <c r="E57" s="126">
        <f t="shared" si="6"/>
        <v>3.0767113032416891E-2</v>
      </c>
      <c r="F57" s="126">
        <f t="shared" si="7"/>
        <v>0.64596474844934548</v>
      </c>
      <c r="G57" s="126">
        <f t="shared" si="8"/>
        <v>2.3816079630999996E-7</v>
      </c>
      <c r="H57" s="126">
        <f t="shared" si="9"/>
        <v>3.4990365595210395</v>
      </c>
    </row>
    <row r="58" spans="2:8" x14ac:dyDescent="0.2">
      <c r="B58" s="126">
        <v>4.1999999999999998E-5</v>
      </c>
      <c r="C58" s="126">
        <f t="shared" si="4"/>
        <v>1.194358411573198E-2</v>
      </c>
      <c r="D58" s="126">
        <f t="shared" si="5"/>
        <v>3.9957495324746378E-2</v>
      </c>
      <c r="E58" s="126">
        <f t="shared" si="6"/>
        <v>3.1523431965890629E-2</v>
      </c>
      <c r="F58" s="126">
        <f t="shared" si="7"/>
        <v>0.6617199862164026</v>
      </c>
      <c r="G58" s="126">
        <f t="shared" si="8"/>
        <v>2.4396959621999992E-7</v>
      </c>
      <c r="H58" s="126">
        <f t="shared" si="9"/>
        <v>3.4157261652467299</v>
      </c>
    </row>
    <row r="59" spans="2:8" x14ac:dyDescent="0.2">
      <c r="B59" s="126">
        <v>4.3000000000000002E-5</v>
      </c>
      <c r="C59" s="126">
        <f t="shared" si="4"/>
        <v>1.2230185581133092E-2</v>
      </c>
      <c r="D59" s="126">
        <f t="shared" si="5"/>
        <v>4.0914691470853366E-2</v>
      </c>
      <c r="E59" s="126">
        <f t="shared" si="6"/>
        <v>3.2280031925194817E-2</v>
      </c>
      <c r="F59" s="126">
        <f t="shared" si="7"/>
        <v>0.67747522398345983</v>
      </c>
      <c r="G59" s="126">
        <f t="shared" si="8"/>
        <v>2.4977839612999998E-7</v>
      </c>
      <c r="H59" s="126">
        <f t="shared" si="9"/>
        <v>3.3362906730316886</v>
      </c>
    </row>
    <row r="60" spans="2:8" x14ac:dyDescent="0.2">
      <c r="B60" s="126">
        <v>4.3999999999999999E-5</v>
      </c>
      <c r="C60" s="126">
        <f t="shared" si="4"/>
        <v>1.2516890786767997E-2</v>
      </c>
      <c r="D60" s="126">
        <f t="shared" si="5"/>
        <v>4.187215864997447E-2</v>
      </c>
      <c r="E60" s="126">
        <f t="shared" si="6"/>
        <v>3.3036912910329418E-2</v>
      </c>
      <c r="F60" s="126">
        <f t="shared" si="7"/>
        <v>0.69323046175051706</v>
      </c>
      <c r="G60" s="126">
        <f t="shared" si="8"/>
        <v>2.5558719603999993E-7</v>
      </c>
      <c r="H60" s="126">
        <f t="shared" si="9"/>
        <v>3.2604658850082417</v>
      </c>
    </row>
    <row r="61" spans="2:8" x14ac:dyDescent="0.2">
      <c r="B61" s="126">
        <v>4.5000000000000003E-5</v>
      </c>
      <c r="C61" s="126">
        <f t="shared" si="4"/>
        <v>1.2803699732636693E-2</v>
      </c>
      <c r="D61" s="126">
        <f t="shared" si="5"/>
        <v>4.2829896862109688E-2</v>
      </c>
      <c r="E61" s="126">
        <f t="shared" si="6"/>
        <v>3.3794074921294472E-2</v>
      </c>
      <c r="F61" s="126">
        <f t="shared" si="7"/>
        <v>0.70898569951757429</v>
      </c>
      <c r="G61" s="126">
        <f t="shared" si="8"/>
        <v>2.6139599594999994E-7</v>
      </c>
      <c r="H61" s="126">
        <f t="shared" si="9"/>
        <v>3.1880110875636141</v>
      </c>
    </row>
    <row r="62" spans="2:8" x14ac:dyDescent="0.2">
      <c r="B62" s="126">
        <v>4.6E-5</v>
      </c>
      <c r="C62" s="126">
        <f t="shared" si="4"/>
        <v>1.309061241873918E-2</v>
      </c>
      <c r="D62" s="126">
        <f t="shared" si="5"/>
        <v>4.3787906107259023E-2</v>
      </c>
      <c r="E62" s="126">
        <f t="shared" si="6"/>
        <v>3.4551517958089951E-2</v>
      </c>
      <c r="F62" s="126">
        <f t="shared" si="7"/>
        <v>0.7247409372846314</v>
      </c>
      <c r="G62" s="126">
        <f t="shared" si="8"/>
        <v>2.6720479585999995E-7</v>
      </c>
      <c r="H62" s="126">
        <f t="shared" si="9"/>
        <v>3.1187064987035353</v>
      </c>
    </row>
    <row r="63" spans="2:8" x14ac:dyDescent="0.2">
      <c r="B63" s="126">
        <v>4.6999999999999997E-5</v>
      </c>
      <c r="C63" s="126">
        <f t="shared" si="4"/>
        <v>1.3377628845075462E-2</v>
      </c>
      <c r="D63" s="126">
        <f t="shared" si="5"/>
        <v>4.4746186385422465E-2</v>
      </c>
      <c r="E63" s="126">
        <f t="shared" si="6"/>
        <v>3.5309242020715878E-2</v>
      </c>
      <c r="F63" s="126">
        <f t="shared" si="7"/>
        <v>0.74049617505168852</v>
      </c>
      <c r="G63" s="126">
        <f t="shared" si="8"/>
        <v>2.7301359576999991E-7</v>
      </c>
      <c r="H63" s="126">
        <f t="shared" si="9"/>
        <v>3.0523510412843113</v>
      </c>
    </row>
    <row r="64" spans="2:8" x14ac:dyDescent="0.2">
      <c r="B64" s="126">
        <v>4.8000000000000001E-5</v>
      </c>
      <c r="C64" s="126">
        <f t="shared" si="4"/>
        <v>1.3664749011645537E-2</v>
      </c>
      <c r="D64" s="126">
        <f t="shared" si="5"/>
        <v>4.5704737696600037E-2</v>
      </c>
      <c r="E64" s="126">
        <f t="shared" si="6"/>
        <v>3.6067247109172244E-2</v>
      </c>
      <c r="F64" s="126">
        <f t="shared" si="7"/>
        <v>0.75625141281874586</v>
      </c>
      <c r="G64" s="126">
        <f t="shared" si="8"/>
        <v>2.7882239567999997E-7</v>
      </c>
      <c r="H64" s="126">
        <f t="shared" si="9"/>
        <v>2.988760394590888</v>
      </c>
    </row>
    <row r="65" spans="2:8" x14ac:dyDescent="0.2">
      <c r="B65" s="126">
        <v>4.8999999999999998E-5</v>
      </c>
      <c r="C65" s="126">
        <f t="shared" si="4"/>
        <v>1.3951972918449405E-2</v>
      </c>
      <c r="D65" s="126">
        <f t="shared" si="5"/>
        <v>4.6663560040791724E-2</v>
      </c>
      <c r="E65" s="126">
        <f t="shared" si="6"/>
        <v>3.6825533223459044E-2</v>
      </c>
      <c r="F65" s="126">
        <f t="shared" si="7"/>
        <v>0.77200665058580309</v>
      </c>
      <c r="G65" s="126">
        <f t="shared" si="8"/>
        <v>2.8463119558999992E-7</v>
      </c>
      <c r="H65" s="126">
        <f t="shared" si="9"/>
        <v>2.9277652844971964</v>
      </c>
    </row>
    <row r="66" spans="2:8" x14ac:dyDescent="0.2">
      <c r="B66" s="126">
        <v>5.0000000000000002E-5</v>
      </c>
      <c r="C66" s="126">
        <f t="shared" si="4"/>
        <v>1.4239300565487065E-2</v>
      </c>
      <c r="D66" s="126">
        <f t="shared" si="5"/>
        <v>4.7622653417997526E-2</v>
      </c>
      <c r="E66" s="126">
        <f t="shared" si="6"/>
        <v>3.7584100363576275E-2</v>
      </c>
      <c r="F66" s="126">
        <f t="shared" si="7"/>
        <v>0.78776188835286021</v>
      </c>
      <c r="G66" s="126">
        <f t="shared" si="8"/>
        <v>2.9043999549999998E-7</v>
      </c>
      <c r="H66" s="126">
        <f t="shared" si="9"/>
        <v>2.8692099788072523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419B9-2750-4D4C-B384-7CC7C29B4196}">
  <dimension ref="B2:I66"/>
  <sheetViews>
    <sheetView topLeftCell="E1" workbookViewId="0">
      <selection activeCell="T49" sqref="T49"/>
    </sheetView>
  </sheetViews>
  <sheetFormatPr baseColWidth="10" defaultColWidth="8.83203125" defaultRowHeight="16" x14ac:dyDescent="0.2"/>
  <cols>
    <col min="2" max="2" width="31" customWidth="1"/>
    <col min="3" max="3" width="18.5" customWidth="1"/>
    <col min="4" max="4" width="19.6640625" customWidth="1"/>
    <col min="5" max="5" width="18.6640625" customWidth="1"/>
    <col min="6" max="6" width="16.5" customWidth="1"/>
    <col min="7" max="7" width="12" bestFit="1" customWidth="1"/>
  </cols>
  <sheetData>
    <row r="2" spans="2:9" x14ac:dyDescent="0.2">
      <c r="B2" s="126" t="s">
        <v>502</v>
      </c>
      <c r="C2" s="126" t="s">
        <v>503</v>
      </c>
      <c r="D2" s="126" t="s">
        <v>504</v>
      </c>
      <c r="E2" s="126" t="s">
        <v>505</v>
      </c>
    </row>
    <row r="3" spans="2:9" x14ac:dyDescent="0.2">
      <c r="B3" s="126" t="s">
        <v>470</v>
      </c>
      <c r="C3" s="126">
        <v>7.2550000000000002E-4</v>
      </c>
      <c r="D3" s="126">
        <v>7.2550000000000002E-4</v>
      </c>
      <c r="E3" s="126">
        <v>7.2550000000000002E-4</v>
      </c>
    </row>
    <row r="4" spans="2:9" x14ac:dyDescent="0.2">
      <c r="B4" s="126" t="s">
        <v>473</v>
      </c>
      <c r="C4" s="126">
        <v>993.95</v>
      </c>
      <c r="D4" s="126">
        <v>993.95</v>
      </c>
      <c r="E4" s="126">
        <v>993.95</v>
      </c>
      <c r="I4" s="780"/>
    </row>
    <row r="5" spans="2:9" x14ac:dyDescent="0.2">
      <c r="B5" s="126" t="s">
        <v>506</v>
      </c>
      <c r="C5" s="126">
        <v>1.028</v>
      </c>
      <c r="D5" s="126">
        <v>1.05</v>
      </c>
      <c r="E5" s="126">
        <v>1.075</v>
      </c>
    </row>
    <row r="6" spans="2:9" x14ac:dyDescent="0.2">
      <c r="B6" s="126" t="s">
        <v>507</v>
      </c>
      <c r="C6" s="126">
        <f>C5*C4</f>
        <v>1021.7806</v>
      </c>
      <c r="D6" s="126">
        <f t="shared" ref="D6:E6" si="0">D5*D4</f>
        <v>1043.6475</v>
      </c>
      <c r="E6" s="126">
        <f t="shared" si="0"/>
        <v>1068.4962499999999</v>
      </c>
    </row>
    <row r="7" spans="2:9" x14ac:dyDescent="0.2">
      <c r="B7" s="126" t="s">
        <v>508</v>
      </c>
      <c r="C7" s="126">
        <v>1.15E-3</v>
      </c>
      <c r="D7" s="126">
        <v>2.5999999999999999E-3</v>
      </c>
      <c r="E7" s="126">
        <v>4.2500000000000003E-3</v>
      </c>
    </row>
    <row r="8" spans="2:9" x14ac:dyDescent="0.2">
      <c r="B8" s="126" t="s">
        <v>509</v>
      </c>
      <c r="C8" s="126">
        <v>0.9</v>
      </c>
      <c r="D8" s="126">
        <v>0.71</v>
      </c>
      <c r="E8" s="126">
        <v>0.64</v>
      </c>
    </row>
    <row r="9" spans="2:9" x14ac:dyDescent="0.2">
      <c r="B9" s="126" t="s">
        <v>476</v>
      </c>
      <c r="C9" s="126">
        <v>0.25</v>
      </c>
      <c r="D9" s="126">
        <v>0.25</v>
      </c>
      <c r="E9" s="126">
        <v>0.25</v>
      </c>
    </row>
    <row r="10" spans="2:9" x14ac:dyDescent="0.2">
      <c r="B10" s="126" t="s">
        <v>510</v>
      </c>
      <c r="C10" s="126">
        <v>8.5999999999999993E-2</v>
      </c>
      <c r="D10" s="126">
        <v>8.5999999999999993E-2</v>
      </c>
      <c r="E10" s="126">
        <v>8.5999999999999993E-2</v>
      </c>
    </row>
    <row r="11" spans="2:9" x14ac:dyDescent="0.2">
      <c r="B11" s="126" t="s">
        <v>511</v>
      </c>
      <c r="C11" s="126">
        <f>(3.14159*C10^2)/4</f>
        <v>5.8087999099999989E-3</v>
      </c>
      <c r="D11" s="126">
        <f t="shared" ref="D11:E11" si="1">(3.14159*D10^2)/4</f>
        <v>5.8087999099999989E-3</v>
      </c>
      <c r="E11" s="126">
        <f t="shared" si="1"/>
        <v>5.8087999099999989E-3</v>
      </c>
    </row>
    <row r="12" spans="2:9" x14ac:dyDescent="0.2">
      <c r="B12" s="126" t="s">
        <v>512</v>
      </c>
      <c r="C12" s="126">
        <v>3.0000000000000001E-3</v>
      </c>
      <c r="D12" s="126">
        <v>3.0000000000000001E-3</v>
      </c>
      <c r="E12" s="126">
        <v>3.0000000000000001E-3</v>
      </c>
    </row>
    <row r="13" spans="2:9" x14ac:dyDescent="0.2">
      <c r="B13" s="126" t="s">
        <v>513</v>
      </c>
      <c r="C13" s="126">
        <v>9.0690835430845239E-3</v>
      </c>
      <c r="D13" s="126">
        <v>1.303353268619915E-2</v>
      </c>
      <c r="E13" s="126">
        <v>1.9154481231168179E-2</v>
      </c>
    </row>
    <row r="14" spans="2:9" x14ac:dyDescent="0.2">
      <c r="B14" s="126" t="s">
        <v>514</v>
      </c>
      <c r="C14" s="126">
        <v>1</v>
      </c>
      <c r="D14" s="126">
        <v>1</v>
      </c>
      <c r="E14" s="126">
        <v>1</v>
      </c>
    </row>
    <row r="15" spans="2:9" x14ac:dyDescent="0.2">
      <c r="B15" s="126" t="s">
        <v>515</v>
      </c>
      <c r="C15" s="126">
        <f>C14*(C6-C4)</f>
        <v>27.830600000000004</v>
      </c>
      <c r="D15" s="126">
        <f t="shared" ref="D15:E15" si="2">D14*(D6-D4)</f>
        <v>49.697499999999991</v>
      </c>
      <c r="E15" s="126">
        <f t="shared" si="2"/>
        <v>74.546249999999873</v>
      </c>
    </row>
    <row r="16" spans="2:9" x14ac:dyDescent="0.2">
      <c r="B16" s="126" t="s">
        <v>516</v>
      </c>
      <c r="C16" s="126">
        <f>((150*C$3*C13*(1-C8)/((C7^2)*(C8^3)))+((1.75*C$4*(C13^2)/(C7*(C8^3)))))</f>
        <v>273.01820456345553</v>
      </c>
      <c r="D16" s="126">
        <f>((150*D$3*D13*(1-D8)/((D7^2)*(D8^3)))+((1.75*D$4*(D13^2)/(D7*(D8^3)))))</f>
        <v>487.53251552598533</v>
      </c>
      <c r="E16" s="126">
        <f t="shared" ref="E16" si="3">((150*E$3*E13*(1-E8)/((E7^2)*(E8^3)))+((1.75*E$4*(E13^2)/(E7*(E8^3)))))</f>
        <v>731.29858963249694</v>
      </c>
    </row>
    <row r="18" spans="2:8" x14ac:dyDescent="0.2">
      <c r="B18" s="126" t="s">
        <v>522</v>
      </c>
      <c r="C18" s="126" t="s">
        <v>517</v>
      </c>
      <c r="D18" s="126" t="s">
        <v>518</v>
      </c>
      <c r="E18" s="126" t="s">
        <v>519</v>
      </c>
      <c r="F18" s="126" t="s">
        <v>520</v>
      </c>
      <c r="G18" s="126" t="s">
        <v>521</v>
      </c>
      <c r="H18" s="126" t="s">
        <v>198</v>
      </c>
    </row>
    <row r="19" spans="2:8" x14ac:dyDescent="0.2">
      <c r="B19" s="126">
        <v>3.8550000000000004E-6</v>
      </c>
      <c r="C19" s="126">
        <f>(((150*C$3*B19*C$9/(C$7^2))*((1-C$8)^2/(C$8^3)))+((1.75*C$9*C$4*(B19^2)/C$7)*((1-C$8)/(C$8^3))))</f>
        <v>1.0886229516712425E-3</v>
      </c>
      <c r="D19" s="126">
        <f>(((150*D$3*B19*C$9)/(D$7^2))*((1-D$8)^2/(D$8^3)))+((1.75*C$9*C$4*(B19^2)/D$7)*((1-D$8)/D$8^3))</f>
        <v>3.6475996859914538E-3</v>
      </c>
      <c r="E19" s="126">
        <f>(((150*C$3*B19*C$9)/(E$7^2))*((1-E$8)^2/(E$8^3))+((1.75*C$9*C$4*(B19^2)/E$7)*((1-E$8)/(E$8^3))))</f>
        <v>2.872738439569237E-3</v>
      </c>
      <c r="F19" s="126">
        <f>(B19*C$7*C$4)/(C$3*(1-C$8))</f>
        <v>6.073644159200553E-2</v>
      </c>
      <c r="G19" s="126">
        <f>C$11*B19</f>
        <v>2.2392923653049997E-8</v>
      </c>
      <c r="H19" s="126">
        <f>C$12/(G19*3600)</f>
        <v>37.214137208913776</v>
      </c>
    </row>
    <row r="20" spans="2:8" x14ac:dyDescent="0.2">
      <c r="B20" s="126">
        <v>3.9999999999999998E-6</v>
      </c>
      <c r="C20" s="126">
        <f t="shared" ref="C20:C66" si="4">(((150*C$3*B20*C$9/(C$7^2))*((1-C$8)^2/(C$8^3)))+((1.75*C$9*C$4*(B20^2)/C$7)*((1-C$8)/(C$8^3))))</f>
        <v>1.1295999437300488E-3</v>
      </c>
      <c r="D20" s="126">
        <f t="shared" ref="D20:D66" si="5">(((150*C$3*B20*C$9)/(D$7^2))*((1-D$8)^2/(D$8^3)))+((1.75*C$9*C$4*(B20^2)/D$7)*((1-D$8)/D$8^3))</f>
        <v>3.7848772361411013E-3</v>
      </c>
      <c r="E20" s="126">
        <f t="shared" ref="E20:E66" si="6">(((150*C$3*B20*C$9)/(E$7^2))*((1-E$8)^2/(E$8^3))+((1.75*C$9*C$4*(B20^2)/E$7)*((1-E$8)/(E$8^3))))</f>
        <v>2.9808736526858838E-3</v>
      </c>
      <c r="F20" s="126">
        <f t="shared" ref="F20:F66" si="7">(B20*C$7*C$4)/(C$3*(1-C$8))</f>
        <v>6.3020951068228817E-2</v>
      </c>
      <c r="G20" s="126">
        <f t="shared" ref="G20:G66" si="8">C$11*B20</f>
        <v>2.3235199639999996E-8</v>
      </c>
      <c r="H20" s="126">
        <f t="shared" ref="H20:H66" si="9">C$12/(G20*3600)</f>
        <v>35.865124735090653</v>
      </c>
    </row>
    <row r="21" spans="2:8" x14ac:dyDescent="0.2">
      <c r="B21" s="126">
        <v>5.0000000000000004E-6</v>
      </c>
      <c r="C21" s="126">
        <f t="shared" si="4"/>
        <v>1.4122592802470423E-3</v>
      </c>
      <c r="D21" s="126">
        <f t="shared" si="5"/>
        <v>4.7317741277116679E-3</v>
      </c>
      <c r="E21" s="126">
        <f t="shared" si="6"/>
        <v>3.7267946304334484E-3</v>
      </c>
      <c r="F21" s="126">
        <f t="shared" si="7"/>
        <v>7.8776188835286032E-2</v>
      </c>
      <c r="G21" s="126">
        <f t="shared" si="8"/>
        <v>2.9043999549999998E-8</v>
      </c>
      <c r="H21" s="126">
        <f t="shared" si="9"/>
        <v>28.692099788072522</v>
      </c>
    </row>
    <row r="22" spans="2:8" x14ac:dyDescent="0.2">
      <c r="B22" s="126">
        <v>6.0000000000000002E-6</v>
      </c>
      <c r="C22" s="126">
        <f t="shared" si="4"/>
        <v>1.6950223569978285E-3</v>
      </c>
      <c r="D22" s="126">
        <f t="shared" si="5"/>
        <v>5.6789420522963489E-3</v>
      </c>
      <c r="E22" s="126">
        <f t="shared" si="6"/>
        <v>4.4729966340114492E-3</v>
      </c>
      <c r="F22" s="126">
        <f t="shared" si="7"/>
        <v>9.4531426602343233E-2</v>
      </c>
      <c r="G22" s="126">
        <f t="shared" si="8"/>
        <v>3.4852799459999996E-8</v>
      </c>
      <c r="H22" s="126">
        <f t="shared" si="9"/>
        <v>23.910083156727104</v>
      </c>
    </row>
    <row r="23" spans="2:8" x14ac:dyDescent="0.2">
      <c r="B23" s="126">
        <v>6.9999999999999999E-6</v>
      </c>
      <c r="C23" s="126">
        <f t="shared" si="4"/>
        <v>1.9778891739824071E-3</v>
      </c>
      <c r="D23" s="126">
        <f t="shared" si="5"/>
        <v>6.626381009895147E-3</v>
      </c>
      <c r="E23" s="126">
        <f t="shared" si="6"/>
        <v>5.2194796634198867E-3</v>
      </c>
      <c r="F23" s="126">
        <f t="shared" si="7"/>
        <v>0.11028666436940042</v>
      </c>
      <c r="G23" s="126">
        <f t="shared" si="8"/>
        <v>4.0661599369999991E-8</v>
      </c>
      <c r="H23" s="126">
        <f t="shared" si="9"/>
        <v>20.494356991480377</v>
      </c>
    </row>
    <row r="24" spans="2:8" x14ac:dyDescent="0.2">
      <c r="B24" s="126">
        <v>7.9999999999999996E-6</v>
      </c>
      <c r="C24" s="126">
        <f t="shared" si="4"/>
        <v>2.2608597312007784E-3</v>
      </c>
      <c r="D24" s="126">
        <f t="shared" si="5"/>
        <v>7.5740910005080639E-3</v>
      </c>
      <c r="E24" s="126">
        <f t="shared" si="6"/>
        <v>5.9662437186587623E-3</v>
      </c>
      <c r="F24" s="126">
        <f t="shared" si="7"/>
        <v>0.12604190213645763</v>
      </c>
      <c r="G24" s="126">
        <f t="shared" si="8"/>
        <v>4.6470399279999992E-8</v>
      </c>
      <c r="H24" s="126">
        <f t="shared" si="9"/>
        <v>17.932562367545327</v>
      </c>
    </row>
    <row r="25" spans="2:8" x14ac:dyDescent="0.2">
      <c r="B25" s="126">
        <v>9.0000000000000002E-6</v>
      </c>
      <c r="C25" s="126">
        <f t="shared" si="4"/>
        <v>2.5439340286529427E-3</v>
      </c>
      <c r="D25" s="126">
        <f t="shared" si="5"/>
        <v>8.5220720241350953E-3</v>
      </c>
      <c r="E25" s="126">
        <f t="shared" si="6"/>
        <v>6.7132887997280758E-3</v>
      </c>
      <c r="F25" s="126">
        <f t="shared" si="7"/>
        <v>0.14179713990351486</v>
      </c>
      <c r="G25" s="126">
        <f t="shared" si="8"/>
        <v>5.2279199189999994E-8</v>
      </c>
      <c r="H25" s="126">
        <f t="shared" si="9"/>
        <v>15.940055437818067</v>
      </c>
    </row>
    <row r="26" spans="2:8" x14ac:dyDescent="0.2">
      <c r="B26" s="126">
        <v>1.0000000000000001E-5</v>
      </c>
      <c r="C26" s="126">
        <f t="shared" si="4"/>
        <v>2.8271120663388985E-3</v>
      </c>
      <c r="D26" s="126">
        <f t="shared" si="5"/>
        <v>9.4703240807762438E-3</v>
      </c>
      <c r="E26" s="126">
        <f t="shared" si="6"/>
        <v>7.4606149066278257E-3</v>
      </c>
      <c r="F26" s="126">
        <f t="shared" si="7"/>
        <v>0.15755237767057206</v>
      </c>
      <c r="G26" s="126">
        <f t="shared" si="8"/>
        <v>5.8087999099999995E-8</v>
      </c>
      <c r="H26" s="126">
        <f t="shared" si="9"/>
        <v>14.346049894036261</v>
      </c>
    </row>
    <row r="27" spans="2:8" x14ac:dyDescent="0.2">
      <c r="B27" s="126">
        <v>1.1E-5</v>
      </c>
      <c r="C27" s="126">
        <f t="shared" si="4"/>
        <v>3.1103938442586482E-3</v>
      </c>
      <c r="D27" s="126">
        <f t="shared" si="5"/>
        <v>1.0418847170431508E-2</v>
      </c>
      <c r="E27" s="126">
        <f t="shared" si="6"/>
        <v>8.208222039358011E-3</v>
      </c>
      <c r="F27" s="126">
        <f t="shared" si="7"/>
        <v>0.17330761543762926</v>
      </c>
      <c r="G27" s="126">
        <f t="shared" si="8"/>
        <v>6.3896799009999983E-8</v>
      </c>
      <c r="H27" s="126">
        <f t="shared" si="9"/>
        <v>13.041863540032967</v>
      </c>
    </row>
    <row r="28" spans="2:8" x14ac:dyDescent="0.2">
      <c r="B28" s="126">
        <v>1.2E-5</v>
      </c>
      <c r="C28" s="126">
        <f t="shared" si="4"/>
        <v>3.3937793624121896E-3</v>
      </c>
      <c r="D28" s="126">
        <f t="shared" si="5"/>
        <v>1.1367641293100885E-2</v>
      </c>
      <c r="E28" s="126">
        <f t="shared" si="6"/>
        <v>8.9561101979186361E-3</v>
      </c>
      <c r="F28" s="126">
        <f t="shared" si="7"/>
        <v>0.18906285320468647</v>
      </c>
      <c r="G28" s="126">
        <f t="shared" si="8"/>
        <v>6.9705598919999992E-8</v>
      </c>
      <c r="H28" s="126">
        <f t="shared" si="9"/>
        <v>11.955041578363552</v>
      </c>
    </row>
    <row r="29" spans="2:8" x14ac:dyDescent="0.2">
      <c r="B29" s="126">
        <v>1.2999999999999999E-5</v>
      </c>
      <c r="C29" s="126">
        <f t="shared" si="4"/>
        <v>3.6772686207995238E-3</v>
      </c>
      <c r="D29" s="126">
        <f t="shared" si="5"/>
        <v>1.2316706448784383E-2</v>
      </c>
      <c r="E29" s="126">
        <f t="shared" si="6"/>
        <v>9.7042793823096957E-3</v>
      </c>
      <c r="F29" s="126">
        <f t="shared" si="7"/>
        <v>0.20481809097174364</v>
      </c>
      <c r="G29" s="126">
        <f t="shared" si="8"/>
        <v>7.5514398829999986E-8</v>
      </c>
      <c r="H29" s="126">
        <f t="shared" si="9"/>
        <v>11.03542299541251</v>
      </c>
    </row>
    <row r="30" spans="2:8" x14ac:dyDescent="0.2">
      <c r="B30" s="126">
        <v>1.4E-5</v>
      </c>
      <c r="C30" s="126">
        <f t="shared" si="4"/>
        <v>3.9608616194206506E-3</v>
      </c>
      <c r="D30" s="126">
        <f t="shared" si="5"/>
        <v>1.3266042637481993E-2</v>
      </c>
      <c r="E30" s="126">
        <f t="shared" si="6"/>
        <v>1.0452729592531195E-2</v>
      </c>
      <c r="F30" s="126">
        <f t="shared" si="7"/>
        <v>0.22057332873880084</v>
      </c>
      <c r="G30" s="126">
        <f t="shared" si="8"/>
        <v>8.1323198739999981E-8</v>
      </c>
      <c r="H30" s="126">
        <f t="shared" si="9"/>
        <v>10.247178495740188</v>
      </c>
    </row>
    <row r="31" spans="2:8" x14ac:dyDescent="0.2">
      <c r="B31" s="126">
        <v>1.5E-5</v>
      </c>
      <c r="C31" s="126">
        <f t="shared" si="4"/>
        <v>4.2445583582755696E-3</v>
      </c>
      <c r="D31" s="126">
        <f t="shared" si="5"/>
        <v>1.4215649859193727E-2</v>
      </c>
      <c r="E31" s="126">
        <f t="shared" si="6"/>
        <v>1.1201460828583131E-2</v>
      </c>
      <c r="F31" s="126">
        <f t="shared" si="7"/>
        <v>0.23632856650585807</v>
      </c>
      <c r="G31" s="126">
        <f t="shared" si="8"/>
        <v>8.7131998649999989E-8</v>
      </c>
      <c r="H31" s="126">
        <f t="shared" si="9"/>
        <v>9.5640332626908418</v>
      </c>
    </row>
    <row r="32" spans="2:8" x14ac:dyDescent="0.2">
      <c r="B32" s="126">
        <v>1.5999999999999999E-5</v>
      </c>
      <c r="C32" s="126">
        <f t="shared" si="4"/>
        <v>4.5283588373642809E-3</v>
      </c>
      <c r="D32" s="126">
        <f t="shared" si="5"/>
        <v>1.5165528113919571E-2</v>
      </c>
      <c r="E32" s="126">
        <f t="shared" si="6"/>
        <v>1.1950473090465503E-2</v>
      </c>
      <c r="F32" s="126">
        <f t="shared" si="7"/>
        <v>0.25208380427291527</v>
      </c>
      <c r="G32" s="126">
        <f t="shared" si="8"/>
        <v>9.2940798559999984E-8</v>
      </c>
      <c r="H32" s="126">
        <f t="shared" si="9"/>
        <v>8.9662811837726633</v>
      </c>
    </row>
    <row r="33" spans="2:8" x14ac:dyDescent="0.2">
      <c r="B33" s="126">
        <v>1.7E-5</v>
      </c>
      <c r="C33" s="126">
        <f t="shared" si="4"/>
        <v>4.8122630566867861E-3</v>
      </c>
      <c r="D33" s="126">
        <f t="shared" si="5"/>
        <v>1.611567740165953E-2</v>
      </c>
      <c r="E33" s="126">
        <f t="shared" si="6"/>
        <v>1.2699766378178313E-2</v>
      </c>
      <c r="F33" s="126">
        <f t="shared" si="7"/>
        <v>0.2678390420399725</v>
      </c>
      <c r="G33" s="126">
        <f t="shared" si="8"/>
        <v>9.8749598469999979E-8</v>
      </c>
      <c r="H33" s="126">
        <f t="shared" si="9"/>
        <v>8.4388528788448607</v>
      </c>
    </row>
    <row r="34" spans="2:8" x14ac:dyDescent="0.2">
      <c r="B34" s="126">
        <v>1.8E-5</v>
      </c>
      <c r="C34" s="126">
        <f t="shared" si="4"/>
        <v>5.0962710162430836E-3</v>
      </c>
      <c r="D34" s="126">
        <f t="shared" si="5"/>
        <v>1.706609772241361E-2</v>
      </c>
      <c r="E34" s="126">
        <f t="shared" si="6"/>
        <v>1.3449340691721561E-2</v>
      </c>
      <c r="F34" s="126">
        <f t="shared" si="7"/>
        <v>0.28359427980702973</v>
      </c>
      <c r="G34" s="126">
        <f t="shared" si="8"/>
        <v>1.0455839837999999E-7</v>
      </c>
      <c r="H34" s="126">
        <f t="shared" si="9"/>
        <v>7.9700277189090336</v>
      </c>
    </row>
    <row r="35" spans="2:8" x14ac:dyDescent="0.2">
      <c r="B35" s="126">
        <v>1.9000000000000001E-5</v>
      </c>
      <c r="C35" s="126">
        <f t="shared" si="4"/>
        <v>5.3803827160331724E-3</v>
      </c>
      <c r="D35" s="126">
        <f t="shared" si="5"/>
        <v>1.8016789076181806E-2</v>
      </c>
      <c r="E35" s="126">
        <f t="shared" si="6"/>
        <v>1.4199196031095243E-2</v>
      </c>
      <c r="F35" s="126">
        <f t="shared" si="7"/>
        <v>0.2993495175740869</v>
      </c>
      <c r="G35" s="126">
        <f t="shared" si="8"/>
        <v>1.1036719828999998E-7</v>
      </c>
      <c r="H35" s="126">
        <f t="shared" si="9"/>
        <v>7.5505525758085588</v>
      </c>
    </row>
    <row r="36" spans="2:8" x14ac:dyDescent="0.2">
      <c r="B36" s="126">
        <v>2.0000000000000002E-5</v>
      </c>
      <c r="C36" s="126">
        <f t="shared" si="4"/>
        <v>5.6645981560570543E-3</v>
      </c>
      <c r="D36" s="126">
        <f t="shared" si="5"/>
        <v>1.896775146296412E-2</v>
      </c>
      <c r="E36" s="126">
        <f t="shared" si="6"/>
        <v>1.4949332396299366E-2</v>
      </c>
      <c r="F36" s="126">
        <f t="shared" si="7"/>
        <v>0.31510475534114413</v>
      </c>
      <c r="G36" s="126">
        <f t="shared" si="8"/>
        <v>1.1617599819999999E-7</v>
      </c>
      <c r="H36" s="126">
        <f t="shared" si="9"/>
        <v>7.1730249470181304</v>
      </c>
    </row>
    <row r="37" spans="2:8" x14ac:dyDescent="0.2">
      <c r="B37" s="126">
        <v>2.0999999999999999E-5</v>
      </c>
      <c r="C37" s="126">
        <f t="shared" si="4"/>
        <v>5.9489173363147284E-3</v>
      </c>
      <c r="D37" s="126">
        <f t="shared" si="5"/>
        <v>1.9918984882760539E-2</v>
      </c>
      <c r="E37" s="126">
        <f t="shared" si="6"/>
        <v>1.5699749787333919E-2</v>
      </c>
      <c r="F37" s="126">
        <f t="shared" si="7"/>
        <v>0.3308599931082013</v>
      </c>
      <c r="G37" s="126">
        <f t="shared" si="8"/>
        <v>1.2198479810999996E-7</v>
      </c>
      <c r="H37" s="126">
        <f t="shared" si="9"/>
        <v>6.8314523304934598</v>
      </c>
    </row>
    <row r="38" spans="2:8" x14ac:dyDescent="0.2">
      <c r="B38" s="126">
        <v>2.1999999999999999E-5</v>
      </c>
      <c r="C38" s="126">
        <f t="shared" si="4"/>
        <v>6.2333402568061965E-3</v>
      </c>
      <c r="D38" s="126">
        <f t="shared" si="5"/>
        <v>2.0870489335571087E-2</v>
      </c>
      <c r="E38" s="126">
        <f t="shared" si="6"/>
        <v>1.6450448204198918E-2</v>
      </c>
      <c r="F38" s="126">
        <f t="shared" si="7"/>
        <v>0.34661523087525853</v>
      </c>
      <c r="G38" s="126">
        <f t="shared" si="8"/>
        <v>1.2779359801999997E-7</v>
      </c>
      <c r="H38" s="126">
        <f t="shared" si="9"/>
        <v>6.5209317700164835</v>
      </c>
    </row>
    <row r="39" spans="2:8" x14ac:dyDescent="0.2">
      <c r="B39" s="126">
        <v>2.3E-5</v>
      </c>
      <c r="C39" s="126">
        <f t="shared" si="4"/>
        <v>6.5178669175314551E-3</v>
      </c>
      <c r="D39" s="126">
        <f t="shared" si="5"/>
        <v>2.1822264821395744E-2</v>
      </c>
      <c r="E39" s="126">
        <f t="shared" si="6"/>
        <v>1.7201427646894349E-2</v>
      </c>
      <c r="F39" s="126">
        <f t="shared" si="7"/>
        <v>0.3623704686423157</v>
      </c>
      <c r="G39" s="126">
        <f t="shared" si="8"/>
        <v>1.3360239792999997E-7</v>
      </c>
      <c r="H39" s="126">
        <f t="shared" si="9"/>
        <v>6.2374129974070707</v>
      </c>
    </row>
    <row r="40" spans="2:8" x14ac:dyDescent="0.2">
      <c r="B40" s="126">
        <v>2.4000000000000001E-5</v>
      </c>
      <c r="C40" s="126">
        <f t="shared" si="4"/>
        <v>6.8024973184905094E-3</v>
      </c>
      <c r="D40" s="126">
        <f t="shared" si="5"/>
        <v>2.277431134023452E-2</v>
      </c>
      <c r="E40" s="126">
        <f t="shared" si="6"/>
        <v>1.7952688115420223E-2</v>
      </c>
      <c r="F40" s="126">
        <f t="shared" si="7"/>
        <v>0.37812570640937293</v>
      </c>
      <c r="G40" s="126">
        <f t="shared" si="8"/>
        <v>1.3941119783999998E-7</v>
      </c>
      <c r="H40" s="126">
        <f t="shared" si="9"/>
        <v>5.9775207891817761</v>
      </c>
    </row>
    <row r="41" spans="2:8" x14ac:dyDescent="0.2">
      <c r="B41" s="126">
        <v>2.5000000000000001E-5</v>
      </c>
      <c r="C41" s="126">
        <f t="shared" si="4"/>
        <v>7.087231459683355E-3</v>
      </c>
      <c r="D41" s="126">
        <f t="shared" si="5"/>
        <v>2.3726628892087414E-2</v>
      </c>
      <c r="E41" s="126">
        <f t="shared" si="6"/>
        <v>1.8704229609776527E-2</v>
      </c>
      <c r="F41" s="126">
        <f t="shared" si="7"/>
        <v>0.3938809441764301</v>
      </c>
      <c r="G41" s="126">
        <f t="shared" si="8"/>
        <v>1.4521999774999999E-7</v>
      </c>
      <c r="H41" s="126">
        <f t="shared" si="9"/>
        <v>5.7384199576145045</v>
      </c>
    </row>
    <row r="42" spans="2:8" x14ac:dyDescent="0.2">
      <c r="B42" s="126">
        <v>2.5999999999999998E-5</v>
      </c>
      <c r="C42" s="126">
        <f t="shared" si="4"/>
        <v>7.3720693411099911E-3</v>
      </c>
      <c r="D42" s="126">
        <f t="shared" si="5"/>
        <v>2.4679217476954424E-2</v>
      </c>
      <c r="E42" s="126">
        <f t="shared" si="6"/>
        <v>1.9456052129963271E-2</v>
      </c>
      <c r="F42" s="126">
        <f t="shared" si="7"/>
        <v>0.40963618194348728</v>
      </c>
      <c r="G42" s="126">
        <f t="shared" si="8"/>
        <v>1.5102879765999997E-7</v>
      </c>
      <c r="H42" s="126">
        <f t="shared" si="9"/>
        <v>5.5177114977062551</v>
      </c>
    </row>
    <row r="43" spans="2:8" x14ac:dyDescent="0.2">
      <c r="B43" s="126">
        <v>2.6999999999999999E-5</v>
      </c>
      <c r="C43" s="126">
        <f t="shared" si="4"/>
        <v>7.6570109627704204E-3</v>
      </c>
      <c r="D43" s="126">
        <f t="shared" si="5"/>
        <v>2.5632077094835542E-2</v>
      </c>
      <c r="E43" s="126">
        <f t="shared" si="6"/>
        <v>2.0208155675980451E-2</v>
      </c>
      <c r="F43" s="126">
        <f t="shared" si="7"/>
        <v>0.4253914197105445</v>
      </c>
      <c r="G43" s="126">
        <f t="shared" si="8"/>
        <v>1.5683759756999995E-7</v>
      </c>
      <c r="H43" s="126">
        <f t="shared" si="9"/>
        <v>5.3133518126060242</v>
      </c>
    </row>
    <row r="44" spans="2:8" x14ac:dyDescent="0.2">
      <c r="B44" s="126">
        <v>2.8E-5</v>
      </c>
      <c r="C44" s="126">
        <f t="shared" si="4"/>
        <v>7.9420563246646435E-3</v>
      </c>
      <c r="D44" s="126">
        <f t="shared" si="5"/>
        <v>2.6585207745730786E-2</v>
      </c>
      <c r="E44" s="126">
        <f t="shared" si="6"/>
        <v>2.096054024782807E-2</v>
      </c>
      <c r="F44" s="126">
        <f t="shared" si="7"/>
        <v>0.44114665747760168</v>
      </c>
      <c r="G44" s="126">
        <f t="shared" si="8"/>
        <v>1.6264639747999996E-7</v>
      </c>
      <c r="H44" s="126">
        <f t="shared" si="9"/>
        <v>5.1235892478700942</v>
      </c>
    </row>
    <row r="45" spans="2:8" x14ac:dyDescent="0.2">
      <c r="B45" s="126">
        <v>2.9E-5</v>
      </c>
      <c r="C45" s="126">
        <f t="shared" si="4"/>
        <v>8.2272054267926598E-3</v>
      </c>
      <c r="D45" s="126">
        <f t="shared" si="5"/>
        <v>2.7538609429640148E-2</v>
      </c>
      <c r="E45" s="126">
        <f t="shared" si="6"/>
        <v>2.1713205845506126E-2</v>
      </c>
      <c r="F45" s="126">
        <f t="shared" si="7"/>
        <v>0.45690189524465896</v>
      </c>
      <c r="G45" s="126">
        <f t="shared" si="8"/>
        <v>1.6845519738999997E-7</v>
      </c>
      <c r="H45" s="126">
        <f t="shared" si="9"/>
        <v>4.9469137565642285</v>
      </c>
    </row>
    <row r="46" spans="2:8" x14ac:dyDescent="0.2">
      <c r="B46" s="126">
        <v>3.0000000000000001E-5</v>
      </c>
      <c r="C46" s="126">
        <f t="shared" si="4"/>
        <v>8.5124582691544683E-3</v>
      </c>
      <c r="D46" s="126">
        <f t="shared" si="5"/>
        <v>2.8492282146563623E-2</v>
      </c>
      <c r="E46" s="126">
        <f t="shared" si="6"/>
        <v>2.2466152469014622E-2</v>
      </c>
      <c r="F46" s="126">
        <f t="shared" si="7"/>
        <v>0.47265713301171614</v>
      </c>
      <c r="G46" s="126">
        <f t="shared" si="8"/>
        <v>1.7426399729999998E-7</v>
      </c>
      <c r="H46" s="126">
        <f t="shared" si="9"/>
        <v>4.7820166313454209</v>
      </c>
    </row>
    <row r="47" spans="2:8" x14ac:dyDescent="0.2">
      <c r="B47" s="126">
        <v>3.1000000000000001E-5</v>
      </c>
      <c r="C47" s="126">
        <f t="shared" si="4"/>
        <v>8.7978148517500673E-3</v>
      </c>
      <c r="D47" s="126">
        <f t="shared" si="5"/>
        <v>2.944622589650121E-2</v>
      </c>
      <c r="E47" s="126">
        <f t="shared" si="6"/>
        <v>2.321938011835355E-2</v>
      </c>
      <c r="F47" s="126">
        <f t="shared" si="7"/>
        <v>0.48841237077877331</v>
      </c>
      <c r="G47" s="126">
        <f t="shared" si="8"/>
        <v>1.8007279720999996E-7</v>
      </c>
      <c r="H47" s="126">
        <f t="shared" si="9"/>
        <v>4.6277580303342782</v>
      </c>
    </row>
    <row r="48" spans="2:8" x14ac:dyDescent="0.2">
      <c r="B48" s="126">
        <v>3.1999999999999999E-5</v>
      </c>
      <c r="C48" s="126">
        <f t="shared" si="4"/>
        <v>9.0832751745794603E-3</v>
      </c>
      <c r="D48" s="126">
        <f t="shared" si="5"/>
        <v>3.0400440679452918E-2</v>
      </c>
      <c r="E48" s="126">
        <f t="shared" si="6"/>
        <v>2.3972888793522915E-2</v>
      </c>
      <c r="F48" s="126">
        <f t="shared" si="7"/>
        <v>0.50416760854583054</v>
      </c>
      <c r="G48" s="126">
        <f t="shared" si="8"/>
        <v>1.8588159711999997E-7</v>
      </c>
      <c r="H48" s="126">
        <f t="shared" si="9"/>
        <v>4.4831405918863316</v>
      </c>
    </row>
    <row r="49" spans="2:8" x14ac:dyDescent="0.2">
      <c r="B49" s="126">
        <v>3.3000000000000003E-5</v>
      </c>
      <c r="C49" s="126">
        <f t="shared" si="4"/>
        <v>9.3688392376426472E-3</v>
      </c>
      <c r="D49" s="126">
        <f t="shared" si="5"/>
        <v>3.1354926495418739E-2</v>
      </c>
      <c r="E49" s="126">
        <f t="shared" si="6"/>
        <v>2.4726678494522723E-2</v>
      </c>
      <c r="F49" s="126">
        <f t="shared" si="7"/>
        <v>0.51992284631288777</v>
      </c>
      <c r="G49" s="126">
        <f t="shared" si="8"/>
        <v>1.9169039702999998E-7</v>
      </c>
      <c r="H49" s="126">
        <f t="shared" si="9"/>
        <v>4.3472878466776548</v>
      </c>
    </row>
    <row r="50" spans="2:8" x14ac:dyDescent="0.2">
      <c r="B50" s="126">
        <v>3.4E-5</v>
      </c>
      <c r="C50" s="126">
        <f t="shared" si="4"/>
        <v>9.6545070409396246E-3</v>
      </c>
      <c r="D50" s="126">
        <f t="shared" si="5"/>
        <v>3.2309683344398675E-2</v>
      </c>
      <c r="E50" s="126">
        <f t="shared" si="6"/>
        <v>2.5480749221352964E-2</v>
      </c>
      <c r="F50" s="126">
        <f t="shared" si="7"/>
        <v>0.53567808407994499</v>
      </c>
      <c r="G50" s="126">
        <f t="shared" si="8"/>
        <v>1.9749919693999996E-7</v>
      </c>
      <c r="H50" s="126">
        <f t="shared" si="9"/>
        <v>4.2194264394224303</v>
      </c>
    </row>
    <row r="51" spans="2:8" x14ac:dyDescent="0.2">
      <c r="B51" s="126">
        <v>3.4999999999999997E-5</v>
      </c>
      <c r="C51" s="126">
        <f t="shared" si="4"/>
        <v>9.9402785844703943E-3</v>
      </c>
      <c r="D51" s="126">
        <f t="shared" si="5"/>
        <v>3.3264711226392733E-2</v>
      </c>
      <c r="E51" s="126">
        <f t="shared" si="6"/>
        <v>2.6235100974013641E-2</v>
      </c>
      <c r="F51" s="126">
        <f t="shared" si="7"/>
        <v>0.55143332184700211</v>
      </c>
      <c r="G51" s="126">
        <f t="shared" si="8"/>
        <v>2.0330799684999994E-7</v>
      </c>
      <c r="H51" s="126">
        <f t="shared" si="9"/>
        <v>4.0988713982960752</v>
      </c>
    </row>
    <row r="52" spans="2:8" x14ac:dyDescent="0.2">
      <c r="B52" s="126">
        <v>3.6000000000000001E-5</v>
      </c>
      <c r="C52" s="126">
        <f t="shared" si="4"/>
        <v>1.022615386823496E-2</v>
      </c>
      <c r="D52" s="126">
        <f t="shared" si="5"/>
        <v>3.4220010141400907E-2</v>
      </c>
      <c r="E52" s="126">
        <f t="shared" si="6"/>
        <v>2.6989733752504762E-2</v>
      </c>
      <c r="F52" s="126">
        <f t="shared" si="7"/>
        <v>0.56718855961405945</v>
      </c>
      <c r="G52" s="126">
        <f t="shared" si="8"/>
        <v>2.0911679675999997E-7</v>
      </c>
      <c r="H52" s="126">
        <f t="shared" si="9"/>
        <v>3.9850138594545168</v>
      </c>
    </row>
    <row r="53" spans="2:8" x14ac:dyDescent="0.2">
      <c r="B53" s="126">
        <v>3.6999999999999998E-5</v>
      </c>
      <c r="C53" s="126">
        <f t="shared" si="4"/>
        <v>1.0512132892233315E-2</v>
      </c>
      <c r="D53" s="126">
        <f t="shared" si="5"/>
        <v>3.5175580089423196E-2</v>
      </c>
      <c r="E53" s="126">
        <f t="shared" si="6"/>
        <v>2.7744647556826312E-2</v>
      </c>
      <c r="F53" s="126">
        <f t="shared" si="7"/>
        <v>0.58294379738111657</v>
      </c>
      <c r="G53" s="126">
        <f t="shared" si="8"/>
        <v>2.1492559666999996E-7</v>
      </c>
      <c r="H53" s="126">
        <f t="shared" si="9"/>
        <v>3.8773107821719628</v>
      </c>
    </row>
    <row r="54" spans="2:8" x14ac:dyDescent="0.2">
      <c r="B54" s="126">
        <v>3.8000000000000002E-5</v>
      </c>
      <c r="C54" s="126">
        <f t="shared" si="4"/>
        <v>1.0798215656465462E-2</v>
      </c>
      <c r="D54" s="126">
        <f t="shared" si="5"/>
        <v>3.61314210704596E-2</v>
      </c>
      <c r="E54" s="126">
        <f t="shared" si="6"/>
        <v>2.8499842386978298E-2</v>
      </c>
      <c r="F54" s="126">
        <f t="shared" si="7"/>
        <v>0.5986990351481738</v>
      </c>
      <c r="G54" s="126">
        <f t="shared" si="8"/>
        <v>2.2073439657999996E-7</v>
      </c>
      <c r="H54" s="126">
        <f t="shared" si="9"/>
        <v>3.7752762879042794</v>
      </c>
    </row>
    <row r="55" spans="2:8" x14ac:dyDescent="0.2">
      <c r="B55" s="126">
        <v>3.8999999999999999E-5</v>
      </c>
      <c r="C55" s="126">
        <f t="shared" si="4"/>
        <v>1.1084402160931404E-2</v>
      </c>
      <c r="D55" s="126">
        <f t="shared" si="5"/>
        <v>3.708753308451012E-2</v>
      </c>
      <c r="E55" s="126">
        <f t="shared" si="6"/>
        <v>2.9255318242960723E-2</v>
      </c>
      <c r="F55" s="126">
        <f t="shared" si="7"/>
        <v>0.61445427291523103</v>
      </c>
      <c r="G55" s="126">
        <f t="shared" si="8"/>
        <v>2.2654319648999995E-7</v>
      </c>
      <c r="H55" s="126">
        <f t="shared" si="9"/>
        <v>3.6784743318041699</v>
      </c>
    </row>
    <row r="56" spans="2:8" x14ac:dyDescent="0.2">
      <c r="B56" s="126">
        <v>4.0000000000000003E-5</v>
      </c>
      <c r="C56" s="126">
        <f t="shared" si="4"/>
        <v>1.1370692405631136E-2</v>
      </c>
      <c r="D56" s="126">
        <f t="shared" si="5"/>
        <v>3.8043916131574762E-2</v>
      </c>
      <c r="E56" s="126">
        <f t="shared" si="6"/>
        <v>3.0011075124773596E-2</v>
      </c>
      <c r="F56" s="126">
        <f t="shared" si="7"/>
        <v>0.63020951068228825</v>
      </c>
      <c r="G56" s="126">
        <f t="shared" si="8"/>
        <v>2.3235199639999998E-7</v>
      </c>
      <c r="H56" s="126">
        <f t="shared" si="9"/>
        <v>3.5865124735090652</v>
      </c>
    </row>
    <row r="57" spans="2:8" x14ac:dyDescent="0.2">
      <c r="B57" s="126">
        <v>4.1E-5</v>
      </c>
      <c r="C57" s="126">
        <f t="shared" si="4"/>
        <v>1.1657086390564663E-2</v>
      </c>
      <c r="D57" s="126">
        <f t="shared" si="5"/>
        <v>3.9000570211653512E-2</v>
      </c>
      <c r="E57" s="126">
        <f t="shared" si="6"/>
        <v>3.0767113032416891E-2</v>
      </c>
      <c r="F57" s="126">
        <f t="shared" si="7"/>
        <v>0.64596474844934548</v>
      </c>
      <c r="G57" s="126">
        <f t="shared" si="8"/>
        <v>2.3816079630999996E-7</v>
      </c>
      <c r="H57" s="126">
        <f t="shared" si="9"/>
        <v>3.4990365595210395</v>
      </c>
    </row>
    <row r="58" spans="2:8" x14ac:dyDescent="0.2">
      <c r="B58" s="126">
        <v>4.1999999999999998E-5</v>
      </c>
      <c r="C58" s="126">
        <f t="shared" si="4"/>
        <v>1.194358411573198E-2</v>
      </c>
      <c r="D58" s="126">
        <f t="shared" si="5"/>
        <v>3.9957495324746378E-2</v>
      </c>
      <c r="E58" s="126">
        <f t="shared" si="6"/>
        <v>3.1523431965890629E-2</v>
      </c>
      <c r="F58" s="126">
        <f t="shared" si="7"/>
        <v>0.6617199862164026</v>
      </c>
      <c r="G58" s="126">
        <f t="shared" si="8"/>
        <v>2.4396959621999992E-7</v>
      </c>
      <c r="H58" s="126">
        <f t="shared" si="9"/>
        <v>3.4157261652467299</v>
      </c>
    </row>
    <row r="59" spans="2:8" x14ac:dyDescent="0.2">
      <c r="B59" s="126">
        <v>4.3000000000000002E-5</v>
      </c>
      <c r="C59" s="126">
        <f t="shared" si="4"/>
        <v>1.2230185581133092E-2</v>
      </c>
      <c r="D59" s="126">
        <f t="shared" si="5"/>
        <v>4.0914691470853366E-2</v>
      </c>
      <c r="E59" s="126">
        <f t="shared" si="6"/>
        <v>3.2280031925194817E-2</v>
      </c>
      <c r="F59" s="126">
        <f t="shared" si="7"/>
        <v>0.67747522398345983</v>
      </c>
      <c r="G59" s="126">
        <f t="shared" si="8"/>
        <v>2.4977839612999998E-7</v>
      </c>
      <c r="H59" s="126">
        <f t="shared" si="9"/>
        <v>3.3362906730316886</v>
      </c>
    </row>
    <row r="60" spans="2:8" x14ac:dyDescent="0.2">
      <c r="B60" s="126">
        <v>4.3999999999999999E-5</v>
      </c>
      <c r="C60" s="126">
        <f t="shared" si="4"/>
        <v>1.2516890786767997E-2</v>
      </c>
      <c r="D60" s="126">
        <f t="shared" si="5"/>
        <v>4.187215864997447E-2</v>
      </c>
      <c r="E60" s="126">
        <f t="shared" si="6"/>
        <v>3.3036912910329418E-2</v>
      </c>
      <c r="F60" s="126">
        <f t="shared" si="7"/>
        <v>0.69323046175051706</v>
      </c>
      <c r="G60" s="126">
        <f t="shared" si="8"/>
        <v>2.5558719603999993E-7</v>
      </c>
      <c r="H60" s="126">
        <f t="shared" si="9"/>
        <v>3.2604658850082417</v>
      </c>
    </row>
    <row r="61" spans="2:8" x14ac:dyDescent="0.2">
      <c r="B61" s="126">
        <v>4.5000000000000003E-5</v>
      </c>
      <c r="C61" s="126">
        <f t="shared" si="4"/>
        <v>1.2803699732636693E-2</v>
      </c>
      <c r="D61" s="126">
        <f t="shared" si="5"/>
        <v>4.2829896862109688E-2</v>
      </c>
      <c r="E61" s="126">
        <f t="shared" si="6"/>
        <v>3.3794074921294472E-2</v>
      </c>
      <c r="F61" s="126">
        <f t="shared" si="7"/>
        <v>0.70898569951757429</v>
      </c>
      <c r="G61" s="126">
        <f t="shared" si="8"/>
        <v>2.6139599594999994E-7</v>
      </c>
      <c r="H61" s="126">
        <f t="shared" si="9"/>
        <v>3.1880110875636141</v>
      </c>
    </row>
    <row r="62" spans="2:8" x14ac:dyDescent="0.2">
      <c r="B62" s="126">
        <v>4.6E-5</v>
      </c>
      <c r="C62" s="126">
        <f t="shared" si="4"/>
        <v>1.309061241873918E-2</v>
      </c>
      <c r="D62" s="126">
        <f t="shared" si="5"/>
        <v>4.3787906107259023E-2</v>
      </c>
      <c r="E62" s="126">
        <f t="shared" si="6"/>
        <v>3.4551517958089951E-2</v>
      </c>
      <c r="F62" s="126">
        <f t="shared" si="7"/>
        <v>0.7247409372846314</v>
      </c>
      <c r="G62" s="126">
        <f t="shared" si="8"/>
        <v>2.6720479585999995E-7</v>
      </c>
      <c r="H62" s="126">
        <f t="shared" si="9"/>
        <v>3.1187064987035353</v>
      </c>
    </row>
    <row r="63" spans="2:8" x14ac:dyDescent="0.2">
      <c r="B63" s="126">
        <v>4.6999999999999997E-5</v>
      </c>
      <c r="C63" s="126">
        <f t="shared" si="4"/>
        <v>1.3377628845075462E-2</v>
      </c>
      <c r="D63" s="126">
        <f t="shared" si="5"/>
        <v>4.4746186385422465E-2</v>
      </c>
      <c r="E63" s="126">
        <f t="shared" si="6"/>
        <v>3.5309242020715878E-2</v>
      </c>
      <c r="F63" s="126">
        <f t="shared" si="7"/>
        <v>0.74049617505168852</v>
      </c>
      <c r="G63" s="126">
        <f t="shared" si="8"/>
        <v>2.7301359576999991E-7</v>
      </c>
      <c r="H63" s="126">
        <f t="shared" si="9"/>
        <v>3.0523510412843113</v>
      </c>
    </row>
    <row r="64" spans="2:8" x14ac:dyDescent="0.2">
      <c r="B64" s="126">
        <v>4.8000000000000001E-5</v>
      </c>
      <c r="C64" s="126">
        <f t="shared" si="4"/>
        <v>1.3664749011645537E-2</v>
      </c>
      <c r="D64" s="126">
        <f t="shared" si="5"/>
        <v>4.5704737696600037E-2</v>
      </c>
      <c r="E64" s="126">
        <f t="shared" si="6"/>
        <v>3.6067247109172244E-2</v>
      </c>
      <c r="F64" s="126">
        <f t="shared" si="7"/>
        <v>0.75625141281874586</v>
      </c>
      <c r="G64" s="126">
        <f t="shared" si="8"/>
        <v>2.7882239567999997E-7</v>
      </c>
      <c r="H64" s="126">
        <f t="shared" si="9"/>
        <v>2.988760394590888</v>
      </c>
    </row>
    <row r="65" spans="2:8" x14ac:dyDescent="0.2">
      <c r="B65" s="126">
        <v>4.8999999999999998E-5</v>
      </c>
      <c r="C65" s="126">
        <f t="shared" si="4"/>
        <v>1.3951972918449405E-2</v>
      </c>
      <c r="D65" s="126">
        <f t="shared" si="5"/>
        <v>4.6663560040791724E-2</v>
      </c>
      <c r="E65" s="126">
        <f t="shared" si="6"/>
        <v>3.6825533223459044E-2</v>
      </c>
      <c r="F65" s="126">
        <f t="shared" si="7"/>
        <v>0.77200665058580309</v>
      </c>
      <c r="G65" s="126">
        <f t="shared" si="8"/>
        <v>2.8463119558999992E-7</v>
      </c>
      <c r="H65" s="126">
        <f t="shared" si="9"/>
        <v>2.9277652844971964</v>
      </c>
    </row>
    <row r="66" spans="2:8" x14ac:dyDescent="0.2">
      <c r="B66" s="126">
        <v>5.0000000000000002E-5</v>
      </c>
      <c r="C66" s="126">
        <f t="shared" si="4"/>
        <v>1.4239300565487065E-2</v>
      </c>
      <c r="D66" s="126">
        <f t="shared" si="5"/>
        <v>4.7622653417997526E-2</v>
      </c>
      <c r="E66" s="126">
        <f t="shared" si="6"/>
        <v>3.7584100363576275E-2</v>
      </c>
      <c r="F66" s="126">
        <f t="shared" si="7"/>
        <v>0.78776188835286021</v>
      </c>
      <c r="G66" s="126">
        <f t="shared" si="8"/>
        <v>2.9043999549999998E-7</v>
      </c>
      <c r="H66" s="126">
        <f t="shared" si="9"/>
        <v>2.8692099788072523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596F2-0A4D-A745-91CC-2CF137670896}">
  <dimension ref="B1:M23"/>
  <sheetViews>
    <sheetView workbookViewId="0">
      <selection activeCell="M23" sqref="M23"/>
    </sheetView>
  </sheetViews>
  <sheetFormatPr baseColWidth="10" defaultRowHeight="16" x14ac:dyDescent="0.2"/>
  <cols>
    <col min="2" max="2" width="17.1640625" bestFit="1" customWidth="1"/>
    <col min="3" max="3" width="18.6640625" bestFit="1" customWidth="1"/>
    <col min="4" max="4" width="14" bestFit="1" customWidth="1"/>
  </cols>
  <sheetData>
    <row r="1" spans="2:5" ht="17" thickBot="1" x14ac:dyDescent="0.25"/>
    <row r="2" spans="2:5" x14ac:dyDescent="0.2">
      <c r="B2" s="869" t="s">
        <v>523</v>
      </c>
      <c r="C2" s="870" t="s">
        <v>524</v>
      </c>
      <c r="D2" s="870" t="s">
        <v>525</v>
      </c>
      <c r="E2" s="871" t="s">
        <v>526</v>
      </c>
    </row>
    <row r="3" spans="2:5" x14ac:dyDescent="0.2">
      <c r="B3" s="872" t="s">
        <v>527</v>
      </c>
      <c r="C3" s="780" t="s">
        <v>528</v>
      </c>
      <c r="D3" s="780" t="s">
        <v>529</v>
      </c>
      <c r="E3" s="873" t="s">
        <v>530</v>
      </c>
    </row>
    <row r="4" spans="2:5" x14ac:dyDescent="0.2">
      <c r="B4" s="872" t="s">
        <v>531</v>
      </c>
      <c r="C4" s="780" t="s">
        <v>532</v>
      </c>
      <c r="D4" s="780" t="s">
        <v>533</v>
      </c>
      <c r="E4" s="873" t="s">
        <v>534</v>
      </c>
    </row>
    <row r="5" spans="2:5" ht="17" thickBot="1" x14ac:dyDescent="0.25">
      <c r="B5" s="874" t="s">
        <v>535</v>
      </c>
      <c r="C5" s="875" t="s">
        <v>536</v>
      </c>
      <c r="D5" s="875" t="s">
        <v>537</v>
      </c>
      <c r="E5" s="876" t="s">
        <v>538</v>
      </c>
    </row>
    <row r="7" spans="2:5" x14ac:dyDescent="0.2">
      <c r="B7" s="836" t="s">
        <v>544</v>
      </c>
      <c r="C7" s="836" t="s">
        <v>545</v>
      </c>
    </row>
    <row r="8" spans="2:5" x14ac:dyDescent="0.2">
      <c r="B8" s="837" t="s">
        <v>546</v>
      </c>
      <c r="C8" s="837">
        <v>1</v>
      </c>
    </row>
    <row r="9" spans="2:5" x14ac:dyDescent="0.2">
      <c r="B9" s="838" t="s">
        <v>547</v>
      </c>
      <c r="C9" s="838">
        <v>0.82</v>
      </c>
    </row>
    <row r="10" spans="2:5" x14ac:dyDescent="0.2">
      <c r="B10" s="837" t="s">
        <v>548</v>
      </c>
      <c r="C10" s="837">
        <v>0.80600000000000005</v>
      </c>
    </row>
    <row r="11" spans="2:5" x14ac:dyDescent="0.2">
      <c r="B11" s="838" t="s">
        <v>549</v>
      </c>
      <c r="C11" s="838">
        <v>0.66</v>
      </c>
    </row>
    <row r="12" spans="2:5" x14ac:dyDescent="0.2">
      <c r="B12" s="837" t="s">
        <v>550</v>
      </c>
      <c r="C12" s="837">
        <v>0.54</v>
      </c>
    </row>
    <row r="13" spans="2:5" x14ac:dyDescent="0.2">
      <c r="B13" s="838" t="s">
        <v>551</v>
      </c>
      <c r="C13" s="838">
        <v>0.22</v>
      </c>
    </row>
    <row r="23" spans="13:13" x14ac:dyDescent="0.2">
      <c r="M23" s="65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F1D1E-9D71-1D49-BD5C-C135ACEA7D92}">
  <dimension ref="C2:M10"/>
  <sheetViews>
    <sheetView workbookViewId="0">
      <selection activeCell="O30" sqref="O30"/>
    </sheetView>
  </sheetViews>
  <sheetFormatPr baseColWidth="10" defaultRowHeight="16" x14ac:dyDescent="0.2"/>
  <cols>
    <col min="3" max="3" width="12.33203125" bestFit="1" customWidth="1"/>
  </cols>
  <sheetData>
    <row r="2" spans="3:13" x14ac:dyDescent="0.2">
      <c r="C2" s="767" t="s">
        <v>150</v>
      </c>
      <c r="D2" s="845" t="s">
        <v>309</v>
      </c>
      <c r="E2" s="845" t="s">
        <v>595</v>
      </c>
      <c r="F2" s="845" t="s">
        <v>596</v>
      </c>
      <c r="G2" s="845" t="s">
        <v>597</v>
      </c>
      <c r="H2" s="845" t="s">
        <v>603</v>
      </c>
      <c r="I2" s="845" t="s">
        <v>599</v>
      </c>
      <c r="J2" s="845" t="s">
        <v>600</v>
      </c>
      <c r="K2" s="845" t="s">
        <v>601</v>
      </c>
      <c r="L2" s="845" t="s">
        <v>602</v>
      </c>
      <c r="M2" s="777" t="s">
        <v>598</v>
      </c>
    </row>
    <row r="3" spans="3:13" x14ac:dyDescent="0.2">
      <c r="C3" s="843" t="s">
        <v>189</v>
      </c>
      <c r="D3" s="653" t="s">
        <v>143</v>
      </c>
      <c r="E3" s="796">
        <v>30</v>
      </c>
      <c r="F3" s="796">
        <v>25</v>
      </c>
      <c r="G3" s="796" t="s">
        <v>608</v>
      </c>
      <c r="H3" s="796" t="s">
        <v>611</v>
      </c>
      <c r="I3" s="796" t="s">
        <v>619</v>
      </c>
      <c r="J3" s="796" t="s">
        <v>311</v>
      </c>
      <c r="K3" s="796" t="s">
        <v>626</v>
      </c>
      <c r="L3" s="796" t="s">
        <v>631</v>
      </c>
      <c r="M3" s="840" t="s">
        <v>638</v>
      </c>
    </row>
    <row r="4" spans="3:13" x14ac:dyDescent="0.2">
      <c r="C4" s="843" t="s">
        <v>131</v>
      </c>
      <c r="D4" s="653" t="s">
        <v>143</v>
      </c>
      <c r="E4" s="796">
        <v>125</v>
      </c>
      <c r="F4" s="796">
        <v>125</v>
      </c>
      <c r="G4" s="796" t="s">
        <v>311</v>
      </c>
      <c r="H4" s="796" t="s">
        <v>612</v>
      </c>
      <c r="I4" s="796" t="s">
        <v>620</v>
      </c>
      <c r="J4" s="796" t="s">
        <v>622</v>
      </c>
      <c r="K4" s="796" t="s">
        <v>627</v>
      </c>
      <c r="L4" s="796" t="s">
        <v>632</v>
      </c>
      <c r="M4" s="840" t="s">
        <v>311</v>
      </c>
    </row>
    <row r="5" spans="3:13" x14ac:dyDescent="0.2">
      <c r="C5" s="843" t="s">
        <v>559</v>
      </c>
      <c r="D5" s="653" t="s">
        <v>143</v>
      </c>
      <c r="E5" s="796">
        <v>10</v>
      </c>
      <c r="F5" s="796" t="s">
        <v>605</v>
      </c>
      <c r="G5" s="796" t="s">
        <v>609</v>
      </c>
      <c r="H5" s="796" t="s">
        <v>613</v>
      </c>
      <c r="I5" s="796" t="s">
        <v>614</v>
      </c>
      <c r="J5" s="796" t="s">
        <v>623</v>
      </c>
      <c r="K5" s="796" t="s">
        <v>628</v>
      </c>
      <c r="L5" s="796" t="s">
        <v>633</v>
      </c>
      <c r="M5" s="840" t="s">
        <v>639</v>
      </c>
    </row>
    <row r="6" spans="3:13" x14ac:dyDescent="0.2">
      <c r="C6" s="843" t="s">
        <v>560</v>
      </c>
      <c r="D6" s="653" t="s">
        <v>143</v>
      </c>
      <c r="E6" s="796" t="s">
        <v>311</v>
      </c>
      <c r="F6" s="796" t="s">
        <v>311</v>
      </c>
      <c r="G6" s="796" t="s">
        <v>311</v>
      </c>
      <c r="H6" s="796" t="s">
        <v>614</v>
      </c>
      <c r="I6" s="796" t="s">
        <v>311</v>
      </c>
      <c r="J6" s="796" t="s">
        <v>311</v>
      </c>
      <c r="K6" s="796" t="s">
        <v>629</v>
      </c>
      <c r="L6" s="796" t="s">
        <v>311</v>
      </c>
      <c r="M6" s="840" t="s">
        <v>311</v>
      </c>
    </row>
    <row r="7" spans="3:13" x14ac:dyDescent="0.2">
      <c r="C7" s="843" t="s">
        <v>592</v>
      </c>
      <c r="D7" s="653" t="s">
        <v>143</v>
      </c>
      <c r="E7" s="796">
        <v>2</v>
      </c>
      <c r="F7" s="796" t="s">
        <v>606</v>
      </c>
      <c r="G7" s="796" t="s">
        <v>311</v>
      </c>
      <c r="H7" s="796" t="s">
        <v>615</v>
      </c>
      <c r="I7" s="796" t="s">
        <v>311</v>
      </c>
      <c r="J7" s="796" t="s">
        <v>614</v>
      </c>
      <c r="K7" s="796" t="s">
        <v>630</v>
      </c>
      <c r="L7" s="796" t="s">
        <v>634</v>
      </c>
      <c r="M7" s="840" t="s">
        <v>621</v>
      </c>
    </row>
    <row r="8" spans="3:13" x14ac:dyDescent="0.2">
      <c r="C8" s="843" t="s">
        <v>132</v>
      </c>
      <c r="D8" s="653" t="s">
        <v>143</v>
      </c>
      <c r="E8" s="796">
        <v>5</v>
      </c>
      <c r="F8" s="796" t="s">
        <v>607</v>
      </c>
      <c r="G8" s="796" t="s">
        <v>610</v>
      </c>
      <c r="H8" s="796" t="s">
        <v>616</v>
      </c>
      <c r="I8" s="796" t="s">
        <v>619</v>
      </c>
      <c r="J8" s="796" t="s">
        <v>624</v>
      </c>
      <c r="K8" s="796" t="s">
        <v>610</v>
      </c>
      <c r="L8" s="796" t="s">
        <v>635</v>
      </c>
      <c r="M8" s="840" t="s">
        <v>638</v>
      </c>
    </row>
    <row r="9" spans="3:13" x14ac:dyDescent="0.2">
      <c r="C9" s="843" t="s">
        <v>84</v>
      </c>
      <c r="D9" s="653" t="s">
        <v>311</v>
      </c>
      <c r="E9" s="796" t="s">
        <v>604</v>
      </c>
      <c r="F9" s="796" t="s">
        <v>311</v>
      </c>
      <c r="G9" s="796" t="s">
        <v>604</v>
      </c>
      <c r="H9" s="796" t="s">
        <v>617</v>
      </c>
      <c r="I9" s="796" t="s">
        <v>604</v>
      </c>
      <c r="J9" s="796" t="s">
        <v>625</v>
      </c>
      <c r="K9" s="796" t="s">
        <v>604</v>
      </c>
      <c r="L9" s="796" t="s">
        <v>636</v>
      </c>
      <c r="M9" s="840" t="s">
        <v>604</v>
      </c>
    </row>
    <row r="10" spans="3:13" x14ac:dyDescent="0.2">
      <c r="C10" s="844" t="s">
        <v>593</v>
      </c>
      <c r="D10" s="659" t="s">
        <v>594</v>
      </c>
      <c r="E10" s="841" t="s">
        <v>311</v>
      </c>
      <c r="F10" s="841" t="s">
        <v>311</v>
      </c>
      <c r="G10" s="841" t="s">
        <v>311</v>
      </c>
      <c r="H10" s="841" t="s">
        <v>618</v>
      </c>
      <c r="I10" s="841" t="s">
        <v>311</v>
      </c>
      <c r="J10" s="841" t="s">
        <v>624</v>
      </c>
      <c r="K10" s="841" t="s">
        <v>311</v>
      </c>
      <c r="L10" s="841" t="s">
        <v>637</v>
      </c>
      <c r="M10" s="842" t="s">
        <v>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DEGBR</vt:lpstr>
      <vt:lpstr>DEGBR CCT</vt:lpstr>
      <vt:lpstr>Sheet4</vt:lpstr>
      <vt:lpstr>COMPARATIVE STUDY (3 REACTORS)</vt:lpstr>
      <vt:lpstr>Characterization of PSW</vt:lpstr>
      <vt:lpstr>PSW Analysis</vt:lpstr>
      <vt:lpstr>Feathers</vt:lpstr>
      <vt:lpstr>PSW treatment</vt:lpstr>
      <vt:lpstr>Analyses methods</vt:lpstr>
      <vt:lpstr>Summary table</vt:lpstr>
      <vt:lpstr>PSW Characteristics</vt:lpstr>
      <vt:lpstr>Underdrain system</vt:lpstr>
      <vt:lpstr>Packing materials</vt:lpstr>
      <vt:lpstr>Granules</vt:lpstr>
      <vt:lpstr>EGSB granules</vt:lpstr>
      <vt:lpstr>Granules Specs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Moeketsi Mosia</cp:lastModifiedBy>
  <dcterms:created xsi:type="dcterms:W3CDTF">2018-12-22T09:17:18Z</dcterms:created>
  <dcterms:modified xsi:type="dcterms:W3CDTF">2025-12-16T17:45:07Z</dcterms:modified>
</cp:coreProperties>
</file>